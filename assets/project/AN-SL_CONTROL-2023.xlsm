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8ncrxg-my.sharepoint.com/personal/hongan1998611_8ncrxg_onmicrosoft_com/Documents/Desktop/"/>
    </mc:Choice>
  </mc:AlternateContent>
  <xr:revisionPtr revIDLastSave="6112" documentId="10_ncr:80_{35B575D5-FDAA-4CCC-BB1B-DE7F7BFDCC94}" xr6:coauthVersionLast="47" xr6:coauthVersionMax="47" xr10:uidLastSave="{5077ACF9-24F7-46A6-94DC-035937C1C799}"/>
  <bookViews>
    <workbookView xWindow="-120" yWindow="-120" windowWidth="20730" windowHeight="11160" xr2:uid="{00000000-000D-0000-FFFF-FFFF00000000}"/>
  </bookViews>
  <sheets>
    <sheet name="HOME" sheetId="11" r:id="rId1"/>
    <sheet name="Phan_Quyen" sheetId="10" state="veryHidden" r:id="rId2"/>
    <sheet name="AN_Control" sheetId="1" state="veryHidden" r:id="rId3"/>
    <sheet name="SL_Control" sheetId="2" state="veryHidden" r:id="rId4"/>
    <sheet name="Bao_Cao" sheetId="3" state="veryHidden" r:id="rId5"/>
    <sheet name="Bao_Cao_AT" sheetId="12" state="veryHidden" r:id="rId6"/>
    <sheet name="Bao_Cao_VH" sheetId="13" state="veryHidden" r:id="rId7"/>
    <sheet name="Item" sheetId="4" state="veryHidden" r:id="rId8"/>
    <sheet name="Item_Ngang" sheetId="5" state="veryHidden" r:id="rId9"/>
    <sheet name="SERVICE" sheetId="6" state="veryHidden" r:id="rId10"/>
    <sheet name="Check_Code" sheetId="7" state="veryHidden" r:id="rId11"/>
    <sheet name="SL Not DDE" sheetId="8" state="veryHidden" r:id="rId12"/>
    <sheet name="Contact" sheetId="9" state="veryHidden" r:id="rId13"/>
  </sheets>
  <functionGroups builtInGroupCount="19"/>
  <externalReferences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2" hidden="1">AN_Control!$A$2:$H$5693</definedName>
    <definedName name="_xlnm._FilterDatabase" localSheetId="4" hidden="1">Bao_Cao!$A$2:$H$3882</definedName>
    <definedName name="_xlnm._FilterDatabase" localSheetId="5" hidden="1">Bao_Cao_AT!$A$2:$H$3882</definedName>
    <definedName name="_xlnm._FilterDatabase" localSheetId="6" hidden="1">Bao_Cao_VH!$A$2:$H$3882</definedName>
    <definedName name="_xlnm._FilterDatabase" localSheetId="3" hidden="1">SL_Control!$A$2:$H$1478</definedName>
    <definedName name="BIT">#REF!</definedName>
    <definedName name="ITEM">#REF!</definedName>
    <definedName name="Z_0037F549_09F0_40C6_BD0E_5D220663EF3B_.wvu.FilterData" localSheetId="2" hidden="1">AN_Control!$A$2:$H$1005</definedName>
    <definedName name="Z_0037F549_09F0_40C6_BD0E_5D220663EF3B_.wvu.FilterData" localSheetId="4" hidden="1">Bao_Cao!$A$2:$H$1005</definedName>
    <definedName name="Z_0037F549_09F0_40C6_BD0E_5D220663EF3B_.wvu.FilterData" localSheetId="5" hidden="1">Bao_Cao_AT!$A$2:$H$1005</definedName>
    <definedName name="Z_0037F549_09F0_40C6_BD0E_5D220663EF3B_.wvu.FilterData" localSheetId="6" hidden="1">Bao_Cao_VH!$A$2:$H$1005</definedName>
    <definedName name="Z_0037F549_09F0_40C6_BD0E_5D220663EF3B_.wvu.FilterData" localSheetId="3" hidden="1">SL_Control!$A$2:$H$284</definedName>
    <definedName name="Z_004FCDF1_AF59_4F4E_88B5_6E508E99480F_.wvu.FilterData" localSheetId="2" hidden="1">AN_Control!$A$2:$H$1886</definedName>
    <definedName name="Z_004FCDF1_AF59_4F4E_88B5_6E508E99480F_.wvu.FilterData" localSheetId="4" hidden="1">Bao_Cao!$A$2:$H$1886</definedName>
    <definedName name="Z_004FCDF1_AF59_4F4E_88B5_6E508E99480F_.wvu.FilterData" localSheetId="5" hidden="1">Bao_Cao_AT!$A$2:$H$1886</definedName>
    <definedName name="Z_004FCDF1_AF59_4F4E_88B5_6E508E99480F_.wvu.FilterData" localSheetId="6" hidden="1">Bao_Cao_VH!$A$2:$H$1886</definedName>
    <definedName name="Z_005A494C_C59F_48DF_9A60_3F4B5F880661_.wvu.FilterData" localSheetId="2" hidden="1">AN_Control!$A$2:$H$3315</definedName>
    <definedName name="Z_005A494C_C59F_48DF_9A60_3F4B5F880661_.wvu.FilterData" localSheetId="4" hidden="1">Bao_Cao!$A$2:$H$3316</definedName>
    <definedName name="Z_005A494C_C59F_48DF_9A60_3F4B5F880661_.wvu.FilterData" localSheetId="5" hidden="1">Bao_Cao_AT!$A$2:$H$3316</definedName>
    <definedName name="Z_005A494C_C59F_48DF_9A60_3F4B5F880661_.wvu.FilterData" localSheetId="6" hidden="1">Bao_Cao_VH!$A$2:$H$3316</definedName>
    <definedName name="Z_005A494C_C59F_48DF_9A60_3F4B5F880661_.wvu.FilterData" localSheetId="3" hidden="1">SL_Control!$A$2:$H$753</definedName>
    <definedName name="Z_0087A0AE_6702_4D48_9D78_806FF24632BD_.wvu.FilterData" localSheetId="3" hidden="1">SL_Control!$A$2:$H$602</definedName>
    <definedName name="Z_00AE12BF_7612_4CFC_8CDB_64157343A36F_.wvu.FilterData" localSheetId="2" hidden="1">AN_Control!$A$2:$H$1283</definedName>
    <definedName name="Z_00AE12BF_7612_4CFC_8CDB_64157343A36F_.wvu.FilterData" localSheetId="4" hidden="1">Bao_Cao!$A$2:$H$1283</definedName>
    <definedName name="Z_00AE12BF_7612_4CFC_8CDB_64157343A36F_.wvu.FilterData" localSheetId="5" hidden="1">Bao_Cao_AT!$A$2:$H$1283</definedName>
    <definedName name="Z_00AE12BF_7612_4CFC_8CDB_64157343A36F_.wvu.FilterData" localSheetId="6" hidden="1">Bao_Cao_VH!$A$2:$H$1283</definedName>
    <definedName name="Z_00AE12BF_7612_4CFC_8CDB_64157343A36F_.wvu.FilterData" localSheetId="3" hidden="1">SL_Control!$A$2:$H$349</definedName>
    <definedName name="Z_011C81BD_DEF2_40C5_A0F4_9324069B4AE8_.wvu.FilterData" localSheetId="3" hidden="1">SL_Control!$A$2:$H$551</definedName>
    <definedName name="Z_01B8A403_4BDB_4674_BCCF_4A53F09C7F19_.wvu.FilterData" localSheetId="2" hidden="1">AN_Control!$A$2:$H$5411</definedName>
    <definedName name="Z_01B8A403_4BDB_4674_BCCF_4A53F09C7F19_.wvu.FilterData" localSheetId="4" hidden="1">Bao_Cao!$A$2:$H$3882</definedName>
    <definedName name="Z_01B8A403_4BDB_4674_BCCF_4A53F09C7F19_.wvu.FilterData" localSheetId="5" hidden="1">Bao_Cao_AT!$A$2:$H$3882</definedName>
    <definedName name="Z_01B8A403_4BDB_4674_BCCF_4A53F09C7F19_.wvu.FilterData" localSheetId="6" hidden="1">Bao_Cao_VH!$A$2:$H$3882</definedName>
    <definedName name="Z_01B8A403_4BDB_4674_BCCF_4A53F09C7F19_.wvu.FilterData" localSheetId="3" hidden="1">SL_Control!$A$2:$H$1390</definedName>
    <definedName name="Z_0218B753_62AF_413B_98FA_C3EFF46B02E8_.wvu.FilterData" localSheetId="2" hidden="1">AN_Control!$A$2:$H$691</definedName>
    <definedName name="Z_0218B753_62AF_413B_98FA_C3EFF46B02E8_.wvu.FilterData" localSheetId="4" hidden="1">Bao_Cao!$A$2:$H$691</definedName>
    <definedName name="Z_0218B753_62AF_413B_98FA_C3EFF46B02E8_.wvu.FilterData" localSheetId="5" hidden="1">Bao_Cao_AT!$A$2:$H$691</definedName>
    <definedName name="Z_0218B753_62AF_413B_98FA_C3EFF46B02E8_.wvu.FilterData" localSheetId="6" hidden="1">Bao_Cao_VH!$A$2:$H$691</definedName>
    <definedName name="Z_0218B753_62AF_413B_98FA_C3EFF46B02E8_.wvu.FilterData" localSheetId="3" hidden="1">SL_Control!$A$2:$H$173</definedName>
    <definedName name="Z_0247928D_C994_420E_B813_44F455EDFCA5_.wvu.FilterData" localSheetId="2" hidden="1">AN_Control!$A$2:$H$1267</definedName>
    <definedName name="Z_0247928D_C994_420E_B813_44F455EDFCA5_.wvu.FilterData" localSheetId="4" hidden="1">Bao_Cao!$A$2:$H$1267</definedName>
    <definedName name="Z_0247928D_C994_420E_B813_44F455EDFCA5_.wvu.FilterData" localSheetId="5" hidden="1">Bao_Cao_AT!$A$2:$H$1267</definedName>
    <definedName name="Z_0247928D_C994_420E_B813_44F455EDFCA5_.wvu.FilterData" localSheetId="6" hidden="1">Bao_Cao_VH!$A$2:$H$1267</definedName>
    <definedName name="Z_0247928D_C994_420E_B813_44F455EDFCA5_.wvu.FilterData" localSheetId="3" hidden="1">SL_Control!$A$2:$H$349</definedName>
    <definedName name="Z_02C92B27_483E_4E5A_85DA_E6E55D5B5A2D_.wvu.FilterData" localSheetId="2" hidden="1">AN_Control!$A$2:$H$3928</definedName>
    <definedName name="Z_02C92B27_483E_4E5A_85DA_E6E55D5B5A2D_.wvu.FilterData" localSheetId="4" hidden="1">Bao_Cao!$A$2:$H$3882</definedName>
    <definedName name="Z_02C92B27_483E_4E5A_85DA_E6E55D5B5A2D_.wvu.FilterData" localSheetId="5" hidden="1">Bao_Cao_AT!$A$2:$H$3882</definedName>
    <definedName name="Z_02C92B27_483E_4E5A_85DA_E6E55D5B5A2D_.wvu.FilterData" localSheetId="6" hidden="1">Bao_Cao_VH!$A$2:$H$3882</definedName>
    <definedName name="Z_02C92B27_483E_4E5A_85DA_E6E55D5B5A2D_.wvu.FilterData" localSheetId="3" hidden="1">SL_Control!$A$2:$H$946</definedName>
    <definedName name="Z_0351E76F_7000_4182_B47D_4B5B28248597_.wvu.FilterData" localSheetId="4" hidden="1">Bao_Cao!$A$2:$H$3882</definedName>
    <definedName name="Z_0351E76F_7000_4182_B47D_4B5B28248597_.wvu.FilterData" localSheetId="5" hidden="1">Bao_Cao_AT!$A$2:$H$3882</definedName>
    <definedName name="Z_0351E76F_7000_4182_B47D_4B5B28248597_.wvu.FilterData" localSheetId="6" hidden="1">Bao_Cao_VH!$A$2:$H$3882</definedName>
    <definedName name="Z_0351E76F_7000_4182_B47D_4B5B28248597_.wvu.FilterData" localSheetId="3" hidden="1">SL_Control!$A$2:$H$1190</definedName>
    <definedName name="Z_0382899E_903F_40A8_89A6_F86010504F39_.wvu.FilterData" localSheetId="3" hidden="1">SL_Control!$A$2:$H$271</definedName>
    <definedName name="Z_03F8DF04_291D_4F04_A5D5_5BF604F081A2_.wvu.FilterData" localSheetId="4" hidden="1">Bao_Cao!$A$2:$H$3882</definedName>
    <definedName name="Z_03F8DF04_291D_4F04_A5D5_5BF604F081A2_.wvu.FilterData" localSheetId="5" hidden="1">Bao_Cao_AT!$A$2:$H$3882</definedName>
    <definedName name="Z_03F8DF04_291D_4F04_A5D5_5BF604F081A2_.wvu.FilterData" localSheetId="6" hidden="1">Bao_Cao_VH!$A$2:$H$3882</definedName>
    <definedName name="Z_03F8DF04_291D_4F04_A5D5_5BF604F081A2_.wvu.FilterData" localSheetId="3" hidden="1">SL_Control!$A$2:$H$1397</definedName>
    <definedName name="Z_0410AC89_F8EE_4114_BAD0_C0F83BDE4F96_.wvu.FilterData" localSheetId="2" hidden="1">AN_Control!$A$2:$H$2663</definedName>
    <definedName name="Z_0410AC89_F8EE_4114_BAD0_C0F83BDE4F96_.wvu.FilterData" localSheetId="4" hidden="1">Bao_Cao!$A$2:$H$2664</definedName>
    <definedName name="Z_0410AC89_F8EE_4114_BAD0_C0F83BDE4F96_.wvu.FilterData" localSheetId="5" hidden="1">Bao_Cao_AT!$A$2:$H$2664</definedName>
    <definedName name="Z_0410AC89_F8EE_4114_BAD0_C0F83BDE4F96_.wvu.FilterData" localSheetId="6" hidden="1">Bao_Cao_VH!$A$2:$H$2664</definedName>
    <definedName name="Z_0410AC89_F8EE_4114_BAD0_C0F83BDE4F96_.wvu.FilterData" localSheetId="3" hidden="1">SL_Control!$A$2:$H$618</definedName>
    <definedName name="Z_05B9AE35_AE67_4B6B_9616_EACCA1B1F0B2_.wvu.FilterData" localSheetId="2" hidden="1">AN_Control!$A$2:$H$1338</definedName>
    <definedName name="Z_05B9AE35_AE67_4B6B_9616_EACCA1B1F0B2_.wvu.FilterData" localSheetId="4" hidden="1">Bao_Cao!$A$2:$H$1338</definedName>
    <definedName name="Z_05B9AE35_AE67_4B6B_9616_EACCA1B1F0B2_.wvu.FilterData" localSheetId="5" hidden="1">Bao_Cao_AT!$A$2:$H$1338</definedName>
    <definedName name="Z_05B9AE35_AE67_4B6B_9616_EACCA1B1F0B2_.wvu.FilterData" localSheetId="6" hidden="1">Bao_Cao_VH!$A$2:$H$1338</definedName>
    <definedName name="Z_05F23154_652D_4CD0_8952_F772BCB1FBEE_.wvu.FilterData" localSheetId="2" hidden="1">AN_Control!$A$2:$H$3928</definedName>
    <definedName name="Z_05F23154_652D_4CD0_8952_F772BCB1FBEE_.wvu.FilterData" localSheetId="4" hidden="1">Bao_Cao!$A$2:$H$3882</definedName>
    <definedName name="Z_05F23154_652D_4CD0_8952_F772BCB1FBEE_.wvu.FilterData" localSheetId="5" hidden="1">Bao_Cao_AT!$A$2:$H$3882</definedName>
    <definedName name="Z_05F23154_652D_4CD0_8952_F772BCB1FBEE_.wvu.FilterData" localSheetId="6" hidden="1">Bao_Cao_VH!$A$2:$H$3882</definedName>
    <definedName name="Z_05F23154_652D_4CD0_8952_F772BCB1FBEE_.wvu.FilterData" localSheetId="3" hidden="1">SL_Control!$A$2:$H$942</definedName>
    <definedName name="Z_066EC0E8_1490_43CF_8371_9613BF17EE79_.wvu.FilterData" localSheetId="2" hidden="1">AN_Control!$A$2:$H$1789</definedName>
    <definedName name="Z_066EC0E8_1490_43CF_8371_9613BF17EE79_.wvu.FilterData" localSheetId="4" hidden="1">Bao_Cao!$A$2:$H$1789</definedName>
    <definedName name="Z_066EC0E8_1490_43CF_8371_9613BF17EE79_.wvu.FilterData" localSheetId="5" hidden="1">Bao_Cao_AT!$A$2:$H$1789</definedName>
    <definedName name="Z_066EC0E8_1490_43CF_8371_9613BF17EE79_.wvu.FilterData" localSheetId="6" hidden="1">Bao_Cao_VH!$A$2:$H$1789</definedName>
    <definedName name="Z_066EC0E8_1490_43CF_8371_9613BF17EE79_.wvu.FilterData" localSheetId="3" hidden="1">SL_Control!$A$2:$H$520</definedName>
    <definedName name="Z_067C86C5_6C55_4A13_AFCA_F46A1DDF93F1_.wvu.FilterData" localSheetId="3" hidden="1">SL_Control!$A$2:$H$304</definedName>
    <definedName name="Z_071871F9_7F49_4D73_A31E_85F47C7D7FD7_.wvu.FilterData" localSheetId="2" hidden="1">AN_Control!$A$2:$H$1028</definedName>
    <definedName name="Z_071871F9_7F49_4D73_A31E_85F47C7D7FD7_.wvu.FilterData" localSheetId="4" hidden="1">Bao_Cao!$A$2:$H$1028</definedName>
    <definedName name="Z_071871F9_7F49_4D73_A31E_85F47C7D7FD7_.wvu.FilterData" localSheetId="5" hidden="1">Bao_Cao_AT!$A$2:$H$1028</definedName>
    <definedName name="Z_071871F9_7F49_4D73_A31E_85F47C7D7FD7_.wvu.FilterData" localSheetId="6" hidden="1">Bao_Cao_VH!$A$2:$H$1028</definedName>
    <definedName name="Z_071871F9_7F49_4D73_A31E_85F47C7D7FD7_.wvu.FilterData" localSheetId="3" hidden="1">SL_Control!$A$2:$H$292</definedName>
    <definedName name="Z_0727DA43_2931_4081_8981_E8BB858F8728_.wvu.FilterData" localSheetId="2" hidden="1">AN_Control!$A$2:$H$4762</definedName>
    <definedName name="Z_07A0D39D_76BE_48E6_B7BA_978AFBDA3218_.wvu.FilterData" localSheetId="3" hidden="1">SL_Control!$A$2:$H$892</definedName>
    <definedName name="Z_0800CEF1_F9BA_43EA_874F_2C462BAFCE2E_.wvu.FilterData" localSheetId="2" hidden="1">AN_Control!$A$2:$H$806</definedName>
    <definedName name="Z_0800CEF1_F9BA_43EA_874F_2C462BAFCE2E_.wvu.FilterData" localSheetId="4" hidden="1">Bao_Cao!$A$2:$H$806</definedName>
    <definedName name="Z_0800CEF1_F9BA_43EA_874F_2C462BAFCE2E_.wvu.FilterData" localSheetId="5" hidden="1">Bao_Cao_AT!$A$2:$H$806</definedName>
    <definedName name="Z_0800CEF1_F9BA_43EA_874F_2C462BAFCE2E_.wvu.FilterData" localSheetId="6" hidden="1">Bao_Cao_VH!$A$2:$H$806</definedName>
    <definedName name="Z_089566E9_CDC3_4579_AF77_06A84913F5CB_.wvu.FilterData" localSheetId="2" hidden="1">AN_Control!$A$2:$H$4434</definedName>
    <definedName name="Z_089566E9_CDC3_4579_AF77_06A84913F5CB_.wvu.FilterData" localSheetId="4" hidden="1">Bao_Cao!$A$2:$H$3882</definedName>
    <definedName name="Z_089566E9_CDC3_4579_AF77_06A84913F5CB_.wvu.FilterData" localSheetId="5" hidden="1">Bao_Cao_AT!$A$2:$H$3882</definedName>
    <definedName name="Z_089566E9_CDC3_4579_AF77_06A84913F5CB_.wvu.FilterData" localSheetId="6" hidden="1">Bao_Cao_VH!$A$2:$H$3882</definedName>
    <definedName name="Z_089566E9_CDC3_4579_AF77_06A84913F5CB_.wvu.FilterData" localSheetId="3" hidden="1">SL_Control!$A$2:$H$1096</definedName>
    <definedName name="Z_08DDC69A_3B5C_46AB_91E9_E804E0DE9DD5_.wvu.FilterData" localSheetId="3" hidden="1">SL_Control!$A$2:$H$520</definedName>
    <definedName name="Z_0A0ABE49_C256_427F_9952_29F5EE7398B0_.wvu.FilterData" localSheetId="3" hidden="1">SL_Control!$A$2:$H$427</definedName>
    <definedName name="Z_0A2EB7F1_DB4A_468C_8702_2A7B02A2ED0B_.wvu.FilterData" localSheetId="2" hidden="1">AN_Control!$A$2:$H$3702</definedName>
    <definedName name="Z_0A2EB7F1_DB4A_468C_8702_2A7B02A2ED0B_.wvu.FilterData" localSheetId="4" hidden="1">Bao_Cao!$A$2:$H$3704</definedName>
    <definedName name="Z_0A2EB7F1_DB4A_468C_8702_2A7B02A2ED0B_.wvu.FilterData" localSheetId="5" hidden="1">Bao_Cao_AT!$A$2:$H$3704</definedName>
    <definedName name="Z_0A2EB7F1_DB4A_468C_8702_2A7B02A2ED0B_.wvu.FilterData" localSheetId="6" hidden="1">Bao_Cao_VH!$A$2:$H$3704</definedName>
    <definedName name="Z_0A313B3B_36E8_4B30_BFD6_F9D3F90A81CC_.wvu.FilterData" localSheetId="2" hidden="1">AN_Control!$A$2:$H$3212</definedName>
    <definedName name="Z_0A313B3B_36E8_4B30_BFD6_F9D3F90A81CC_.wvu.FilterData" localSheetId="4" hidden="1">Bao_Cao!$A$2:$H$3213</definedName>
    <definedName name="Z_0A313B3B_36E8_4B30_BFD6_F9D3F90A81CC_.wvu.FilterData" localSheetId="5" hidden="1">Bao_Cao_AT!$A$2:$H$3213</definedName>
    <definedName name="Z_0A313B3B_36E8_4B30_BFD6_F9D3F90A81CC_.wvu.FilterData" localSheetId="6" hidden="1">Bao_Cao_VH!$A$2:$H$3213</definedName>
    <definedName name="Z_0A35E600_95D1_4CA6_B8E6_60B09535741C_.wvu.FilterData" localSheetId="3" hidden="1">SL_Control!$A$2:$H$520</definedName>
    <definedName name="Z_0A65D9F2_F9DF_419E_8B8C_E9840A850A55_.wvu.FilterData" localSheetId="2" hidden="1">AN_Control!$A$2:$H$4282</definedName>
    <definedName name="Z_0A65D9F2_F9DF_419E_8B8C_E9840A850A55_.wvu.FilterData" localSheetId="4" hidden="1">Bao_Cao!$A$2:$H$3882</definedName>
    <definedName name="Z_0A65D9F2_F9DF_419E_8B8C_E9840A850A55_.wvu.FilterData" localSheetId="5" hidden="1">Bao_Cao_AT!$A$2:$H$3882</definedName>
    <definedName name="Z_0A65D9F2_F9DF_419E_8B8C_E9840A850A55_.wvu.FilterData" localSheetId="6" hidden="1">Bao_Cao_VH!$A$2:$H$3882</definedName>
    <definedName name="Z_0A65D9F2_F9DF_419E_8B8C_E9840A850A55_.wvu.FilterData" localSheetId="3" hidden="1">SL_Control!$A$2:$H$1054</definedName>
    <definedName name="Z_0ACA9484_9672_4AAC_8646_8F9F673B5D64_.wvu.FilterData" localSheetId="3" hidden="1">SL_Control!$A$2:$H$68</definedName>
    <definedName name="Z_0AE0BF74_F999_4693_A595_187A0ACB7550_.wvu.FilterData" localSheetId="2" hidden="1">AN_Control!$A$2:$H$1263</definedName>
    <definedName name="Z_0AE0BF74_F999_4693_A595_187A0ACB7550_.wvu.FilterData" localSheetId="4" hidden="1">Bao_Cao!$A$2:$H$1263</definedName>
    <definedName name="Z_0AE0BF74_F999_4693_A595_187A0ACB7550_.wvu.FilterData" localSheetId="5" hidden="1">Bao_Cao_AT!$A$2:$H$1263</definedName>
    <definedName name="Z_0AE0BF74_F999_4693_A595_187A0ACB7550_.wvu.FilterData" localSheetId="6" hidden="1">Bao_Cao_VH!$A$2:$H$1263</definedName>
    <definedName name="Z_0B037086_D7BD_49D5_8284_6A7F7C5C7C90_.wvu.FilterData" localSheetId="2" hidden="1">AN_Control!$A$2:$H$1283</definedName>
    <definedName name="Z_0B037086_D7BD_49D5_8284_6A7F7C5C7C90_.wvu.FilterData" localSheetId="4" hidden="1">Bao_Cao!$A$2:$H$1283</definedName>
    <definedName name="Z_0B037086_D7BD_49D5_8284_6A7F7C5C7C90_.wvu.FilterData" localSheetId="5" hidden="1">Bao_Cao_AT!$A$2:$H$1283</definedName>
    <definedName name="Z_0B037086_D7BD_49D5_8284_6A7F7C5C7C90_.wvu.FilterData" localSheetId="6" hidden="1">Bao_Cao_VH!$A$2:$H$1283</definedName>
    <definedName name="Z_0B629827_945E_4F32_9973_9AFE84F21C26_.wvu.FilterData" localSheetId="2" hidden="1">AN_Control!$A$2:$H$1806</definedName>
    <definedName name="Z_0B629827_945E_4F32_9973_9AFE84F21C26_.wvu.FilterData" localSheetId="4" hidden="1">Bao_Cao!$A$2:$H$1806</definedName>
    <definedName name="Z_0B629827_945E_4F32_9973_9AFE84F21C26_.wvu.FilterData" localSheetId="5" hidden="1">Bao_Cao_AT!$A$2:$H$1806</definedName>
    <definedName name="Z_0B629827_945E_4F32_9973_9AFE84F21C26_.wvu.FilterData" localSheetId="6" hidden="1">Bao_Cao_VH!$A$2:$H$1806</definedName>
    <definedName name="Z_0B8A69EE_E4A1_43FF_8DEB_F227F057D3A2_.wvu.FilterData" localSheetId="2" hidden="1">AN_Control!$A$2:$H$2473</definedName>
    <definedName name="Z_0B8A69EE_E4A1_43FF_8DEB_F227F057D3A2_.wvu.FilterData" localSheetId="4" hidden="1">Bao_Cao!$A$2:$H$2474</definedName>
    <definedName name="Z_0B8A69EE_E4A1_43FF_8DEB_F227F057D3A2_.wvu.FilterData" localSheetId="5" hidden="1">Bao_Cao_AT!$A$2:$H$2474</definedName>
    <definedName name="Z_0B8A69EE_E4A1_43FF_8DEB_F227F057D3A2_.wvu.FilterData" localSheetId="6" hidden="1">Bao_Cao_VH!$A$2:$H$2474</definedName>
    <definedName name="Z_0B9429D5_5778_4465_B58D_8D321889E1F1_.wvu.FilterData" localSheetId="3" hidden="1">SL_Control!$A$2:$H$1390</definedName>
    <definedName name="Z_0BAF0465_45FE_449E_879C_F98E9D35D024_.wvu.FilterData" localSheetId="3" hidden="1">SL_Control!$A$2:$H$873</definedName>
    <definedName name="Z_0BE091CD_9E41_4BF1_9FB5_70ABD9E6A95A_.wvu.FilterData" localSheetId="2" hidden="1">AN_Control!$A$2:$H$4612</definedName>
    <definedName name="Z_0BE091CD_9E41_4BF1_9FB5_70ABD9E6A95A_.wvu.FilterData" localSheetId="4" hidden="1">Bao_Cao!$A$2:$H$3882</definedName>
    <definedName name="Z_0BE091CD_9E41_4BF1_9FB5_70ABD9E6A95A_.wvu.FilterData" localSheetId="5" hidden="1">Bao_Cao_AT!$A$2:$H$3882</definedName>
    <definedName name="Z_0BE091CD_9E41_4BF1_9FB5_70ABD9E6A95A_.wvu.FilterData" localSheetId="6" hidden="1">Bao_Cao_VH!$A$2:$H$3882</definedName>
    <definedName name="Z_0C35E106_BB65_4A93_870A_6F36EF15DD95_.wvu.FilterData" localSheetId="4" hidden="1">Bao_Cao!$A$2:$H$3882</definedName>
    <definedName name="Z_0C35E106_BB65_4A93_870A_6F36EF15DD95_.wvu.FilterData" localSheetId="5" hidden="1">Bao_Cao_AT!$A$2:$H$3882</definedName>
    <definedName name="Z_0C35E106_BB65_4A93_870A_6F36EF15DD95_.wvu.FilterData" localSheetId="6" hidden="1">Bao_Cao_VH!$A$2:$H$3882</definedName>
    <definedName name="Z_0C35E106_BB65_4A93_870A_6F36EF15DD95_.wvu.FilterData" localSheetId="3" hidden="1">SL_Control!$A$2:$H$1230</definedName>
    <definedName name="Z_0C3ECDE0_B358_495C_8B12_12CE3796D7EC_.wvu.FilterData" localSheetId="2" hidden="1">AN_Control!$A$2:$H$3334</definedName>
    <definedName name="Z_0C3ECDE0_B358_495C_8B12_12CE3796D7EC_.wvu.FilterData" localSheetId="4" hidden="1">Bao_Cao!$A$2:$H$3335</definedName>
    <definedName name="Z_0C3ECDE0_B358_495C_8B12_12CE3796D7EC_.wvu.FilterData" localSheetId="5" hidden="1">Bao_Cao_AT!$A$2:$H$3335</definedName>
    <definedName name="Z_0C3ECDE0_B358_495C_8B12_12CE3796D7EC_.wvu.FilterData" localSheetId="6" hidden="1">Bao_Cao_VH!$A$2:$H$3335</definedName>
    <definedName name="Z_0C6A668D_2469_475C_957F_18A51D331063_.wvu.FilterData" localSheetId="2" hidden="1">AN_Control!$A$2:$H$4309</definedName>
    <definedName name="Z_0C6A668D_2469_475C_957F_18A51D331063_.wvu.FilterData" localSheetId="4" hidden="1">Bao_Cao!$A$2:$H$3882</definedName>
    <definedName name="Z_0C6A668D_2469_475C_957F_18A51D331063_.wvu.FilterData" localSheetId="5" hidden="1">Bao_Cao_AT!$A$2:$H$3882</definedName>
    <definedName name="Z_0C6A668D_2469_475C_957F_18A51D331063_.wvu.FilterData" localSheetId="6" hidden="1">Bao_Cao_VH!$A$2:$H$3882</definedName>
    <definedName name="Z_0CA82D5E_7638_41A4_BCCB_FF6DF3751416_.wvu.FilterData" localSheetId="2" hidden="1">AN_Control!$A$2:$H$1404</definedName>
    <definedName name="Z_0CA82D5E_7638_41A4_BCCB_FF6DF3751416_.wvu.FilterData" localSheetId="4" hidden="1">Bao_Cao!$A$2:$H$1404</definedName>
    <definedName name="Z_0CA82D5E_7638_41A4_BCCB_FF6DF3751416_.wvu.FilterData" localSheetId="5" hidden="1">Bao_Cao_AT!$A$2:$H$1404</definedName>
    <definedName name="Z_0CA82D5E_7638_41A4_BCCB_FF6DF3751416_.wvu.FilterData" localSheetId="6" hidden="1">Bao_Cao_VH!$A$2:$H$1404</definedName>
    <definedName name="Z_0D0EA49B_9854_48B8_8754_7827DE1B4AD2_.wvu.FilterData" localSheetId="2" hidden="1">AN_Control!$A$2:$H$4886</definedName>
    <definedName name="Z_0D0EA49B_9854_48B8_8754_7827DE1B4AD2_.wvu.FilterData" localSheetId="3" hidden="1">SL_Control!$A$2:$H$1193</definedName>
    <definedName name="Z_0E855BE4_29DE_4788_BF72_5C877D8991C7_.wvu.FilterData" localSheetId="3" hidden="1">SL_Control!$A$2:$H$205</definedName>
    <definedName name="Z_0F56565C_1A83_4DC1_9127_A3D0BBA04857_.wvu.FilterData" localSheetId="2" hidden="1">AN_Control!$A$2:$H$3519</definedName>
    <definedName name="Z_0F56565C_1A83_4DC1_9127_A3D0BBA04857_.wvu.FilterData" localSheetId="4" hidden="1">Bao_Cao!$A$2:$H$3520</definedName>
    <definedName name="Z_0F56565C_1A83_4DC1_9127_A3D0BBA04857_.wvu.FilterData" localSheetId="5" hidden="1">Bao_Cao_AT!$A$2:$H$3520</definedName>
    <definedName name="Z_0F56565C_1A83_4DC1_9127_A3D0BBA04857_.wvu.FilterData" localSheetId="6" hidden="1">Bao_Cao_VH!$A$2:$H$3520</definedName>
    <definedName name="Z_0F7EBC5B_2EA7_4D56_A255_F4053D1F6DEA_.wvu.FilterData" localSheetId="4" hidden="1">Bao_Cao!$A$2:$H$3882</definedName>
    <definedName name="Z_0F7EBC5B_2EA7_4D56_A255_F4053D1F6DEA_.wvu.FilterData" localSheetId="5" hidden="1">Bao_Cao_AT!$A$2:$H$3882</definedName>
    <definedName name="Z_0F7EBC5B_2EA7_4D56_A255_F4053D1F6DEA_.wvu.FilterData" localSheetId="6" hidden="1">Bao_Cao_VH!$A$2:$H$3882</definedName>
    <definedName name="Z_0F7EBC5B_2EA7_4D56_A255_F4053D1F6DEA_.wvu.FilterData" localSheetId="3" hidden="1">SL_Control!$A$2:$H$1102</definedName>
    <definedName name="Z_0FA5165A_64ED_46AA_A982_8B317340628A_.wvu.FilterData" localSheetId="2" hidden="1">AN_Control!$A$2:$H$5452</definedName>
    <definedName name="Z_0FA5165A_64ED_46AA_A982_8B317340628A_.wvu.FilterData" localSheetId="4" hidden="1">Bao_Cao!$A$2:$H$3882</definedName>
    <definedName name="Z_0FA5165A_64ED_46AA_A982_8B317340628A_.wvu.FilterData" localSheetId="5" hidden="1">Bao_Cao_AT!$A$2:$H$3882</definedName>
    <definedName name="Z_0FA5165A_64ED_46AA_A982_8B317340628A_.wvu.FilterData" localSheetId="6" hidden="1">Bao_Cao_VH!$A$2:$H$3882</definedName>
    <definedName name="Z_1025C116_3973_4850_B686_8FA25BC0B463_.wvu.FilterData" localSheetId="3" hidden="1">SL_Control!$A$2:$H$250</definedName>
    <definedName name="Z_10CF85D8_BB49_4516_B57A_00849133CD04_.wvu.FilterData" localSheetId="3" hidden="1">SL_Control!$A$2:$H$144</definedName>
    <definedName name="Z_112A5E2F_C16E_45DD_AEB9_3B399FF9F62D_.wvu.FilterData" localSheetId="2" hidden="1">AN_Control!$A$2:$H$3928</definedName>
    <definedName name="Z_112A5E2F_C16E_45DD_AEB9_3B399FF9F62D_.wvu.FilterData" localSheetId="4" hidden="1">Bao_Cao!$A$2:$H$3882</definedName>
    <definedName name="Z_112A5E2F_C16E_45DD_AEB9_3B399FF9F62D_.wvu.FilterData" localSheetId="5" hidden="1">Bao_Cao_AT!$A$2:$H$3882</definedName>
    <definedName name="Z_112A5E2F_C16E_45DD_AEB9_3B399FF9F62D_.wvu.FilterData" localSheetId="6" hidden="1">Bao_Cao_VH!$A$2:$H$3882</definedName>
    <definedName name="Z_11AA65F9_961A_4D37_B642_0C422A8E9A99_.wvu.FilterData" localSheetId="2" hidden="1">AN_Control!$A$2:$H$3849</definedName>
    <definedName name="Z_11AA65F9_961A_4D37_B642_0C422A8E9A99_.wvu.FilterData" localSheetId="4" hidden="1">Bao_Cao!$A$2:$H$3851</definedName>
    <definedName name="Z_11AA65F9_961A_4D37_B642_0C422A8E9A99_.wvu.FilterData" localSheetId="5" hidden="1">Bao_Cao_AT!$A$2:$H$3851</definedName>
    <definedName name="Z_11AA65F9_961A_4D37_B642_0C422A8E9A99_.wvu.FilterData" localSheetId="6" hidden="1">Bao_Cao_VH!$A$2:$H$3851</definedName>
    <definedName name="Z_12CB56A6_F58E_42A9_919D_62C4D76E736E_.wvu.FilterData" localSheetId="2" hidden="1">AN_Control!$A$2:$H$4166</definedName>
    <definedName name="Z_12CB56A6_F58E_42A9_919D_62C4D76E736E_.wvu.FilterData" localSheetId="4" hidden="1">Bao_Cao!$A$2:$H$3882</definedName>
    <definedName name="Z_12CB56A6_F58E_42A9_919D_62C4D76E736E_.wvu.FilterData" localSheetId="5" hidden="1">Bao_Cao_AT!$A$2:$H$3882</definedName>
    <definedName name="Z_12CB56A6_F58E_42A9_919D_62C4D76E736E_.wvu.FilterData" localSheetId="6" hidden="1">Bao_Cao_VH!$A$2:$H$3882</definedName>
    <definedName name="Z_12EAA51A_7016_4C3A_B3C9_EEC5DC18BB3D_.wvu.FilterData" localSheetId="2" hidden="1">AN_Control!$A$2:$H$1790</definedName>
    <definedName name="Z_12EAA51A_7016_4C3A_B3C9_EEC5DC18BB3D_.wvu.FilterData" localSheetId="4" hidden="1">Bao_Cao!$A$2:$H$1790</definedName>
    <definedName name="Z_12EAA51A_7016_4C3A_B3C9_EEC5DC18BB3D_.wvu.FilterData" localSheetId="5" hidden="1">Bao_Cao_AT!$A$2:$H$1790</definedName>
    <definedName name="Z_12EAA51A_7016_4C3A_B3C9_EEC5DC18BB3D_.wvu.FilterData" localSheetId="6" hidden="1">Bao_Cao_VH!$A$2:$H$1790</definedName>
    <definedName name="Z_1350C65C_7181_4595_AD1F_EDA829D8DAF8_.wvu.FilterData" localSheetId="3" hidden="1">SL_Control!$A$2:$H$539</definedName>
    <definedName name="Z_13F925C1_D41B_4F9B_BAAA_10338A514E9E_.wvu.FilterData" localSheetId="2" hidden="1">AN_Control!$A$2:$H$1596</definedName>
    <definedName name="Z_13F925C1_D41B_4F9B_BAAA_10338A514E9E_.wvu.FilterData" localSheetId="4" hidden="1">Bao_Cao!$A$2:$H$1596</definedName>
    <definedName name="Z_13F925C1_D41B_4F9B_BAAA_10338A514E9E_.wvu.FilterData" localSheetId="5" hidden="1">Bao_Cao_AT!$A$2:$H$1596</definedName>
    <definedName name="Z_13F925C1_D41B_4F9B_BAAA_10338A514E9E_.wvu.FilterData" localSheetId="6" hidden="1">Bao_Cao_VH!$A$2:$H$1596</definedName>
    <definedName name="Z_13FE0DC8_EF6C_4CDA_BD49_DC570D2B6582_.wvu.Cols" localSheetId="7" hidden="1">Item!$A:$A,Item!$X:$CG</definedName>
    <definedName name="Z_13FE0DC8_EF6C_4CDA_BD49_DC570D2B6582_.wvu.FilterData" localSheetId="2" hidden="1">AN_Control!$A$2:$H$5642</definedName>
    <definedName name="Z_13FE0DC8_EF6C_4CDA_BD49_DC570D2B6582_.wvu.FilterData" localSheetId="4" hidden="1">Bao_Cao!$A$2:$H$3882</definedName>
    <definedName name="Z_13FE0DC8_EF6C_4CDA_BD49_DC570D2B6582_.wvu.FilterData" localSheetId="5" hidden="1">Bao_Cao_AT!$A$2:$H$3882</definedName>
    <definedName name="Z_13FE0DC8_EF6C_4CDA_BD49_DC570D2B6582_.wvu.FilterData" localSheetId="6" hidden="1">Bao_Cao_VH!$A$2:$H$3882</definedName>
    <definedName name="Z_13FE0DC8_EF6C_4CDA_BD49_DC570D2B6582_.wvu.FilterData" localSheetId="3" hidden="1">SL_Control!$A$2:$H$1427</definedName>
    <definedName name="Z_13FE0DC8_EF6C_4CDA_BD49_DC570D2B6582_.wvu.Rows" localSheetId="7" hidden="1">Item!$3:$3</definedName>
    <definedName name="Z_14D4BEA6_3B76_4AC7_9C97_346F20252994_.wvu.FilterData" localSheetId="2" hidden="1">AN_Control!$A$2:$H$2888</definedName>
    <definedName name="Z_14D4BEA6_3B76_4AC7_9C97_346F20252994_.wvu.FilterData" localSheetId="4" hidden="1">Bao_Cao!$A$2:$H$2889</definedName>
    <definedName name="Z_14D4BEA6_3B76_4AC7_9C97_346F20252994_.wvu.FilterData" localSheetId="5" hidden="1">Bao_Cao_AT!$A$2:$H$2889</definedName>
    <definedName name="Z_14D4BEA6_3B76_4AC7_9C97_346F20252994_.wvu.FilterData" localSheetId="6" hidden="1">Bao_Cao_VH!$A$2:$H$2889</definedName>
    <definedName name="Z_15AE2510_B63B_480D_9BC2_51B53CAFED1A_.wvu.FilterData" localSheetId="2" hidden="1">AN_Control!$A$2:$H$1712</definedName>
    <definedName name="Z_15AE2510_B63B_480D_9BC2_51B53CAFED1A_.wvu.FilterData" localSheetId="4" hidden="1">Bao_Cao!$A$2:$H$1712</definedName>
    <definedName name="Z_15AE2510_B63B_480D_9BC2_51B53CAFED1A_.wvu.FilterData" localSheetId="5" hidden="1">Bao_Cao_AT!$A$2:$H$1712</definedName>
    <definedName name="Z_15AE2510_B63B_480D_9BC2_51B53CAFED1A_.wvu.FilterData" localSheetId="6" hidden="1">Bao_Cao_VH!$A$2:$H$1712</definedName>
    <definedName name="Z_16C42120_8ADA_4135_A282_991D16C151FE_.wvu.Cols" localSheetId="7" hidden="1">Item!$A:$A,Item!$X:$CG</definedName>
    <definedName name="Z_16C42120_8ADA_4135_A282_991D16C151FE_.wvu.FilterData" localSheetId="2" hidden="1">AN_Control!$A$2:$H$5693</definedName>
    <definedName name="Z_16C42120_8ADA_4135_A282_991D16C151FE_.wvu.FilterData" localSheetId="4" hidden="1">Bao_Cao!$A$2:$H$3882</definedName>
    <definedName name="Z_16C42120_8ADA_4135_A282_991D16C151FE_.wvu.FilterData" localSheetId="5" hidden="1">Bao_Cao_AT!$A$2:$H$3882</definedName>
    <definedName name="Z_16C42120_8ADA_4135_A282_991D16C151FE_.wvu.FilterData" localSheetId="6" hidden="1">Bao_Cao_VH!$A$2:$H$3882</definedName>
    <definedName name="Z_16C42120_8ADA_4135_A282_991D16C151FE_.wvu.FilterData" localSheetId="3" hidden="1">SL_Control!$A$2:$H$1476</definedName>
    <definedName name="Z_16C42120_8ADA_4135_A282_991D16C151FE_.wvu.Rows" localSheetId="7" hidden="1">Item!$3:$3</definedName>
    <definedName name="Z_16D906F4_C6EE_4080_84CB_030B8B1A516F_.wvu.FilterData" localSheetId="2" hidden="1">AN_Control!$A$2:$H$4650</definedName>
    <definedName name="Z_16F0C0FD_C5BB_4C75_B1CB_8053A191019C_.wvu.FilterData" localSheetId="2" hidden="1">AN_Control!$A$2:$H$2454</definedName>
    <definedName name="Z_16F0C0FD_C5BB_4C75_B1CB_8053A191019C_.wvu.FilterData" localSheetId="4" hidden="1">Bao_Cao!$A$2:$H$2455</definedName>
    <definedName name="Z_16F0C0FD_C5BB_4C75_B1CB_8053A191019C_.wvu.FilterData" localSheetId="5" hidden="1">Bao_Cao_AT!$A$2:$H$2455</definedName>
    <definedName name="Z_16F0C0FD_C5BB_4C75_B1CB_8053A191019C_.wvu.FilterData" localSheetId="6" hidden="1">Bao_Cao_VH!$A$2:$H$2455</definedName>
    <definedName name="Z_171707AD_B562_46BC_8383_69EEBD8E3802_.wvu.FilterData" localSheetId="2" hidden="1">AN_Control!$A$2:$H$1583</definedName>
    <definedName name="Z_171707AD_B562_46BC_8383_69EEBD8E3802_.wvu.FilterData" localSheetId="4" hidden="1">Bao_Cao!$A$2:$H$1583</definedName>
    <definedName name="Z_171707AD_B562_46BC_8383_69EEBD8E3802_.wvu.FilterData" localSheetId="5" hidden="1">Bao_Cao_AT!$A$2:$H$1583</definedName>
    <definedName name="Z_171707AD_B562_46BC_8383_69EEBD8E3802_.wvu.FilterData" localSheetId="6" hidden="1">Bao_Cao_VH!$A$2:$H$1583</definedName>
    <definedName name="Z_171707AD_B562_46BC_8383_69EEBD8E3802_.wvu.FilterData" localSheetId="3" hidden="1">SL_Control!$A$2:$H$409</definedName>
    <definedName name="Z_1786E512_018D_4528_B19E_78E4C29892AA_.wvu.FilterData" localSheetId="3" hidden="1">SL_Control!$A$2:$H$594</definedName>
    <definedName name="Z_17A211BD_223E_4F71_B800_5324D2D68D5A_.wvu.FilterData" localSheetId="2" hidden="1">AN_Control!$A$2:$H$4846</definedName>
    <definedName name="Z_17A211BD_223E_4F71_B800_5324D2D68D5A_.wvu.FilterData" localSheetId="4" hidden="1">Bao_Cao!$A$2:$H$3882</definedName>
    <definedName name="Z_17A211BD_223E_4F71_B800_5324D2D68D5A_.wvu.FilterData" localSheetId="5" hidden="1">Bao_Cao_AT!$A$2:$H$3882</definedName>
    <definedName name="Z_17A211BD_223E_4F71_B800_5324D2D68D5A_.wvu.FilterData" localSheetId="6" hidden="1">Bao_Cao_VH!$A$2:$H$3882</definedName>
    <definedName name="Z_17FE0B37_EBE4_425A_9C9C_D66521792F03_.wvu.FilterData" localSheetId="2" hidden="1">AN_Control!$A$2:$H$691</definedName>
    <definedName name="Z_17FE0B37_EBE4_425A_9C9C_D66521792F03_.wvu.FilterData" localSheetId="4" hidden="1">Bao_Cao!$A$2:$H$691</definedName>
    <definedName name="Z_17FE0B37_EBE4_425A_9C9C_D66521792F03_.wvu.FilterData" localSheetId="5" hidden="1">Bao_Cao_AT!$A$2:$H$691</definedName>
    <definedName name="Z_17FE0B37_EBE4_425A_9C9C_D66521792F03_.wvu.FilterData" localSheetId="6" hidden="1">Bao_Cao_VH!$A$2:$H$691</definedName>
    <definedName name="Z_18852976_9139_4432_A03A_91104CCFDDB8_.wvu.FilterData" localSheetId="2" hidden="1">AN_Control!$A$2:$H$3199</definedName>
    <definedName name="Z_18852976_9139_4432_A03A_91104CCFDDB8_.wvu.FilterData" localSheetId="4" hidden="1">Bao_Cao!$A$2:$H$3200</definedName>
    <definedName name="Z_18852976_9139_4432_A03A_91104CCFDDB8_.wvu.FilterData" localSheetId="5" hidden="1">Bao_Cao_AT!$A$2:$H$3200</definedName>
    <definedName name="Z_18852976_9139_4432_A03A_91104CCFDDB8_.wvu.FilterData" localSheetId="6" hidden="1">Bao_Cao_VH!$A$2:$H$3200</definedName>
    <definedName name="Z_18852976_9139_4432_A03A_91104CCFDDB8_.wvu.FilterData" localSheetId="3" hidden="1">SL_Control!$A$2:$H$727</definedName>
    <definedName name="Z_188EC996_E893_4251_93CA_14703AB6B7FF_.wvu.FilterData" localSheetId="2" hidden="1">AN_Control!$A$2:$H$1220</definedName>
    <definedName name="Z_188EC996_E893_4251_93CA_14703AB6B7FF_.wvu.FilterData" localSheetId="4" hidden="1">Bao_Cao!$A$2:$H$1220</definedName>
    <definedName name="Z_188EC996_E893_4251_93CA_14703AB6B7FF_.wvu.FilterData" localSheetId="5" hidden="1">Bao_Cao_AT!$A$2:$H$1220</definedName>
    <definedName name="Z_188EC996_E893_4251_93CA_14703AB6B7FF_.wvu.FilterData" localSheetId="6" hidden="1">Bao_Cao_VH!$A$2:$H$1220</definedName>
    <definedName name="Z_188EC996_E893_4251_93CA_14703AB6B7FF_.wvu.FilterData" localSheetId="3" hidden="1">SL_Control!$A$2:$H$339</definedName>
    <definedName name="Z_18981A96_959F_47BE_A87C_929BBD556C8B_.wvu.FilterData" localSheetId="2" hidden="1">AN_Control!$A$2:$H$1235</definedName>
    <definedName name="Z_18981A96_959F_47BE_A87C_929BBD556C8B_.wvu.FilterData" localSheetId="4" hidden="1">Bao_Cao!$A$2:$H$1235</definedName>
    <definedName name="Z_18981A96_959F_47BE_A87C_929BBD556C8B_.wvu.FilterData" localSheetId="5" hidden="1">Bao_Cao_AT!$A$2:$H$1235</definedName>
    <definedName name="Z_18981A96_959F_47BE_A87C_929BBD556C8B_.wvu.FilterData" localSheetId="6" hidden="1">Bao_Cao_VH!$A$2:$H$1235</definedName>
    <definedName name="Z_18981A96_959F_47BE_A87C_929BBD556C8B_.wvu.FilterData" localSheetId="3" hidden="1">SL_Control!$A$2:$H$346</definedName>
    <definedName name="Z_191BE520_C1EB_4C2E_8970_874B58DE2E08_.wvu.FilterData" localSheetId="2" hidden="1">AN_Control!$A$2:$H$2346</definedName>
    <definedName name="Z_191BE520_C1EB_4C2E_8970_874B58DE2E08_.wvu.FilterData" localSheetId="4" hidden="1">Bao_Cao!$A$2:$H$2346</definedName>
    <definedName name="Z_191BE520_C1EB_4C2E_8970_874B58DE2E08_.wvu.FilterData" localSheetId="5" hidden="1">Bao_Cao_AT!$A$2:$H$2346</definedName>
    <definedName name="Z_191BE520_C1EB_4C2E_8970_874B58DE2E08_.wvu.FilterData" localSheetId="6" hidden="1">Bao_Cao_VH!$A$2:$H$2346</definedName>
    <definedName name="Z_19B7F534_6B4A_46F1_B31B_D89B19DD3DA1_.wvu.FilterData" localSheetId="2" hidden="1">AN_Control!$A$2:$H$920</definedName>
    <definedName name="Z_19B7F534_6B4A_46F1_B31B_D89B19DD3DA1_.wvu.FilterData" localSheetId="4" hidden="1">Bao_Cao!$A$2:$H$920</definedName>
    <definedName name="Z_19B7F534_6B4A_46F1_B31B_D89B19DD3DA1_.wvu.FilterData" localSheetId="5" hidden="1">Bao_Cao_AT!$A$2:$H$920</definedName>
    <definedName name="Z_19B7F534_6B4A_46F1_B31B_D89B19DD3DA1_.wvu.FilterData" localSheetId="6" hidden="1">Bao_Cao_VH!$A$2:$H$920</definedName>
    <definedName name="Z_1A0A56E5_DCCA_44AD_8643_1710CE3C99E2_.wvu.FilterData" localSheetId="2" hidden="1">AN_Control!$A$2:$H$5480</definedName>
    <definedName name="Z_1AD6AA6F_769F_4512_92BE_F829570E83AE_.wvu.FilterData" localSheetId="2" hidden="1">AN_Control!$A$2:$H$4515</definedName>
    <definedName name="Z_1AD6AA6F_769F_4512_92BE_F829570E83AE_.wvu.FilterData" localSheetId="4" hidden="1">Bao_Cao!$A$2:$H$3882</definedName>
    <definedName name="Z_1AD6AA6F_769F_4512_92BE_F829570E83AE_.wvu.FilterData" localSheetId="5" hidden="1">Bao_Cao_AT!$A$2:$H$3882</definedName>
    <definedName name="Z_1AD6AA6F_769F_4512_92BE_F829570E83AE_.wvu.FilterData" localSheetId="6" hidden="1">Bao_Cao_VH!$A$2:$H$3882</definedName>
    <definedName name="Z_1BB116C3_DF4B_44E5_9A89_33476427D37A_.wvu.FilterData" localSheetId="2" hidden="1">AN_Control!$A$2:$H$691</definedName>
    <definedName name="Z_1BB116C3_DF4B_44E5_9A89_33476427D37A_.wvu.FilterData" localSheetId="4" hidden="1">Bao_Cao!$A$2:$H$691</definedName>
    <definedName name="Z_1BB116C3_DF4B_44E5_9A89_33476427D37A_.wvu.FilterData" localSheetId="5" hidden="1">Bao_Cao_AT!$A$2:$H$691</definedName>
    <definedName name="Z_1BB116C3_DF4B_44E5_9A89_33476427D37A_.wvu.FilterData" localSheetId="6" hidden="1">Bao_Cao_VH!$A$2:$H$691</definedName>
    <definedName name="Z_1BE5FBE7_EB61_4BC8_BF99_B77AB2867BA5_.wvu.FilterData" localSheetId="3" hidden="1">SL_Control!$A$2:$H$539</definedName>
    <definedName name="Z_1C933BD8_3D33_4FDE_B391_53028C5A5AD1_.wvu.FilterData" localSheetId="3" hidden="1">SL_Control!$A$2:$H$749</definedName>
    <definedName name="Z_1CE43DB2_EFF6_4D79_85C2_220E15C9D506_.wvu.FilterData" localSheetId="4" hidden="1">Bao_Cao!$A$2:$H$3882</definedName>
    <definedName name="Z_1CE43DB2_EFF6_4D79_85C2_220E15C9D506_.wvu.FilterData" localSheetId="5" hidden="1">Bao_Cao_AT!$A$2:$H$3882</definedName>
    <definedName name="Z_1CE43DB2_EFF6_4D79_85C2_220E15C9D506_.wvu.FilterData" localSheetId="6" hidden="1">Bao_Cao_VH!$A$2:$H$3882</definedName>
    <definedName name="Z_1D39220A_4371_422E_A619_4AA467183DD5_.wvu.FilterData" localSheetId="3" hidden="1">SL_Control!$A$2:$H$725</definedName>
    <definedName name="Z_1D4E7B36_C060_402F_9AA7_31D9F3CF1486_.wvu.FilterData" localSheetId="2" hidden="1">AN_Control!$A$2:$H$5371</definedName>
    <definedName name="Z_1D4E7B36_C060_402F_9AA7_31D9F3CF1486_.wvu.FilterData" localSheetId="4" hidden="1">Bao_Cao!$A$2:$H$3882</definedName>
    <definedName name="Z_1D4E7B36_C060_402F_9AA7_31D9F3CF1486_.wvu.FilterData" localSheetId="5" hidden="1">Bao_Cao_AT!$A$2:$H$3882</definedName>
    <definedName name="Z_1D4E7B36_C060_402F_9AA7_31D9F3CF1486_.wvu.FilterData" localSheetId="6" hidden="1">Bao_Cao_VH!$A$2:$H$3882</definedName>
    <definedName name="Z_1D4E7B36_C060_402F_9AA7_31D9F3CF1486_.wvu.FilterData" localSheetId="3" hidden="1">SL_Control!$A$2:$H$1363</definedName>
    <definedName name="Z_1D5827DD_FB22_428C_8AFF_CF765CB21BC2_.wvu.FilterData" localSheetId="2" hidden="1">AN_Control!$A$2:$H$4433</definedName>
    <definedName name="Z_1D5827DD_FB22_428C_8AFF_CF765CB21BC2_.wvu.FilterData" localSheetId="4" hidden="1">Bao_Cao!$A$2:$H$3882</definedName>
    <definedName name="Z_1D5827DD_FB22_428C_8AFF_CF765CB21BC2_.wvu.FilterData" localSheetId="5" hidden="1">Bao_Cao_AT!$A$2:$H$3882</definedName>
    <definedName name="Z_1D5827DD_FB22_428C_8AFF_CF765CB21BC2_.wvu.FilterData" localSheetId="6" hidden="1">Bao_Cao_VH!$A$2:$H$3882</definedName>
    <definedName name="Z_1D5827DD_FB22_428C_8AFF_CF765CB21BC2_.wvu.FilterData" localSheetId="3" hidden="1">SL_Control!$A$2:$H$1090</definedName>
    <definedName name="Z_1D7672B7_AE13_4443_BC12_E0367EACF715_.wvu.FilterData" localSheetId="2" hidden="1">AN_Control!$A$2:$H$5478</definedName>
    <definedName name="Z_1D7672B7_AE13_4443_BC12_E0367EACF715_.wvu.FilterData" localSheetId="3" hidden="1">SL_Control!$A$2:$H$1414</definedName>
    <definedName name="Z_1D80A2B9_6565_4D39_A1D1_EE4174FDAEC0_.wvu.FilterData" localSheetId="4" hidden="1">Bao_Cao!$A$2:$H$3882</definedName>
    <definedName name="Z_1D80A2B9_6565_4D39_A1D1_EE4174FDAEC0_.wvu.FilterData" localSheetId="5" hidden="1">Bao_Cao_AT!$A$2:$H$3882</definedName>
    <definedName name="Z_1D80A2B9_6565_4D39_A1D1_EE4174FDAEC0_.wvu.FilterData" localSheetId="6" hidden="1">Bao_Cao_VH!$A$2:$H$3882</definedName>
    <definedName name="Z_1D80A2B9_6565_4D39_A1D1_EE4174FDAEC0_.wvu.FilterData" localSheetId="3" hidden="1">SL_Control!$A$2:$H$1164</definedName>
    <definedName name="Z_1E226BB4_D84B_45DB_9681_64B96CDEC235_.wvu.FilterData" localSheetId="2" hidden="1">AN_Control!$A$2:$H$2092</definedName>
    <definedName name="Z_1E226BB4_D84B_45DB_9681_64B96CDEC235_.wvu.FilterData" localSheetId="4" hidden="1">Bao_Cao!$A$2:$H$2092</definedName>
    <definedName name="Z_1E226BB4_D84B_45DB_9681_64B96CDEC235_.wvu.FilterData" localSheetId="5" hidden="1">Bao_Cao_AT!$A$2:$H$2092</definedName>
    <definedName name="Z_1E226BB4_D84B_45DB_9681_64B96CDEC235_.wvu.FilterData" localSheetId="6" hidden="1">Bao_Cao_VH!$A$2:$H$2092</definedName>
    <definedName name="Z_1E226BB4_D84B_45DB_9681_64B96CDEC235_.wvu.FilterData" localSheetId="3" hidden="1">SL_Control!$A$2:$H$520</definedName>
    <definedName name="Z_1E456067_07CC_4429_A394_F6D61FA8543D_.wvu.FilterData" localSheetId="4" hidden="1">Bao_Cao!$A$2:$H$3882</definedName>
    <definedName name="Z_1E456067_07CC_4429_A394_F6D61FA8543D_.wvu.FilterData" localSheetId="5" hidden="1">Bao_Cao_AT!$A$2:$H$3882</definedName>
    <definedName name="Z_1E456067_07CC_4429_A394_F6D61FA8543D_.wvu.FilterData" localSheetId="6" hidden="1">Bao_Cao_VH!$A$2:$H$3882</definedName>
    <definedName name="Z_1E46BC63_8C67_4DFE_AA47_F5512936BCB5_.wvu.FilterData" localSheetId="2" hidden="1">AN_Control!$A$2:$H$5556</definedName>
    <definedName name="Z_1E46BC63_8C67_4DFE_AA47_F5512936BCB5_.wvu.FilterData" localSheetId="4" hidden="1">Bao_Cao!$A$2:$H$3882</definedName>
    <definedName name="Z_1E46BC63_8C67_4DFE_AA47_F5512936BCB5_.wvu.FilterData" localSheetId="5" hidden="1">Bao_Cao_AT!$A$2:$H$3882</definedName>
    <definedName name="Z_1E46BC63_8C67_4DFE_AA47_F5512936BCB5_.wvu.FilterData" localSheetId="6" hidden="1">Bao_Cao_VH!$A$2:$H$3882</definedName>
    <definedName name="Z_1E84357B_40E7_41A8_A0C6_3CFBC8B868BB_.wvu.FilterData" localSheetId="2" hidden="1">AN_Control!$A$2:$H$4128</definedName>
    <definedName name="Z_1E84357B_40E7_41A8_A0C6_3CFBC8B868BB_.wvu.FilterData" localSheetId="4" hidden="1">Bao_Cao!$A$2:$H$3882</definedName>
    <definedName name="Z_1E84357B_40E7_41A8_A0C6_3CFBC8B868BB_.wvu.FilterData" localSheetId="5" hidden="1">Bao_Cao_AT!$A$2:$H$3882</definedName>
    <definedName name="Z_1E84357B_40E7_41A8_A0C6_3CFBC8B868BB_.wvu.FilterData" localSheetId="6" hidden="1">Bao_Cao_VH!$A$2:$H$3882</definedName>
    <definedName name="Z_1E84357B_40E7_41A8_A0C6_3CFBC8B868BB_.wvu.FilterData" localSheetId="3" hidden="1">SL_Control!$A$2:$H$1014</definedName>
    <definedName name="Z_1F287B0E_2E33_4C8D_8E04_59180B99112D_.wvu.FilterData" localSheetId="2" hidden="1">AN_Control!$A$2:$H$4669</definedName>
    <definedName name="Z_1F50E31C_C04B_48F8_9F87_C566FD753AD5_.wvu.FilterData" localSheetId="4" hidden="1">Bao_Cao!$A$2:$H$3882</definedName>
    <definedName name="Z_1F50E31C_C04B_48F8_9F87_C566FD753AD5_.wvu.FilterData" localSheetId="5" hidden="1">Bao_Cao_AT!$A$2:$H$3882</definedName>
    <definedName name="Z_1F50E31C_C04B_48F8_9F87_C566FD753AD5_.wvu.FilterData" localSheetId="6" hidden="1">Bao_Cao_VH!$A$2:$H$3882</definedName>
    <definedName name="Z_204B1C7A_EB01_4574_B4E9_572D62FF2B54_.wvu.FilterData" localSheetId="2" hidden="1">AN_Control!$A$2:$H$796</definedName>
    <definedName name="Z_204B1C7A_EB01_4574_B4E9_572D62FF2B54_.wvu.FilterData" localSheetId="4" hidden="1">Bao_Cao!$A$2:$H$796</definedName>
    <definedName name="Z_204B1C7A_EB01_4574_B4E9_572D62FF2B54_.wvu.FilterData" localSheetId="5" hidden="1">Bao_Cao_AT!$A$2:$H$796</definedName>
    <definedName name="Z_204B1C7A_EB01_4574_B4E9_572D62FF2B54_.wvu.FilterData" localSheetId="6" hidden="1">Bao_Cao_VH!$A$2:$H$796</definedName>
    <definedName name="Z_2086C430_C90D_4CA9_AFE1_0C9C1F4FDBB3_.wvu.FilterData" localSheetId="2" hidden="1">AN_Control!$A$2:$H$1196</definedName>
    <definedName name="Z_2086C430_C90D_4CA9_AFE1_0C9C1F4FDBB3_.wvu.FilterData" localSheetId="4" hidden="1">Bao_Cao!$A$2:$H$1196</definedName>
    <definedName name="Z_2086C430_C90D_4CA9_AFE1_0C9C1F4FDBB3_.wvu.FilterData" localSheetId="5" hidden="1">Bao_Cao_AT!$A$2:$H$1196</definedName>
    <definedName name="Z_2086C430_C90D_4CA9_AFE1_0C9C1F4FDBB3_.wvu.FilterData" localSheetId="6" hidden="1">Bao_Cao_VH!$A$2:$H$1196</definedName>
    <definedName name="Z_2092DD6E_9F6C_4CBD_BBC7_898A4066ACE8_.wvu.FilterData" localSheetId="2" hidden="1">AN_Control!$A$2:$H$5502</definedName>
    <definedName name="Z_2092DD6E_9F6C_4CBD_BBC7_898A4066ACE8_.wvu.FilterData" localSheetId="4" hidden="1">Bao_Cao!$A$2:$H$3882</definedName>
    <definedName name="Z_2092DD6E_9F6C_4CBD_BBC7_898A4066ACE8_.wvu.FilterData" localSheetId="5" hidden="1">Bao_Cao_AT!$A$2:$H$3882</definedName>
    <definedName name="Z_2092DD6E_9F6C_4CBD_BBC7_898A4066ACE8_.wvu.FilterData" localSheetId="6" hidden="1">Bao_Cao_VH!$A$2:$H$3882</definedName>
    <definedName name="Z_219E5D45_270E_4A57_8F8D_DB0005443CF3_.wvu.FilterData" localSheetId="4" hidden="1">Bao_Cao!$A$2:$H$3882</definedName>
    <definedName name="Z_219E5D45_270E_4A57_8F8D_DB0005443CF3_.wvu.FilterData" localSheetId="5" hidden="1">Bao_Cao_AT!$A$2:$H$3882</definedName>
    <definedName name="Z_219E5D45_270E_4A57_8F8D_DB0005443CF3_.wvu.FilterData" localSheetId="6" hidden="1">Bao_Cao_VH!$A$2:$H$3882</definedName>
    <definedName name="Z_21ACAC10_7472_4B2D_819E_CB7CF7CA7D13_.wvu.FilterData" localSheetId="2" hidden="1">AN_Control!$A$2:$H$315</definedName>
    <definedName name="Z_21ACAC10_7472_4B2D_819E_CB7CF7CA7D13_.wvu.FilterData" localSheetId="4" hidden="1">Bao_Cao!$A$2:$H$315</definedName>
    <definedName name="Z_21ACAC10_7472_4B2D_819E_CB7CF7CA7D13_.wvu.FilterData" localSheetId="5" hidden="1">Bao_Cao_AT!$A$2:$H$315</definedName>
    <definedName name="Z_21ACAC10_7472_4B2D_819E_CB7CF7CA7D13_.wvu.FilterData" localSheetId="6" hidden="1">Bao_Cao_VH!$A$2:$H$315</definedName>
    <definedName name="Z_21D60700_CBD6_430A_A53B_5DF29C62D71C_.wvu.FilterData" localSheetId="2" hidden="1">AN_Control!$A$2:$H$5650</definedName>
    <definedName name="Z_21D60700_CBD6_430A_A53B_5DF29C62D71C_.wvu.FilterData" localSheetId="4" hidden="1">Bao_Cao!$A$2:$H$3882</definedName>
    <definedName name="Z_21D60700_CBD6_430A_A53B_5DF29C62D71C_.wvu.FilterData" localSheetId="5" hidden="1">Bao_Cao_AT!$A$2:$H$3882</definedName>
    <definedName name="Z_21D60700_CBD6_430A_A53B_5DF29C62D71C_.wvu.FilterData" localSheetId="6" hidden="1">Bao_Cao_VH!$A$2:$H$3882</definedName>
    <definedName name="Z_21FDBB5E_87D9_4599_8CD3_A18304F00DE1_.wvu.FilterData" localSheetId="2" hidden="1">AN_Control!$A$2:$H$2249</definedName>
    <definedName name="Z_21FDBB5E_87D9_4599_8CD3_A18304F00DE1_.wvu.FilterData" localSheetId="4" hidden="1">Bao_Cao!$A$2:$H$2249</definedName>
    <definedName name="Z_21FDBB5E_87D9_4599_8CD3_A18304F00DE1_.wvu.FilterData" localSheetId="5" hidden="1">Bao_Cao_AT!$A$2:$H$2249</definedName>
    <definedName name="Z_21FDBB5E_87D9_4599_8CD3_A18304F00DE1_.wvu.FilterData" localSheetId="6" hidden="1">Bao_Cao_VH!$A$2:$H$2249</definedName>
    <definedName name="Z_21FDBB5E_87D9_4599_8CD3_A18304F00DE1_.wvu.FilterData" localSheetId="3" hidden="1">SL_Control!$A$2:$H$543</definedName>
    <definedName name="Z_22080EB1_7EC8_4883_8DFC_BEBFE037B0C8_.wvu.FilterData" localSheetId="2" hidden="1">AN_Control!$A$2:$H$5456</definedName>
    <definedName name="Z_22080EB1_7EC8_4883_8DFC_BEBFE037B0C8_.wvu.FilterData" localSheetId="4" hidden="1">Bao_Cao!$A$2:$H$3882</definedName>
    <definedName name="Z_22080EB1_7EC8_4883_8DFC_BEBFE037B0C8_.wvu.FilterData" localSheetId="5" hidden="1">Bao_Cao_AT!$A$2:$H$3882</definedName>
    <definedName name="Z_22080EB1_7EC8_4883_8DFC_BEBFE037B0C8_.wvu.FilterData" localSheetId="6" hidden="1">Bao_Cao_VH!$A$2:$H$3882</definedName>
    <definedName name="Z_22080EB1_7EC8_4883_8DFC_BEBFE037B0C8_.wvu.FilterData" localSheetId="3" hidden="1">SL_Control!$A$2:$H$1404</definedName>
    <definedName name="Z_223C3A24_D023_4E70_A22A_A36B58F4C3CC_.wvu.FilterData" localSheetId="2" hidden="1">AN_Control!$A$2:$H$989</definedName>
    <definedName name="Z_223C3A24_D023_4E70_A22A_A36B58F4C3CC_.wvu.FilterData" localSheetId="4" hidden="1">Bao_Cao!$A$2:$H$989</definedName>
    <definedName name="Z_223C3A24_D023_4E70_A22A_A36B58F4C3CC_.wvu.FilterData" localSheetId="5" hidden="1">Bao_Cao_AT!$A$2:$H$989</definedName>
    <definedName name="Z_223C3A24_D023_4E70_A22A_A36B58F4C3CC_.wvu.FilterData" localSheetId="6" hidden="1">Bao_Cao_VH!$A$2:$H$989</definedName>
    <definedName name="Z_2260E3AE_13D0_4067_839D_C512B076595F_.wvu.FilterData" localSheetId="3" hidden="1">SL_Control!$A$2:$H$903</definedName>
    <definedName name="Z_227B046E_ACE2_4DAF_95DD_468120545944_.wvu.FilterData" localSheetId="3" hidden="1">SL_Control!$A$2:$H$520</definedName>
    <definedName name="Z_22889AF8_1612_40D6_B42D_ECAD5719400B_.wvu.FilterData" localSheetId="4" hidden="1">Bao_Cao!$A$2:$H$3882</definedName>
    <definedName name="Z_22889AF8_1612_40D6_B42D_ECAD5719400B_.wvu.FilterData" localSheetId="5" hidden="1">Bao_Cao_AT!$A$2:$H$3882</definedName>
    <definedName name="Z_22889AF8_1612_40D6_B42D_ECAD5719400B_.wvu.FilterData" localSheetId="6" hidden="1">Bao_Cao_VH!$A$2:$H$3882</definedName>
    <definedName name="Z_22889AF8_1612_40D6_B42D_ECAD5719400B_.wvu.FilterData" localSheetId="3" hidden="1">SL_Control!$A$2:$H$1404</definedName>
    <definedName name="Z_23C2FA81_077E_4171_808A_670A07920344_.wvu.FilterData" localSheetId="2" hidden="1">AN_Control!$A$2:$H$5523</definedName>
    <definedName name="Z_23C2FA81_077E_4171_808A_670A07920344_.wvu.FilterData" localSheetId="4" hidden="1">Bao_Cao!$A$2:$H$3882</definedName>
    <definedName name="Z_23C2FA81_077E_4171_808A_670A07920344_.wvu.FilterData" localSheetId="5" hidden="1">Bao_Cao_AT!$A$2:$H$3882</definedName>
    <definedName name="Z_23C2FA81_077E_4171_808A_670A07920344_.wvu.FilterData" localSheetId="6" hidden="1">Bao_Cao_VH!$A$2:$H$3882</definedName>
    <definedName name="Z_23C2FA81_077E_4171_808A_670A07920344_.wvu.FilterData" localSheetId="3" hidden="1">SL_Control!$A$2:$H$1422</definedName>
    <definedName name="Z_23D4DCAE_B88A_4D88_A87E_8EF125467AD9_.wvu.FilterData" localSheetId="2" hidden="1">AN_Control!$A$2:$H$4172</definedName>
    <definedName name="Z_23D4DCAE_B88A_4D88_A87E_8EF125467AD9_.wvu.FilterData" localSheetId="4" hidden="1">Bao_Cao!$A$2:$H$3882</definedName>
    <definedName name="Z_23D4DCAE_B88A_4D88_A87E_8EF125467AD9_.wvu.FilterData" localSheetId="5" hidden="1">Bao_Cao_AT!$A$2:$H$3882</definedName>
    <definedName name="Z_23D4DCAE_B88A_4D88_A87E_8EF125467AD9_.wvu.FilterData" localSheetId="6" hidden="1">Bao_Cao_VH!$A$2:$H$3882</definedName>
    <definedName name="Z_23D4DCAE_B88A_4D88_A87E_8EF125467AD9_.wvu.FilterData" localSheetId="3" hidden="1">SL_Control!$A$2:$H$1024</definedName>
    <definedName name="Z_241C1992_B70B_436B_8188_26F34887B3BB_.wvu.FilterData" localSheetId="4" hidden="1">Bao_Cao!$A$2:$H$3882</definedName>
    <definedName name="Z_241C1992_B70B_436B_8188_26F34887B3BB_.wvu.FilterData" localSheetId="5" hidden="1">Bao_Cao_AT!$A$2:$H$3882</definedName>
    <definedName name="Z_241C1992_B70B_436B_8188_26F34887B3BB_.wvu.FilterData" localSheetId="6" hidden="1">Bao_Cao_VH!$A$2:$H$3882</definedName>
    <definedName name="Z_241D7CD3_A8F7_4892_B1A5_0F93D1132ECE_.wvu.FilterData" localSheetId="2" hidden="1">AN_Control!$A$2:$H$4895</definedName>
    <definedName name="Z_247343BA_DB2F_4219_9916_54506FE21641_.wvu.FilterData" localSheetId="2" hidden="1">AN_Control!$A$2:$H$3352</definedName>
    <definedName name="Z_247343BA_DB2F_4219_9916_54506FE21641_.wvu.FilterData" localSheetId="4" hidden="1">Bao_Cao!$A$2:$H$3353</definedName>
    <definedName name="Z_247343BA_DB2F_4219_9916_54506FE21641_.wvu.FilterData" localSheetId="5" hidden="1">Bao_Cao_AT!$A$2:$H$3353</definedName>
    <definedName name="Z_247343BA_DB2F_4219_9916_54506FE21641_.wvu.FilterData" localSheetId="6" hidden="1">Bao_Cao_VH!$A$2:$H$3353</definedName>
    <definedName name="Z_247343BA_DB2F_4219_9916_54506FE21641_.wvu.FilterData" localSheetId="3" hidden="1">SL_Control!$A$2:$H$759</definedName>
    <definedName name="Z_25031461_95FF_481C_824E_75F0178B0714_.wvu.FilterData" localSheetId="2" hidden="1">AN_Control!$A$2:$H$5371</definedName>
    <definedName name="Z_25031461_95FF_481C_824E_75F0178B0714_.wvu.FilterData" localSheetId="4" hidden="1">Bao_Cao!$A$2:$H$3882</definedName>
    <definedName name="Z_25031461_95FF_481C_824E_75F0178B0714_.wvu.FilterData" localSheetId="5" hidden="1">Bao_Cao_AT!$A$2:$H$3882</definedName>
    <definedName name="Z_25031461_95FF_481C_824E_75F0178B0714_.wvu.FilterData" localSheetId="6" hidden="1">Bao_Cao_VH!$A$2:$H$3882</definedName>
    <definedName name="Z_251529D8_6944_49AF_BDE0_E3FBA65C53F9_.wvu.FilterData" localSheetId="2" hidden="1">AN_Control!$A$2:$H$2021</definedName>
    <definedName name="Z_251529D8_6944_49AF_BDE0_E3FBA65C53F9_.wvu.FilterData" localSheetId="4" hidden="1">Bao_Cao!$A$2:$H$2021</definedName>
    <definedName name="Z_251529D8_6944_49AF_BDE0_E3FBA65C53F9_.wvu.FilterData" localSheetId="5" hidden="1">Bao_Cao_AT!$A$2:$H$2021</definedName>
    <definedName name="Z_251529D8_6944_49AF_BDE0_E3FBA65C53F9_.wvu.FilterData" localSheetId="6" hidden="1">Bao_Cao_VH!$A$2:$H$2021</definedName>
    <definedName name="Z_251529D8_6944_49AF_BDE0_E3FBA65C53F9_.wvu.FilterData" localSheetId="3" hidden="1">SL_Control!$A$2:$H$520</definedName>
    <definedName name="Z_253A6384_23C7_4478_9150_480A84B554DF_.wvu.FilterData" localSheetId="2" hidden="1">AN_Control!$A$2:$H$1753</definedName>
    <definedName name="Z_253A6384_23C7_4478_9150_480A84B554DF_.wvu.FilterData" localSheetId="4" hidden="1">Bao_Cao!$A$2:$H$1753</definedName>
    <definedName name="Z_253A6384_23C7_4478_9150_480A84B554DF_.wvu.FilterData" localSheetId="5" hidden="1">Bao_Cao_AT!$A$2:$H$1753</definedName>
    <definedName name="Z_253A6384_23C7_4478_9150_480A84B554DF_.wvu.FilterData" localSheetId="6" hidden="1">Bao_Cao_VH!$A$2:$H$1753</definedName>
    <definedName name="Z_253A6384_23C7_4478_9150_480A84B554DF_.wvu.FilterData" localSheetId="3" hidden="1">SL_Control!$A$2:$H$520</definedName>
    <definedName name="Z_259189D6_43F8_4632_9460_7447214315C9_.wvu.FilterData" localSheetId="2" hidden="1">AN_Control!$A$2:$H$674</definedName>
    <definedName name="Z_259189D6_43F8_4632_9460_7447214315C9_.wvu.FilterData" localSheetId="4" hidden="1">Bao_Cao!$A$2:$H$674</definedName>
    <definedName name="Z_259189D6_43F8_4632_9460_7447214315C9_.wvu.FilterData" localSheetId="5" hidden="1">Bao_Cao_AT!$A$2:$H$674</definedName>
    <definedName name="Z_259189D6_43F8_4632_9460_7447214315C9_.wvu.FilterData" localSheetId="6" hidden="1">Bao_Cao_VH!$A$2:$H$674</definedName>
    <definedName name="Z_25926482_9E7F_48F8_8F84_AA2E43EB497E_.wvu.FilterData" localSheetId="3" hidden="1">SL_Control!$A$2:$H$250</definedName>
    <definedName name="Z_262B5979_AAD5_4A39_BFED_962E607D2EFD_.wvu.FilterData" localSheetId="2" hidden="1">AN_Control!$A$2:$H$2156</definedName>
    <definedName name="Z_262B5979_AAD5_4A39_BFED_962E607D2EFD_.wvu.FilterData" localSheetId="4" hidden="1">Bao_Cao!$A$2:$H$2156</definedName>
    <definedName name="Z_262B5979_AAD5_4A39_BFED_962E607D2EFD_.wvu.FilterData" localSheetId="5" hidden="1">Bao_Cao_AT!$A$2:$H$2156</definedName>
    <definedName name="Z_262B5979_AAD5_4A39_BFED_962E607D2EFD_.wvu.FilterData" localSheetId="6" hidden="1">Bao_Cao_VH!$A$2:$H$2156</definedName>
    <definedName name="Z_26774891_4A63_4BC8_8FF7_2DB67DEE400A_.wvu.FilterData" localSheetId="3" hidden="1">SL_Control!$A$2:$H$271</definedName>
    <definedName name="Z_26B3BF0A_2E7D_42D9_A9D5_3330AE6CCF05_.wvu.FilterData" localSheetId="2" hidden="1">AN_Control!$A$2:$H$1472</definedName>
    <definedName name="Z_26B3BF0A_2E7D_42D9_A9D5_3330AE6CCF05_.wvu.FilterData" localSheetId="4" hidden="1">Bao_Cao!$A$2:$H$1472</definedName>
    <definedName name="Z_26B3BF0A_2E7D_42D9_A9D5_3330AE6CCF05_.wvu.FilterData" localSheetId="5" hidden="1">Bao_Cao_AT!$A$2:$H$1472</definedName>
    <definedName name="Z_26B3BF0A_2E7D_42D9_A9D5_3330AE6CCF05_.wvu.FilterData" localSheetId="6" hidden="1">Bao_Cao_VH!$A$2:$H$1472</definedName>
    <definedName name="Z_271F30EE_52D9_4907_9E87_AAA6478C1962_.wvu.FilterData" localSheetId="2" hidden="1">AN_Control!$A$2:$H$1583</definedName>
    <definedName name="Z_271F30EE_52D9_4907_9E87_AAA6478C1962_.wvu.FilterData" localSheetId="4" hidden="1">Bao_Cao!$A$2:$H$1583</definedName>
    <definedName name="Z_271F30EE_52D9_4907_9E87_AAA6478C1962_.wvu.FilterData" localSheetId="5" hidden="1">Bao_Cao_AT!$A$2:$H$1583</definedName>
    <definedName name="Z_271F30EE_52D9_4907_9E87_AAA6478C1962_.wvu.FilterData" localSheetId="6" hidden="1">Bao_Cao_VH!$A$2:$H$1583</definedName>
    <definedName name="Z_271F30EE_52D9_4907_9E87_AAA6478C1962_.wvu.FilterData" localSheetId="3" hidden="1">SL_Control!$A$2:$H$409</definedName>
    <definedName name="Z_272F8F99_7269_4C96_A5BE_672112F239C5_.wvu.FilterData" localSheetId="3" hidden="1">SL_Control!$A$2:$H$172</definedName>
    <definedName name="Z_277767FE_1DFD_4785_9996_073E2C1BDCE4_.wvu.FilterData" localSheetId="2" hidden="1">AN_Control!$A$2:$H$1621</definedName>
    <definedName name="Z_277767FE_1DFD_4785_9996_073E2C1BDCE4_.wvu.FilterData" localSheetId="4" hidden="1">Bao_Cao!$A$2:$H$1621</definedName>
    <definedName name="Z_277767FE_1DFD_4785_9996_073E2C1BDCE4_.wvu.FilterData" localSheetId="5" hidden="1">Bao_Cao_AT!$A$2:$H$1621</definedName>
    <definedName name="Z_277767FE_1DFD_4785_9996_073E2C1BDCE4_.wvu.FilterData" localSheetId="6" hidden="1">Bao_Cao_VH!$A$2:$H$1621</definedName>
    <definedName name="Z_27BEAAE5_983E_4F92_BFA1_07E26D39D2D2_.wvu.FilterData" localSheetId="2" hidden="1">AN_Control!$A$2:$H$4051</definedName>
    <definedName name="Z_27BEAAE5_983E_4F92_BFA1_07E26D39D2D2_.wvu.FilterData" localSheetId="3" hidden="1">SL_Control!$A$2:$H$983</definedName>
    <definedName name="Z_282D1E8B_3458_43B4_B94B_1738DD38ADC7_.wvu.FilterData" localSheetId="2" hidden="1">AN_Control!$A$2:$H$4857</definedName>
    <definedName name="Z_282D1E8B_3458_43B4_B94B_1738DD38ADC7_.wvu.FilterData" localSheetId="4" hidden="1">Bao_Cao!$A$2:$H$3882</definedName>
    <definedName name="Z_282D1E8B_3458_43B4_B94B_1738DD38ADC7_.wvu.FilterData" localSheetId="5" hidden="1">Bao_Cao_AT!$A$2:$H$3882</definedName>
    <definedName name="Z_282D1E8B_3458_43B4_B94B_1738DD38ADC7_.wvu.FilterData" localSheetId="6" hidden="1">Bao_Cao_VH!$A$2:$H$3882</definedName>
    <definedName name="Z_28B7E40E_85DB_4E15_A06B_60D1C9E772B1_.wvu.FilterData" localSheetId="2" hidden="1">AN_Control!$A$2:$H$3559</definedName>
    <definedName name="Z_28B7E40E_85DB_4E15_A06B_60D1C9E772B1_.wvu.FilterData" localSheetId="4" hidden="1">Bao_Cao!$A$2:$H$3560</definedName>
    <definedName name="Z_28B7E40E_85DB_4E15_A06B_60D1C9E772B1_.wvu.FilterData" localSheetId="5" hidden="1">Bao_Cao_AT!$A$2:$H$3560</definedName>
    <definedName name="Z_28B7E40E_85DB_4E15_A06B_60D1C9E772B1_.wvu.FilterData" localSheetId="6" hidden="1">Bao_Cao_VH!$A$2:$H$3560</definedName>
    <definedName name="Z_291D31C4_2D11_43AA_A981_ADDBE5497462_.wvu.FilterData" localSheetId="2" hidden="1">AN_Control!$A$2:$H$5516</definedName>
    <definedName name="Z_291D31C4_2D11_43AA_A981_ADDBE5497462_.wvu.FilterData" localSheetId="4" hidden="1">Bao_Cao!$A$2:$H$3882</definedName>
    <definedName name="Z_291D31C4_2D11_43AA_A981_ADDBE5497462_.wvu.FilterData" localSheetId="5" hidden="1">Bao_Cao_AT!$A$2:$H$3882</definedName>
    <definedName name="Z_291D31C4_2D11_43AA_A981_ADDBE5497462_.wvu.FilterData" localSheetId="6" hidden="1">Bao_Cao_VH!$A$2:$H$3882</definedName>
    <definedName name="Z_291D31C4_2D11_43AA_A981_ADDBE5497462_.wvu.FilterData" localSheetId="3" hidden="1">SL_Control!$A$2:$H$1420</definedName>
    <definedName name="Z_292E77C0_A801_4CDF_97DC_D3C459758C12_.wvu.FilterData" localSheetId="2" hidden="1">AN_Control!$A$2:$H$3292</definedName>
    <definedName name="Z_292E77C0_A801_4CDF_97DC_D3C459758C12_.wvu.FilterData" localSheetId="4" hidden="1">Bao_Cao!$A$2:$H$3293</definedName>
    <definedName name="Z_292E77C0_A801_4CDF_97DC_D3C459758C12_.wvu.FilterData" localSheetId="5" hidden="1">Bao_Cao_AT!$A$2:$H$3293</definedName>
    <definedName name="Z_292E77C0_A801_4CDF_97DC_D3C459758C12_.wvu.FilterData" localSheetId="6" hidden="1">Bao_Cao_VH!$A$2:$H$3293</definedName>
    <definedName name="Z_2ABA0C83_4532_4EAF_AC5C_855B52AB9B5E_.wvu.FilterData" localSheetId="2" hidden="1">AN_Control!$A$2:$H$2623</definedName>
    <definedName name="Z_2ABA0C83_4532_4EAF_AC5C_855B52AB9B5E_.wvu.FilterData" localSheetId="4" hidden="1">Bao_Cao!$A$2:$H$2624</definedName>
    <definedName name="Z_2ABA0C83_4532_4EAF_AC5C_855B52AB9B5E_.wvu.FilterData" localSheetId="5" hidden="1">Bao_Cao_AT!$A$2:$H$2624</definedName>
    <definedName name="Z_2ABA0C83_4532_4EAF_AC5C_855B52AB9B5E_.wvu.FilterData" localSheetId="6" hidden="1">Bao_Cao_VH!$A$2:$H$2624</definedName>
    <definedName name="Z_2AC57D1F_6C18_4EAB_A2D1_B2D9F8CFC0CA_.wvu.FilterData" localSheetId="4" hidden="1">Bao_Cao!$A$2:$H$3882</definedName>
    <definedName name="Z_2AC57D1F_6C18_4EAB_A2D1_B2D9F8CFC0CA_.wvu.FilterData" localSheetId="5" hidden="1">Bao_Cao_AT!$A$2:$H$3882</definedName>
    <definedName name="Z_2AC57D1F_6C18_4EAB_A2D1_B2D9F8CFC0CA_.wvu.FilterData" localSheetId="6" hidden="1">Bao_Cao_VH!$A$2:$H$3882</definedName>
    <definedName name="Z_2AC57D1F_6C18_4EAB_A2D1_B2D9F8CFC0CA_.wvu.FilterData" localSheetId="3" hidden="1">SL_Control!$A$2:$H$1211</definedName>
    <definedName name="Z_2B7A789D_A25C_4F73_800E_5DADAE64FC33_.wvu.FilterData" localSheetId="4" hidden="1">Bao_Cao!$A$2:$H$3882</definedName>
    <definedName name="Z_2B7A789D_A25C_4F73_800E_5DADAE64FC33_.wvu.FilterData" localSheetId="5" hidden="1">Bao_Cao_AT!$A$2:$H$3882</definedName>
    <definedName name="Z_2B7A789D_A25C_4F73_800E_5DADAE64FC33_.wvu.FilterData" localSheetId="6" hidden="1">Bao_Cao_VH!$A$2:$H$3882</definedName>
    <definedName name="Z_2C18D3AB_721E_4BDE_A123_0D6E7DFDC3F7_.wvu.FilterData" localSheetId="3" hidden="1">SL_Control!$A$2:$H$203</definedName>
    <definedName name="Z_2C1A3AAA_6344_4B35_98D4_76A0FF43E5C6_.wvu.FilterData" localSheetId="2" hidden="1">AN_Control!$A$2:$H$4895</definedName>
    <definedName name="Z_2C634A19_EFBE_4D57_B989_B6E91DC95F29_.wvu.FilterData" localSheetId="2" hidden="1">AN_Control!$A$2:$H$3928</definedName>
    <definedName name="Z_2C69A6F6_6737_4B5B_9F03_44DC6E0026E4_.wvu.FilterData" localSheetId="2" hidden="1">AN_Control!$A$2:$H$4268</definedName>
    <definedName name="Z_2C69A6F6_6737_4B5B_9F03_44DC6E0026E4_.wvu.FilterData" localSheetId="4" hidden="1">Bao_Cao!$A$2:$H$3882</definedName>
    <definedName name="Z_2C69A6F6_6737_4B5B_9F03_44DC6E0026E4_.wvu.FilterData" localSheetId="5" hidden="1">Bao_Cao_AT!$A$2:$H$3882</definedName>
    <definedName name="Z_2C69A6F6_6737_4B5B_9F03_44DC6E0026E4_.wvu.FilterData" localSheetId="6" hidden="1">Bao_Cao_VH!$A$2:$H$3882</definedName>
    <definedName name="Z_2C9D0022_6FEB_4503_9A3D_1134E9EB4ABD_.wvu.Cols" localSheetId="7" hidden="1">Item!$A:$A,Item!$X:$CG</definedName>
    <definedName name="Z_2C9D0022_6FEB_4503_9A3D_1134E9EB4ABD_.wvu.FilterData" localSheetId="2" hidden="1">AN_Control!$A$2:$H$5642</definedName>
    <definedName name="Z_2C9D0022_6FEB_4503_9A3D_1134E9EB4ABD_.wvu.FilterData" localSheetId="4" hidden="1">Bao_Cao!$A$2:$H$3882</definedName>
    <definedName name="Z_2C9D0022_6FEB_4503_9A3D_1134E9EB4ABD_.wvu.FilterData" localSheetId="5" hidden="1">Bao_Cao_AT!$A$2:$H$3882</definedName>
    <definedName name="Z_2C9D0022_6FEB_4503_9A3D_1134E9EB4ABD_.wvu.FilterData" localSheetId="6" hidden="1">Bao_Cao_VH!$A$2:$H$3882</definedName>
    <definedName name="Z_2C9D0022_6FEB_4503_9A3D_1134E9EB4ABD_.wvu.FilterData" localSheetId="3" hidden="1">SL_Control!$A$2:$H$1427</definedName>
    <definedName name="Z_2C9D0022_6FEB_4503_9A3D_1134E9EB4ABD_.wvu.Rows" localSheetId="7" hidden="1">Item!$3:$3</definedName>
    <definedName name="Z_2CD3D4A0_024E_444A_82F6_844D06AC6C6E_.wvu.FilterData" localSheetId="2" hidden="1">AN_Control!$A$2:$H$3111</definedName>
    <definedName name="Z_2CD3D4A0_024E_444A_82F6_844D06AC6C6E_.wvu.FilterData" localSheetId="4" hidden="1">Bao_Cao!$A$2:$H$3112</definedName>
    <definedName name="Z_2CD3D4A0_024E_444A_82F6_844D06AC6C6E_.wvu.FilterData" localSheetId="5" hidden="1">Bao_Cao_AT!$A$2:$H$3112</definedName>
    <definedName name="Z_2CD3D4A0_024E_444A_82F6_844D06AC6C6E_.wvu.FilterData" localSheetId="6" hidden="1">Bao_Cao_VH!$A$2:$H$3112</definedName>
    <definedName name="Z_2CD3D4A0_024E_444A_82F6_844D06AC6C6E_.wvu.FilterData" localSheetId="3" hidden="1">SL_Control!$A$2:$H$712</definedName>
    <definedName name="Z_2D4B71AF_B3ED_4ABA_87C5_D75D82AE4504_.wvu.FilterData" localSheetId="2" hidden="1">AN_Control!$A$2:$H$1814</definedName>
    <definedName name="Z_2D4B71AF_B3ED_4ABA_87C5_D75D82AE4504_.wvu.FilterData" localSheetId="4" hidden="1">Bao_Cao!$A$2:$H$1814</definedName>
    <definedName name="Z_2D4B71AF_B3ED_4ABA_87C5_D75D82AE4504_.wvu.FilterData" localSheetId="5" hidden="1">Bao_Cao_AT!$A$2:$H$1814</definedName>
    <definedName name="Z_2D4B71AF_B3ED_4ABA_87C5_D75D82AE4504_.wvu.FilterData" localSheetId="6" hidden="1">Bao_Cao_VH!$A$2:$H$1814</definedName>
    <definedName name="Z_2D711D14_1363_4761_8018_D08A78EBCA2C_.wvu.FilterData" localSheetId="2" hidden="1">AN_Control!$A$2:$H$4373</definedName>
    <definedName name="Z_2DE7CC90_FB88_4366_9DFD_A070A1F15954_.wvu.FilterData" localSheetId="2" hidden="1">AN_Control!$A$2:$H$599</definedName>
    <definedName name="Z_2DE7CC90_FB88_4366_9DFD_A070A1F15954_.wvu.FilterData" localSheetId="4" hidden="1">Bao_Cao!$A$2:$H$599</definedName>
    <definedName name="Z_2DE7CC90_FB88_4366_9DFD_A070A1F15954_.wvu.FilterData" localSheetId="5" hidden="1">Bao_Cao_AT!$A$2:$H$599</definedName>
    <definedName name="Z_2DE7CC90_FB88_4366_9DFD_A070A1F15954_.wvu.FilterData" localSheetId="6" hidden="1">Bao_Cao_VH!$A$2:$H$599</definedName>
    <definedName name="Z_2DE7CC90_FB88_4366_9DFD_A070A1F15954_.wvu.FilterData" localSheetId="3" hidden="1">SL_Control!$A$2:$H$154</definedName>
    <definedName name="Z_2DF174E3_05CE_4536_BCB4_6C3A6D61C565_.wvu.FilterData" localSheetId="2" hidden="1">AN_Control!$A$2:$H$4465</definedName>
    <definedName name="Z_2DF174E3_05CE_4536_BCB4_6C3A6D61C565_.wvu.FilterData" localSheetId="4" hidden="1">Bao_Cao!$A$2:$H$3882</definedName>
    <definedName name="Z_2DF174E3_05CE_4536_BCB4_6C3A6D61C565_.wvu.FilterData" localSheetId="5" hidden="1">Bao_Cao_AT!$A$2:$H$3882</definedName>
    <definedName name="Z_2DF174E3_05CE_4536_BCB4_6C3A6D61C565_.wvu.FilterData" localSheetId="6" hidden="1">Bao_Cao_VH!$A$2:$H$3882</definedName>
    <definedName name="Z_2DF174E3_05CE_4536_BCB4_6C3A6D61C565_.wvu.FilterData" localSheetId="3" hidden="1">SL_Control!$A$2:$H$1096</definedName>
    <definedName name="Z_2DF36821_4958_4A27_A23F_F1A6ACADF509_.wvu.FilterData" localSheetId="2" hidden="1">AN_Control!$A$2:$H$3177</definedName>
    <definedName name="Z_2DF36821_4958_4A27_A23F_F1A6ACADF509_.wvu.FilterData" localSheetId="4" hidden="1">Bao_Cao!$A$2:$H$3178</definedName>
    <definedName name="Z_2DF36821_4958_4A27_A23F_F1A6ACADF509_.wvu.FilterData" localSheetId="5" hidden="1">Bao_Cao_AT!$A$2:$H$3178</definedName>
    <definedName name="Z_2DF36821_4958_4A27_A23F_F1A6ACADF509_.wvu.FilterData" localSheetId="6" hidden="1">Bao_Cao_VH!$A$2:$H$3178</definedName>
    <definedName name="Z_2E2DE79B_5C94_456B_A708_708AF90F20C6_.wvu.FilterData" localSheetId="2" hidden="1">AN_Control!$A$2:$H$1540</definedName>
    <definedName name="Z_2E2DE79B_5C94_456B_A708_708AF90F20C6_.wvu.FilterData" localSheetId="4" hidden="1">Bao_Cao!$A$2:$H$1540</definedName>
    <definedName name="Z_2E2DE79B_5C94_456B_A708_708AF90F20C6_.wvu.FilterData" localSheetId="5" hidden="1">Bao_Cao_AT!$A$2:$H$1540</definedName>
    <definedName name="Z_2E2DE79B_5C94_456B_A708_708AF90F20C6_.wvu.FilterData" localSheetId="6" hidden="1">Bao_Cao_VH!$A$2:$H$1540</definedName>
    <definedName name="Z_2E777526_4FE8_4540_A8C9_9F420F735709_.wvu.FilterData" localSheetId="2" hidden="1">AN_Control!$A$2:$H$2637</definedName>
    <definedName name="Z_2E777526_4FE8_4540_A8C9_9F420F735709_.wvu.FilterData" localSheetId="4" hidden="1">Bao_Cao!$A$2:$H$2638</definedName>
    <definedName name="Z_2E777526_4FE8_4540_A8C9_9F420F735709_.wvu.FilterData" localSheetId="5" hidden="1">Bao_Cao_AT!$A$2:$H$2638</definedName>
    <definedName name="Z_2E777526_4FE8_4540_A8C9_9F420F735709_.wvu.FilterData" localSheetId="6" hidden="1">Bao_Cao_VH!$A$2:$H$2638</definedName>
    <definedName name="Z_2E777526_4FE8_4540_A8C9_9F420F735709_.wvu.FilterData" localSheetId="3" hidden="1">SL_Control!$A$2:$H$606</definedName>
    <definedName name="Z_2E9548CE_00D2_49CD_9B19_BDC3A7D4760D_.wvu.FilterData" localSheetId="2" hidden="1">AN_Control!$A$2:$H$1369</definedName>
    <definedName name="Z_2E9548CE_00D2_49CD_9B19_BDC3A7D4760D_.wvu.FilterData" localSheetId="4" hidden="1">Bao_Cao!$A$2:$H$1369</definedName>
    <definedName name="Z_2E9548CE_00D2_49CD_9B19_BDC3A7D4760D_.wvu.FilterData" localSheetId="5" hidden="1">Bao_Cao_AT!$A$2:$H$1369</definedName>
    <definedName name="Z_2E9548CE_00D2_49CD_9B19_BDC3A7D4760D_.wvu.FilterData" localSheetId="6" hidden="1">Bao_Cao_VH!$A$2:$H$1369</definedName>
    <definedName name="Z_2EB5CBFF_ADBA_4FF9_BBED_99E7C1256472_.wvu.FilterData" localSheetId="2" hidden="1">AN_Control!$A$2:$H$5671</definedName>
    <definedName name="Z_2F4EABA4_72A5_47ED_87E4_4C04F4C89F81_.wvu.FilterData" localSheetId="4" hidden="1">Bao_Cao!$A$2:$H$3882</definedName>
    <definedName name="Z_2F4EABA4_72A5_47ED_87E4_4C04F4C89F81_.wvu.FilterData" localSheetId="5" hidden="1">Bao_Cao_AT!$A$2:$H$3882</definedName>
    <definedName name="Z_2F4EABA4_72A5_47ED_87E4_4C04F4C89F81_.wvu.FilterData" localSheetId="6" hidden="1">Bao_Cao_VH!$A$2:$H$3882</definedName>
    <definedName name="Z_2F4EABA4_72A5_47ED_87E4_4C04F4C89F81_.wvu.FilterData" localSheetId="3" hidden="1">SL_Control!$A$2:$H$1475</definedName>
    <definedName name="Z_2F95D056_B2C1_4BF7_B330_F4C5AA30B970_.wvu.FilterData" localSheetId="2" hidden="1">AN_Control!$A$2:$H$1634</definedName>
    <definedName name="Z_2F95D056_B2C1_4BF7_B330_F4C5AA30B970_.wvu.FilterData" localSheetId="4" hidden="1">Bao_Cao!$A$2:$H$1634</definedName>
    <definedName name="Z_2F95D056_B2C1_4BF7_B330_F4C5AA30B970_.wvu.FilterData" localSheetId="5" hidden="1">Bao_Cao_AT!$A$2:$H$1634</definedName>
    <definedName name="Z_2F95D056_B2C1_4BF7_B330_F4C5AA30B970_.wvu.FilterData" localSheetId="6" hidden="1">Bao_Cao_VH!$A$2:$H$1634</definedName>
    <definedName name="Z_300E117B_9091_4528_837D_50044D89652C_.wvu.FilterData" localSheetId="3" hidden="1">SL_Control!$A$2:$H$542</definedName>
    <definedName name="Z_302ACADC_269A_49A7_AD33_1F8C13B3AC6B_.wvu.FilterData" localSheetId="4" hidden="1">Bao_Cao!$A$2:$H$3882</definedName>
    <definedName name="Z_302ACADC_269A_49A7_AD33_1F8C13B3AC6B_.wvu.FilterData" localSheetId="5" hidden="1">Bao_Cao_AT!$A$2:$H$3882</definedName>
    <definedName name="Z_302ACADC_269A_49A7_AD33_1F8C13B3AC6B_.wvu.FilterData" localSheetId="6" hidden="1">Bao_Cao_VH!$A$2:$H$3882</definedName>
    <definedName name="Z_304DBA81_D573_4208_A03E_BBC98FD96321_.wvu.FilterData" localSheetId="2" hidden="1">AN_Control!$A$2:$H$1248</definedName>
    <definedName name="Z_304DBA81_D573_4208_A03E_BBC98FD96321_.wvu.FilterData" localSheetId="4" hidden="1">Bao_Cao!$A$2:$H$1248</definedName>
    <definedName name="Z_304DBA81_D573_4208_A03E_BBC98FD96321_.wvu.FilterData" localSheetId="5" hidden="1">Bao_Cao_AT!$A$2:$H$1248</definedName>
    <definedName name="Z_304DBA81_D573_4208_A03E_BBC98FD96321_.wvu.FilterData" localSheetId="6" hidden="1">Bao_Cao_VH!$A$2:$H$1248</definedName>
    <definedName name="Z_305685FF_0F02_408F_941D_35F038885910_.wvu.FilterData" localSheetId="2" hidden="1">AN_Control!$A$2:$H$3957</definedName>
    <definedName name="Z_305685FF_0F02_408F_941D_35F038885910_.wvu.FilterData" localSheetId="4" hidden="1">Bao_Cao!$A$2:$H$3882</definedName>
    <definedName name="Z_305685FF_0F02_408F_941D_35F038885910_.wvu.FilterData" localSheetId="5" hidden="1">Bao_Cao_AT!$A$2:$H$3882</definedName>
    <definedName name="Z_305685FF_0F02_408F_941D_35F038885910_.wvu.FilterData" localSheetId="6" hidden="1">Bao_Cao_VH!$A$2:$H$3882</definedName>
    <definedName name="Z_305685FF_0F02_408F_941D_35F038885910_.wvu.FilterData" localSheetId="3" hidden="1">SL_Control!$A$2:$H$950</definedName>
    <definedName name="Z_3088DA8C_CA5B_4D0B_B766_601A6252A1BC_.wvu.Cols" localSheetId="7" hidden="1">Item!$A:$A,Item!$X:$CG</definedName>
    <definedName name="Z_3088DA8C_CA5B_4D0B_B766_601A6252A1BC_.wvu.FilterData" localSheetId="2" hidden="1">AN_Control!$A$2:$H$5693</definedName>
    <definedName name="Z_3088DA8C_CA5B_4D0B_B766_601A6252A1BC_.wvu.FilterData" localSheetId="4" hidden="1">Bao_Cao!$A$2:$H$3882</definedName>
    <definedName name="Z_3088DA8C_CA5B_4D0B_B766_601A6252A1BC_.wvu.FilterData" localSheetId="5" hidden="1">Bao_Cao_AT!$A$2:$H$3882</definedName>
    <definedName name="Z_3088DA8C_CA5B_4D0B_B766_601A6252A1BC_.wvu.FilterData" localSheetId="6" hidden="1">Bao_Cao_VH!$A$2:$H$3882</definedName>
    <definedName name="Z_3088DA8C_CA5B_4D0B_B766_601A6252A1BC_.wvu.FilterData" localSheetId="3" hidden="1">SL_Control!$A$2:$H$1478</definedName>
    <definedName name="Z_3088DA8C_CA5B_4D0B_B766_601A6252A1BC_.wvu.Rows" localSheetId="7" hidden="1">Item!$3:$3</definedName>
    <definedName name="Z_30C4D883_E2CF_4E03_9518_2FD650BD4283_.wvu.FilterData" localSheetId="2" hidden="1">AN_Control!$A$2:$H$4787</definedName>
    <definedName name="Z_30DEF20A_594F_4A92_9610_13F252952527_.wvu.FilterData" localSheetId="4" hidden="1">Bao_Cao!$A$2:$H$3882</definedName>
    <definedName name="Z_30DEF20A_594F_4A92_9610_13F252952527_.wvu.FilterData" localSheetId="5" hidden="1">Bao_Cao_AT!$A$2:$H$3882</definedName>
    <definedName name="Z_30DEF20A_594F_4A92_9610_13F252952527_.wvu.FilterData" localSheetId="6" hidden="1">Bao_Cao_VH!$A$2:$H$3882</definedName>
    <definedName name="Z_30DEF20A_594F_4A92_9610_13F252952527_.wvu.FilterData" localSheetId="3" hidden="1">SL_Control!$A$2:$H$1155</definedName>
    <definedName name="Z_313B1A22_9240_4DB8_AA2D_9398E22921F6_.wvu.FilterData" localSheetId="2" hidden="1">AN_Control!$A$2:$H$2710</definedName>
    <definedName name="Z_313B1A22_9240_4DB8_AA2D_9398E22921F6_.wvu.FilterData" localSheetId="4" hidden="1">Bao_Cao!$A$2:$H$2711</definedName>
    <definedName name="Z_313B1A22_9240_4DB8_AA2D_9398E22921F6_.wvu.FilterData" localSheetId="5" hidden="1">Bao_Cao_AT!$A$2:$H$2711</definedName>
    <definedName name="Z_313B1A22_9240_4DB8_AA2D_9398E22921F6_.wvu.FilterData" localSheetId="6" hidden="1">Bao_Cao_VH!$A$2:$H$2711</definedName>
    <definedName name="Z_314CA59E_A482_4A8E_8C83_35A22BF1E30A_.wvu.FilterData" localSheetId="2" hidden="1">AN_Control!$A$2:$H$3790</definedName>
    <definedName name="Z_314CA59E_A482_4A8E_8C83_35A22BF1E30A_.wvu.FilterData" localSheetId="4" hidden="1">Bao_Cao!$A$2:$H$3792</definedName>
    <definedName name="Z_314CA59E_A482_4A8E_8C83_35A22BF1E30A_.wvu.FilterData" localSheetId="5" hidden="1">Bao_Cao_AT!$A$2:$H$3792</definedName>
    <definedName name="Z_314CA59E_A482_4A8E_8C83_35A22BF1E30A_.wvu.FilterData" localSheetId="6" hidden="1">Bao_Cao_VH!$A$2:$H$3792</definedName>
    <definedName name="Z_314CA59E_A482_4A8E_8C83_35A22BF1E30A_.wvu.FilterData" localSheetId="3" hidden="1">SL_Control!$A$2:$H$909</definedName>
    <definedName name="Z_3155155A_EFEB_44F8_885A_D9D8FBBBAAF2_.wvu.FilterData" localSheetId="3" hidden="1">SL_Control!$A$2:$H$189</definedName>
    <definedName name="Z_31AE4C3C_13A1_4752_9048_47A700A98311_.wvu.FilterData" localSheetId="2" hidden="1">AN_Control!$A$2:$H$5434</definedName>
    <definedName name="Z_31AE4C3C_13A1_4752_9048_47A700A98311_.wvu.FilterData" localSheetId="4" hidden="1">Bao_Cao!$A$2:$H$3882</definedName>
    <definedName name="Z_31AE4C3C_13A1_4752_9048_47A700A98311_.wvu.FilterData" localSheetId="5" hidden="1">Bao_Cao_AT!$A$2:$H$3882</definedName>
    <definedName name="Z_31AE4C3C_13A1_4752_9048_47A700A98311_.wvu.FilterData" localSheetId="6" hidden="1">Bao_Cao_VH!$A$2:$H$3882</definedName>
    <definedName name="Z_31AE4C3C_13A1_4752_9048_47A700A98311_.wvu.FilterData" localSheetId="3" hidden="1">SL_Control!$A$2:$H$1399</definedName>
    <definedName name="Z_31F89A11_0169_4579_9F5B_26670F89B53C_.wvu.FilterData" localSheetId="2" hidden="1">AN_Control!$A$2:$H$691</definedName>
    <definedName name="Z_31F89A11_0169_4579_9F5B_26670F89B53C_.wvu.FilterData" localSheetId="4" hidden="1">Bao_Cao!$A$2:$H$691</definedName>
    <definedName name="Z_31F89A11_0169_4579_9F5B_26670F89B53C_.wvu.FilterData" localSheetId="5" hidden="1">Bao_Cao_AT!$A$2:$H$691</definedName>
    <definedName name="Z_31F89A11_0169_4579_9F5B_26670F89B53C_.wvu.FilterData" localSheetId="6" hidden="1">Bao_Cao_VH!$A$2:$H$691</definedName>
    <definedName name="Z_321265F9_1CC3_4DAA_AA0C_0E794A0D7C5B_.wvu.FilterData" localSheetId="2" hidden="1">AN_Control!$A$2:$H$2685</definedName>
    <definedName name="Z_321265F9_1CC3_4DAA_AA0C_0E794A0D7C5B_.wvu.FilterData" localSheetId="4" hidden="1">Bao_Cao!$A$2:$H$2686</definedName>
    <definedName name="Z_321265F9_1CC3_4DAA_AA0C_0E794A0D7C5B_.wvu.FilterData" localSheetId="5" hidden="1">Bao_Cao_AT!$A$2:$H$2686</definedName>
    <definedName name="Z_321265F9_1CC3_4DAA_AA0C_0E794A0D7C5B_.wvu.FilterData" localSheetId="6" hidden="1">Bao_Cao_VH!$A$2:$H$2686</definedName>
    <definedName name="Z_3222B350_7671_4127_BD61_77E30DDD0484_.wvu.FilterData" localSheetId="2" hidden="1">AN_Control!$A$2:$H$3177</definedName>
    <definedName name="Z_3222B350_7671_4127_BD61_77E30DDD0484_.wvu.FilterData" localSheetId="4" hidden="1">Bao_Cao!$A$2:$H$3178</definedName>
    <definedName name="Z_3222B350_7671_4127_BD61_77E30DDD0484_.wvu.FilterData" localSheetId="5" hidden="1">Bao_Cao_AT!$A$2:$H$3178</definedName>
    <definedName name="Z_3222B350_7671_4127_BD61_77E30DDD0484_.wvu.FilterData" localSheetId="6" hidden="1">Bao_Cao_VH!$A$2:$H$3178</definedName>
    <definedName name="Z_3222B350_7671_4127_BD61_77E30DDD0484_.wvu.FilterData" localSheetId="3" hidden="1">SL_Control!$A$2:$H$725</definedName>
    <definedName name="Z_32B8E843_B865_4B7E_869D_1A1C76D2AB74_.wvu.FilterData" localSheetId="2" hidden="1">AN_Control!$A$2:$H$3832</definedName>
    <definedName name="Z_32B8E843_B865_4B7E_869D_1A1C76D2AB74_.wvu.FilterData" localSheetId="4" hidden="1">Bao_Cao!$A$2:$H$3834</definedName>
    <definedName name="Z_32B8E843_B865_4B7E_869D_1A1C76D2AB74_.wvu.FilterData" localSheetId="5" hidden="1">Bao_Cao_AT!$A$2:$H$3834</definedName>
    <definedName name="Z_32B8E843_B865_4B7E_869D_1A1C76D2AB74_.wvu.FilterData" localSheetId="6" hidden="1">Bao_Cao_VH!$A$2:$H$3834</definedName>
    <definedName name="Z_32BD8496_25BB_4B5C_B1BD_5F35297E9B6D_.wvu.FilterData" localSheetId="2" hidden="1">AN_Control!$A$2:$H$5471</definedName>
    <definedName name="Z_32BD8496_25BB_4B5C_B1BD_5F35297E9B6D_.wvu.FilterData" localSheetId="4" hidden="1">Bao_Cao!$A$2:$H$3882</definedName>
    <definedName name="Z_32BD8496_25BB_4B5C_B1BD_5F35297E9B6D_.wvu.FilterData" localSheetId="5" hidden="1">Bao_Cao_AT!$A$2:$H$3882</definedName>
    <definedName name="Z_32BD8496_25BB_4B5C_B1BD_5F35297E9B6D_.wvu.FilterData" localSheetId="6" hidden="1">Bao_Cao_VH!$A$2:$H$3882</definedName>
    <definedName name="Z_33036927_232B_44D8_8ECA_4FB781E1C081_.wvu.FilterData" localSheetId="2" hidden="1">AN_Control!$A$2:$H$1078</definedName>
    <definedName name="Z_33036927_232B_44D8_8ECA_4FB781E1C081_.wvu.FilterData" localSheetId="4" hidden="1">Bao_Cao!$A$2:$H$1078</definedName>
    <definedName name="Z_33036927_232B_44D8_8ECA_4FB781E1C081_.wvu.FilterData" localSheetId="5" hidden="1">Bao_Cao_AT!$A$2:$H$1078</definedName>
    <definedName name="Z_33036927_232B_44D8_8ECA_4FB781E1C081_.wvu.FilterData" localSheetId="6" hidden="1">Bao_Cao_VH!$A$2:$H$1078</definedName>
    <definedName name="Z_33036927_232B_44D8_8ECA_4FB781E1C081_.wvu.FilterData" localSheetId="3" hidden="1">SL_Control!$A$2:$H$294</definedName>
    <definedName name="Z_330EEE39_AA9D_4383_AE18_E1E9012B78B9_.wvu.FilterData" localSheetId="2" hidden="1">AN_Control!$A$2:$H$4653</definedName>
    <definedName name="Z_330EEE39_AA9D_4383_AE18_E1E9012B78B9_.wvu.FilterData" localSheetId="4" hidden="1">Bao_Cao!$A$2:$H$3882</definedName>
    <definedName name="Z_330EEE39_AA9D_4383_AE18_E1E9012B78B9_.wvu.FilterData" localSheetId="5" hidden="1">Bao_Cao_AT!$A$2:$H$3882</definedName>
    <definedName name="Z_330EEE39_AA9D_4383_AE18_E1E9012B78B9_.wvu.FilterData" localSheetId="6" hidden="1">Bao_Cao_VH!$A$2:$H$3882</definedName>
    <definedName name="Z_330EEE39_AA9D_4383_AE18_E1E9012B78B9_.wvu.FilterData" localSheetId="3" hidden="1">SL_Control!$A$2:$H$1125</definedName>
    <definedName name="Z_33B8519F_C25F_4F9E_8068_FF9DB2C9CAFB_.wvu.FilterData" localSheetId="3" hidden="1">SL_Control!$A$2:$H$251</definedName>
    <definedName name="Z_34010D62_90D2_4EB1_8D6C_70CF27526C32_.wvu.FilterData" localSheetId="2" hidden="1">AN_Control!$A$2:$H$3260</definedName>
    <definedName name="Z_34010D62_90D2_4EB1_8D6C_70CF27526C32_.wvu.FilterData" localSheetId="4" hidden="1">Bao_Cao!$A$2:$H$3261</definedName>
    <definedName name="Z_34010D62_90D2_4EB1_8D6C_70CF27526C32_.wvu.FilterData" localSheetId="5" hidden="1">Bao_Cao_AT!$A$2:$H$3261</definedName>
    <definedName name="Z_34010D62_90D2_4EB1_8D6C_70CF27526C32_.wvu.FilterData" localSheetId="6" hidden="1">Bao_Cao_VH!$A$2:$H$3261</definedName>
    <definedName name="Z_3485BF16_DFC6_4A0C_B9FD_351DAFE4061B_.wvu.FilterData" localSheetId="2" hidden="1">AN_Control!$A$2:$H$892</definedName>
    <definedName name="Z_3485BF16_DFC6_4A0C_B9FD_351DAFE4061B_.wvu.FilterData" localSheetId="4" hidden="1">Bao_Cao!$A$2:$H$892</definedName>
    <definedName name="Z_3485BF16_DFC6_4A0C_B9FD_351DAFE4061B_.wvu.FilterData" localSheetId="5" hidden="1">Bao_Cao_AT!$A$2:$H$892</definedName>
    <definedName name="Z_3485BF16_DFC6_4A0C_B9FD_351DAFE4061B_.wvu.FilterData" localSheetId="6" hidden="1">Bao_Cao_VH!$A$2:$H$892</definedName>
    <definedName name="Z_3485BF16_DFC6_4A0C_B9FD_351DAFE4061B_.wvu.FilterData" localSheetId="3" hidden="1">SL_Control!$A$2:$H$250</definedName>
    <definedName name="Z_35DED050_985D_4731_80F4_D5B5B12C8093_.wvu.FilterData" localSheetId="2" hidden="1">AN_Control!$A$2:$H$792</definedName>
    <definedName name="Z_35DED050_985D_4731_80F4_D5B5B12C8093_.wvu.FilterData" localSheetId="4" hidden="1">Bao_Cao!$A$2:$H$792</definedName>
    <definedName name="Z_35DED050_985D_4731_80F4_D5B5B12C8093_.wvu.FilterData" localSheetId="5" hidden="1">Bao_Cao_AT!$A$2:$H$792</definedName>
    <definedName name="Z_35DED050_985D_4731_80F4_D5B5B12C8093_.wvu.FilterData" localSheetId="6" hidden="1">Bao_Cao_VH!$A$2:$H$792</definedName>
    <definedName name="Z_36AC6160_A1F6_4FA9_A0D8_46E7FD708DA1_.wvu.FilterData" localSheetId="2" hidden="1">AN_Control!$A$2:$H$873</definedName>
    <definedName name="Z_36AC6160_A1F6_4FA9_A0D8_46E7FD708DA1_.wvu.FilterData" localSheetId="4" hidden="1">Bao_Cao!$A$2:$H$873</definedName>
    <definedName name="Z_36AC6160_A1F6_4FA9_A0D8_46E7FD708DA1_.wvu.FilterData" localSheetId="5" hidden="1">Bao_Cao_AT!$A$2:$H$873</definedName>
    <definedName name="Z_36AC6160_A1F6_4FA9_A0D8_46E7FD708DA1_.wvu.FilterData" localSheetId="6" hidden="1">Bao_Cao_VH!$A$2:$H$873</definedName>
    <definedName name="Z_36F986B8_3DEB_4AD1_BEB9_B89F98731CB7_.wvu.FilterData" localSheetId="2" hidden="1">AN_Control!$A$2:$H$3559</definedName>
    <definedName name="Z_36F986B8_3DEB_4AD1_BEB9_B89F98731CB7_.wvu.FilterData" localSheetId="4" hidden="1">Bao_Cao!$A$2:$H$3560</definedName>
    <definedName name="Z_36F986B8_3DEB_4AD1_BEB9_B89F98731CB7_.wvu.FilterData" localSheetId="5" hidden="1">Bao_Cao_AT!$A$2:$H$3560</definedName>
    <definedName name="Z_36F986B8_3DEB_4AD1_BEB9_B89F98731CB7_.wvu.FilterData" localSheetId="6" hidden="1">Bao_Cao_VH!$A$2:$H$3560</definedName>
    <definedName name="Z_36F986B8_3DEB_4AD1_BEB9_B89F98731CB7_.wvu.FilterData" localSheetId="3" hidden="1">SL_Control!$A$2:$H$798</definedName>
    <definedName name="Z_375B7363_313B_478D_A575_A3FE21E52DBC_.wvu.FilterData" localSheetId="3" hidden="1">SL_Control!$A$2:$H$529</definedName>
    <definedName name="Z_37C15387_4DC8_426B_A7AB_00FAE9F1DCE4_.wvu.FilterData" localSheetId="3" hidden="1">SL_Control!$A$2:$H$671</definedName>
    <definedName name="Z_37D40363_9C2C_4C26_B473_859FD0762E5E_.wvu.FilterData" localSheetId="2" hidden="1">AN_Control!$A$2:$H$5597</definedName>
    <definedName name="Z_37D40363_9C2C_4C26_B473_859FD0762E5E_.wvu.FilterData" localSheetId="4" hidden="1">Bao_Cao!$A$2:$H$3882</definedName>
    <definedName name="Z_37D40363_9C2C_4C26_B473_859FD0762E5E_.wvu.FilterData" localSheetId="5" hidden="1">Bao_Cao_AT!$A$2:$H$3882</definedName>
    <definedName name="Z_37D40363_9C2C_4C26_B473_859FD0762E5E_.wvu.FilterData" localSheetId="6" hidden="1">Bao_Cao_VH!$A$2:$H$3882</definedName>
    <definedName name="Z_384592A5_6E95_4BDF_AB58_E17D8200842F_.wvu.FilterData" localSheetId="2" hidden="1">AN_Control!$A$2:$H$2685</definedName>
    <definedName name="Z_384592A5_6E95_4BDF_AB58_E17D8200842F_.wvu.FilterData" localSheetId="4" hidden="1">Bao_Cao!$A$2:$H$2686</definedName>
    <definedName name="Z_384592A5_6E95_4BDF_AB58_E17D8200842F_.wvu.FilterData" localSheetId="5" hidden="1">Bao_Cao_AT!$A$2:$H$2686</definedName>
    <definedName name="Z_384592A5_6E95_4BDF_AB58_E17D8200842F_.wvu.FilterData" localSheetId="6" hidden="1">Bao_Cao_VH!$A$2:$H$2686</definedName>
    <definedName name="Z_3996D14E_9FCB_4013_B7C1_EA69A8EE25F1_.wvu.FilterData" localSheetId="2" hidden="1">AN_Control!$A$2:$H$1653</definedName>
    <definedName name="Z_3996D14E_9FCB_4013_B7C1_EA69A8EE25F1_.wvu.FilterData" localSheetId="4" hidden="1">Bao_Cao!$A$2:$H$1653</definedName>
    <definedName name="Z_3996D14E_9FCB_4013_B7C1_EA69A8EE25F1_.wvu.FilterData" localSheetId="5" hidden="1">Bao_Cao_AT!$A$2:$H$1653</definedName>
    <definedName name="Z_3996D14E_9FCB_4013_B7C1_EA69A8EE25F1_.wvu.FilterData" localSheetId="6" hidden="1">Bao_Cao_VH!$A$2:$H$1653</definedName>
    <definedName name="Z_3996D14E_9FCB_4013_B7C1_EA69A8EE25F1_.wvu.FilterData" localSheetId="3" hidden="1">SL_Control!$A$2:$H$430</definedName>
    <definedName name="Z_39F98B8C_1F38_4566_9F8E_26EC1E284AB2_.wvu.FilterData" localSheetId="3" hidden="1">SL_Control!$A$2:$H$270</definedName>
    <definedName name="Z_3A0DEEB6_3522_4E54_88AD_38F49F8C4BB3_.wvu.FilterData" localSheetId="2" hidden="1">AN_Control!$A$2:$H$2912</definedName>
    <definedName name="Z_3A0DEEB6_3522_4E54_88AD_38F49F8C4BB3_.wvu.FilterData" localSheetId="4" hidden="1">Bao_Cao!$A$2:$H$2913</definedName>
    <definedName name="Z_3A0DEEB6_3522_4E54_88AD_38F49F8C4BB3_.wvu.FilterData" localSheetId="5" hidden="1">Bao_Cao_AT!$A$2:$H$2913</definedName>
    <definedName name="Z_3A0DEEB6_3522_4E54_88AD_38F49F8C4BB3_.wvu.FilterData" localSheetId="6" hidden="1">Bao_Cao_VH!$A$2:$H$2913</definedName>
    <definedName name="Z_3A13B9E7_1E3B_4B3D_BE6E_D242A49056E7_.wvu.FilterData" localSheetId="2" hidden="1">AN_Control!$A$2:$H$4985</definedName>
    <definedName name="Z_3B000983_ABBA_4B29_B2C5_C61C28C79D4B_.wvu.FilterData" localSheetId="2" hidden="1">AN_Control!$A$2:$H$979</definedName>
    <definedName name="Z_3B000983_ABBA_4B29_B2C5_C61C28C79D4B_.wvu.FilterData" localSheetId="4" hidden="1">Bao_Cao!$A$2:$H$979</definedName>
    <definedName name="Z_3B000983_ABBA_4B29_B2C5_C61C28C79D4B_.wvu.FilterData" localSheetId="5" hidden="1">Bao_Cao_AT!$A$2:$H$979</definedName>
    <definedName name="Z_3B000983_ABBA_4B29_B2C5_C61C28C79D4B_.wvu.FilterData" localSheetId="6" hidden="1">Bao_Cao_VH!$A$2:$H$979</definedName>
    <definedName name="Z_3B372BBB_698F_45EB_AE62_65FE1F497CC0_.wvu.FilterData" localSheetId="2" hidden="1">AN_Control!$A$2:$H$3779</definedName>
    <definedName name="Z_3B372BBB_698F_45EB_AE62_65FE1F497CC0_.wvu.FilterData" localSheetId="4" hidden="1">Bao_Cao!$A$2:$H$3781</definedName>
    <definedName name="Z_3B372BBB_698F_45EB_AE62_65FE1F497CC0_.wvu.FilterData" localSheetId="5" hidden="1">Bao_Cao_AT!$A$2:$H$3781</definedName>
    <definedName name="Z_3B372BBB_698F_45EB_AE62_65FE1F497CC0_.wvu.FilterData" localSheetId="6" hidden="1">Bao_Cao_VH!$A$2:$H$3781</definedName>
    <definedName name="Z_3B372BBB_698F_45EB_AE62_65FE1F497CC0_.wvu.FilterData" localSheetId="3" hidden="1">SL_Control!$A$2:$H$903</definedName>
    <definedName name="Z_3BD503FC_5048_420E_9694_F4BCA70A853F_.wvu.FilterData" localSheetId="3" hidden="1">SL_Control!$A$2:$H$955</definedName>
    <definedName name="Z_3BEFB5F8_90DF_42FD_AA6A_B29ADA77F4F3_.wvu.FilterData" localSheetId="2" hidden="1">AN_Control!$A$2:$H$3821</definedName>
    <definedName name="Z_3BEFB5F8_90DF_42FD_AA6A_B29ADA77F4F3_.wvu.FilterData" localSheetId="4" hidden="1">Bao_Cao!$A$2:$H$3823</definedName>
    <definedName name="Z_3BEFB5F8_90DF_42FD_AA6A_B29ADA77F4F3_.wvu.FilterData" localSheetId="5" hidden="1">Bao_Cao_AT!$A$2:$H$3823</definedName>
    <definedName name="Z_3BEFB5F8_90DF_42FD_AA6A_B29ADA77F4F3_.wvu.FilterData" localSheetId="6" hidden="1">Bao_Cao_VH!$A$2:$H$3823</definedName>
    <definedName name="Z_3C1F61DD_6F19_4449_AB5D_81DB5F9698EC_.wvu.FilterData" localSheetId="2" hidden="1">AN_Control!$A$2:$H$1500</definedName>
    <definedName name="Z_3C1F61DD_6F19_4449_AB5D_81DB5F9698EC_.wvu.FilterData" localSheetId="4" hidden="1">Bao_Cao!$A$2:$H$1500</definedName>
    <definedName name="Z_3C1F61DD_6F19_4449_AB5D_81DB5F9698EC_.wvu.FilterData" localSheetId="5" hidden="1">Bao_Cao_AT!$A$2:$H$1500</definedName>
    <definedName name="Z_3C1F61DD_6F19_4449_AB5D_81DB5F9698EC_.wvu.FilterData" localSheetId="6" hidden="1">Bao_Cao_VH!$A$2:$H$1500</definedName>
    <definedName name="Z_3C27D057_BB36_4968_AC34_EE42922D0698_.wvu.FilterData" localSheetId="2" hidden="1">AN_Control!$A$2:$H$4306</definedName>
    <definedName name="Z_3C27D057_BB36_4968_AC34_EE42922D0698_.wvu.FilterData" localSheetId="4" hidden="1">Bao_Cao!$A$2:$H$3882</definedName>
    <definedName name="Z_3C27D057_BB36_4968_AC34_EE42922D0698_.wvu.FilterData" localSheetId="5" hidden="1">Bao_Cao_AT!$A$2:$H$3882</definedName>
    <definedName name="Z_3C27D057_BB36_4968_AC34_EE42922D0698_.wvu.FilterData" localSheetId="6" hidden="1">Bao_Cao_VH!$A$2:$H$3882</definedName>
    <definedName name="Z_3C27D057_BB36_4968_AC34_EE42922D0698_.wvu.FilterData" localSheetId="3" hidden="1">SL_Control!$A$2:$H$1057</definedName>
    <definedName name="Z_3C67C6F0_98FC_40EF_BF06_29B8EB5232E7_.wvu.FilterData" localSheetId="2" hidden="1">AN_Control!$A$2:$H$504</definedName>
    <definedName name="Z_3C67C6F0_98FC_40EF_BF06_29B8EB5232E7_.wvu.FilterData" localSheetId="4" hidden="1">Bao_Cao!$A$2:$H$504</definedName>
    <definedName name="Z_3C67C6F0_98FC_40EF_BF06_29B8EB5232E7_.wvu.FilterData" localSheetId="5" hidden="1">Bao_Cao_AT!$A$2:$H$504</definedName>
    <definedName name="Z_3C67C6F0_98FC_40EF_BF06_29B8EB5232E7_.wvu.FilterData" localSheetId="6" hidden="1">Bao_Cao_VH!$A$2:$H$504</definedName>
    <definedName name="Z_3C84815D_D8FE_48BA_878B_9A37B3DF39A4_.wvu.FilterData" localSheetId="3" hidden="1">SL_Control!$A$2:$H$742</definedName>
    <definedName name="Z_3CE56537_FFAF_4BC6_B1E9_10DF436D7793_.wvu.FilterData" localSheetId="2" hidden="1">AN_Control!$A$2:$H$5371</definedName>
    <definedName name="Z_3CF790A5_31C0_4E19_BFB3_1FB738A2090C_.wvu.FilterData" localSheetId="3" hidden="1">SL_Control!$A$2:$H$172</definedName>
    <definedName name="Z_3D9F6AED_BD34_4B11_B75F_A13FDB483553_.wvu.FilterData" localSheetId="3" hidden="1">SL_Control!$A$2:$H$205</definedName>
    <definedName name="Z_3DB401A4_5DE2_4A52_AA02_7EE28906D543_.wvu.FilterData" localSheetId="2" hidden="1">AN_Control!$A$2:$H$3059</definedName>
    <definedName name="Z_3DB401A4_5DE2_4A52_AA02_7EE28906D543_.wvu.FilterData" localSheetId="4" hidden="1">Bao_Cao!$A$2:$H$3060</definedName>
    <definedName name="Z_3DB401A4_5DE2_4A52_AA02_7EE28906D543_.wvu.FilterData" localSheetId="5" hidden="1">Bao_Cao_AT!$A$2:$H$3060</definedName>
    <definedName name="Z_3DB401A4_5DE2_4A52_AA02_7EE28906D543_.wvu.FilterData" localSheetId="6" hidden="1">Bao_Cao_VH!$A$2:$H$3060</definedName>
    <definedName name="Z_3F232F13_C54A_4392_B604_8D5F0DC5FBD6_.wvu.FilterData" localSheetId="2" hidden="1">AN_Control!$A$2:$H$5556</definedName>
    <definedName name="Z_3F232F13_C54A_4392_B604_8D5F0DC5FBD6_.wvu.FilterData" localSheetId="4" hidden="1">Bao_Cao!$A$2:$H$3882</definedName>
    <definedName name="Z_3F232F13_C54A_4392_B604_8D5F0DC5FBD6_.wvu.FilterData" localSheetId="5" hidden="1">Bao_Cao_AT!$A$2:$H$3882</definedName>
    <definedName name="Z_3F232F13_C54A_4392_B604_8D5F0DC5FBD6_.wvu.FilterData" localSheetId="6" hidden="1">Bao_Cao_VH!$A$2:$H$3882</definedName>
    <definedName name="Z_3F387EE9_DBF5_4058_8FF9_B4F4A3692327_.wvu.FilterData" localSheetId="2" hidden="1">AN_Control!$A$2:$H$2346</definedName>
    <definedName name="Z_3F387EE9_DBF5_4058_8FF9_B4F4A3692327_.wvu.FilterData" localSheetId="4" hidden="1">Bao_Cao!$A$2:$H$2346</definedName>
    <definedName name="Z_3F387EE9_DBF5_4058_8FF9_B4F4A3692327_.wvu.FilterData" localSheetId="5" hidden="1">Bao_Cao_AT!$A$2:$H$2346</definedName>
    <definedName name="Z_3F387EE9_DBF5_4058_8FF9_B4F4A3692327_.wvu.FilterData" localSheetId="6" hidden="1">Bao_Cao_VH!$A$2:$H$2346</definedName>
    <definedName name="Z_3F96276F_09B4_40AB_ADA6_838D5BDB0261_.wvu.FilterData" localSheetId="3" hidden="1">SL_Control!$A$2:$H$972</definedName>
    <definedName name="Z_3FD5F446_6FCE_42D1_8BA6_71F606E19A34_.wvu.FilterData" localSheetId="2" hidden="1">AN_Control!$A$2:$H$987</definedName>
    <definedName name="Z_3FD5F446_6FCE_42D1_8BA6_71F606E19A34_.wvu.FilterData" localSheetId="4" hidden="1">Bao_Cao!$A$2:$H$987</definedName>
    <definedName name="Z_3FD5F446_6FCE_42D1_8BA6_71F606E19A34_.wvu.FilterData" localSheetId="5" hidden="1">Bao_Cao_AT!$A$2:$H$987</definedName>
    <definedName name="Z_3FD5F446_6FCE_42D1_8BA6_71F606E19A34_.wvu.FilterData" localSheetId="6" hidden="1">Bao_Cao_VH!$A$2:$H$987</definedName>
    <definedName name="Z_3FD5F446_6FCE_42D1_8BA6_71F606E19A34_.wvu.FilterData" localSheetId="3" hidden="1">SL_Control!$A$2:$H$282</definedName>
    <definedName name="Z_3FD7AFE1_3F71_4CB1_81C4_422BE5972F7A_.wvu.FilterData" localSheetId="3" hidden="1">SL_Control!$A$2:$H$520</definedName>
    <definedName name="Z_412D2336_7FB4_45D3_BA98_8AC8A28425F1_.wvu.FilterData" localSheetId="2" hidden="1">AN_Control!$A$2:$H$2144</definedName>
    <definedName name="Z_412D2336_7FB4_45D3_BA98_8AC8A28425F1_.wvu.FilterData" localSheetId="4" hidden="1">Bao_Cao!$A$2:$H$2144</definedName>
    <definedName name="Z_412D2336_7FB4_45D3_BA98_8AC8A28425F1_.wvu.FilterData" localSheetId="5" hidden="1">Bao_Cao_AT!$A$2:$H$2144</definedName>
    <definedName name="Z_412D2336_7FB4_45D3_BA98_8AC8A28425F1_.wvu.FilterData" localSheetId="6" hidden="1">Bao_Cao_VH!$A$2:$H$2144</definedName>
    <definedName name="Z_412D2336_7FB4_45D3_BA98_8AC8A28425F1_.wvu.FilterData" localSheetId="3" hidden="1">SL_Control!$A$2:$H$528</definedName>
    <definedName name="Z_4134D913_5904_4282_9D1C_1E81A6525980_.wvu.FilterData" localSheetId="2" hidden="1">AN_Control!$A$2:$H$701</definedName>
    <definedName name="Z_4134D913_5904_4282_9D1C_1E81A6525980_.wvu.FilterData" localSheetId="4" hidden="1">Bao_Cao!$A$2:$H$701</definedName>
    <definedName name="Z_4134D913_5904_4282_9D1C_1E81A6525980_.wvu.FilterData" localSheetId="5" hidden="1">Bao_Cao_AT!$A$2:$H$701</definedName>
    <definedName name="Z_4134D913_5904_4282_9D1C_1E81A6525980_.wvu.FilterData" localSheetId="6" hidden="1">Bao_Cao_VH!$A$2:$H$701</definedName>
    <definedName name="Z_41466F0C_9896_4D28_A6B6_97DE4DCF127E_.wvu.FilterData" localSheetId="3" hidden="1">SL_Control!$A$2:$H$576</definedName>
    <definedName name="Z_41ABD066_A4E5_4A04_BC92_07E87A2D62B5_.wvu.FilterData" localSheetId="2" hidden="1">AN_Control!$A$2:$H$4141</definedName>
    <definedName name="Z_41ABD066_A4E5_4A04_BC92_07E87A2D62B5_.wvu.FilterData" localSheetId="4" hidden="1">Bao_Cao!$A$2:$H$3882</definedName>
    <definedName name="Z_41ABD066_A4E5_4A04_BC92_07E87A2D62B5_.wvu.FilterData" localSheetId="5" hidden="1">Bao_Cao_AT!$A$2:$H$3882</definedName>
    <definedName name="Z_41ABD066_A4E5_4A04_BC92_07E87A2D62B5_.wvu.FilterData" localSheetId="6" hidden="1">Bao_Cao_VH!$A$2:$H$3882</definedName>
    <definedName name="Z_41EF055F_367C_49BC_9242_273AD426E788_.wvu.FilterData" localSheetId="4" hidden="1">Bao_Cao!$A$2:$H$3882</definedName>
    <definedName name="Z_41EF055F_367C_49BC_9242_273AD426E788_.wvu.FilterData" localSheetId="5" hidden="1">Bao_Cao_AT!$A$2:$H$3882</definedName>
    <definedName name="Z_41EF055F_367C_49BC_9242_273AD426E788_.wvu.FilterData" localSheetId="6" hidden="1">Bao_Cao_VH!$A$2:$H$3882</definedName>
    <definedName name="Z_420AA662_B6D9_4D0A_AEA2_A5FCCA1FC61F_.wvu.FilterData" localSheetId="2" hidden="1">AN_Control!$A$2:$H$748</definedName>
    <definedName name="Z_420AA662_B6D9_4D0A_AEA2_A5FCCA1FC61F_.wvu.FilterData" localSheetId="4" hidden="1">Bao_Cao!$A$2:$H$748</definedName>
    <definedName name="Z_420AA662_B6D9_4D0A_AEA2_A5FCCA1FC61F_.wvu.FilterData" localSheetId="5" hidden="1">Bao_Cao_AT!$A$2:$H$748</definedName>
    <definedName name="Z_420AA662_B6D9_4D0A_AEA2_A5FCCA1FC61F_.wvu.FilterData" localSheetId="6" hidden="1">Bao_Cao_VH!$A$2:$H$748</definedName>
    <definedName name="Z_42739BD8_3381_4A55_82BD_0F77631743D4_.wvu.FilterData" localSheetId="2" hidden="1">AN_Control!$A$2:$H$2388</definedName>
    <definedName name="Z_42739BD8_3381_4A55_82BD_0F77631743D4_.wvu.FilterData" localSheetId="4" hidden="1">Bao_Cao!$A$2:$H$2388</definedName>
    <definedName name="Z_42739BD8_3381_4A55_82BD_0F77631743D4_.wvu.FilterData" localSheetId="5" hidden="1">Bao_Cao_AT!$A$2:$H$2388</definedName>
    <definedName name="Z_42739BD8_3381_4A55_82BD_0F77631743D4_.wvu.FilterData" localSheetId="6" hidden="1">Bao_Cao_VH!$A$2:$H$2388</definedName>
    <definedName name="Z_427D5B08_79B3_49C5_896C_00126745B80C_.wvu.FilterData" localSheetId="3" hidden="1">SL_Control!$A$2:$H$203</definedName>
    <definedName name="Z_42C9189A_547A_4584_A0C4_02334924F073_.wvu.FilterData" localSheetId="2" hidden="1">AN_Control!$A$2:$H$4831</definedName>
    <definedName name="Z_430183CE_8681_4C9A_8115_71F871408DBF_.wvu.FilterData" localSheetId="3" hidden="1">SL_Control!$A$2:$H$1201</definedName>
    <definedName name="Z_4316822F_1168_452A_A2AE_70858AAA37B4_.wvu.FilterData" localSheetId="3" hidden="1">SL_Control!$A$2:$H$134</definedName>
    <definedName name="Z_43275A19_1CC1_4A57_BB91_420F8DD9D095_.wvu.FilterData" localSheetId="3" hidden="1">SL_Control!$A$2:$H$583</definedName>
    <definedName name="Z_43EC7DAF_E8DA_4147_8D69_51B5E54DAF4C_.wvu.FilterData" localSheetId="2" hidden="1">AN_Control!$A$2:$H$2454</definedName>
    <definedName name="Z_43EC7DAF_E8DA_4147_8D69_51B5E54DAF4C_.wvu.FilterData" localSheetId="4" hidden="1">Bao_Cao!$A$2:$H$2455</definedName>
    <definedName name="Z_43EC7DAF_E8DA_4147_8D69_51B5E54DAF4C_.wvu.FilterData" localSheetId="5" hidden="1">Bao_Cao_AT!$A$2:$H$2455</definedName>
    <definedName name="Z_43EC7DAF_E8DA_4147_8D69_51B5E54DAF4C_.wvu.FilterData" localSheetId="6" hidden="1">Bao_Cao_VH!$A$2:$H$2455</definedName>
    <definedName name="Z_4414D067_AFD5_4613_8830_900545E7DB9A_.wvu.FilterData" localSheetId="2" hidden="1">AN_Control!$A$2:$H$4831</definedName>
    <definedName name="Z_4414D067_AFD5_4613_8830_900545E7DB9A_.wvu.FilterData" localSheetId="4" hidden="1">Bao_Cao!$A$2:$H$3882</definedName>
    <definedName name="Z_4414D067_AFD5_4613_8830_900545E7DB9A_.wvu.FilterData" localSheetId="5" hidden="1">Bao_Cao_AT!$A$2:$H$3882</definedName>
    <definedName name="Z_4414D067_AFD5_4613_8830_900545E7DB9A_.wvu.FilterData" localSheetId="6" hidden="1">Bao_Cao_VH!$A$2:$H$3882</definedName>
    <definedName name="Z_4414D067_AFD5_4613_8830_900545E7DB9A_.wvu.FilterData" localSheetId="3" hidden="1">SL_Control!$A$2:$H$1183</definedName>
    <definedName name="Z_4459842A_F42E_4E4D_917F_092877D2FFEE_.wvu.FilterData" localSheetId="2" hidden="1">AN_Control!$A$2:$H$2056</definedName>
    <definedName name="Z_4459842A_F42E_4E4D_917F_092877D2FFEE_.wvu.FilterData" localSheetId="4" hidden="1">Bao_Cao!$A$2:$H$2056</definedName>
    <definedName name="Z_4459842A_F42E_4E4D_917F_092877D2FFEE_.wvu.FilterData" localSheetId="5" hidden="1">Bao_Cao_AT!$A$2:$H$2056</definedName>
    <definedName name="Z_4459842A_F42E_4E4D_917F_092877D2FFEE_.wvu.FilterData" localSheetId="6" hidden="1">Bao_Cao_VH!$A$2:$H$2056</definedName>
    <definedName name="Z_4459842A_F42E_4E4D_917F_092877D2FFEE_.wvu.FilterData" localSheetId="3" hidden="1">SL_Control!$A$2:$H$520</definedName>
    <definedName name="Z_446F796C_DD01_451A_A890_6941C4BDC987_.wvu.FilterData" localSheetId="2" hidden="1">AN_Control!$A$2:$H$1621</definedName>
    <definedName name="Z_446F796C_DD01_451A_A890_6941C4BDC987_.wvu.FilterData" localSheetId="4" hidden="1">Bao_Cao!$A$2:$H$1621</definedName>
    <definedName name="Z_446F796C_DD01_451A_A890_6941C4BDC987_.wvu.FilterData" localSheetId="5" hidden="1">Bao_Cao_AT!$A$2:$H$1621</definedName>
    <definedName name="Z_446F796C_DD01_451A_A890_6941C4BDC987_.wvu.FilterData" localSheetId="6" hidden="1">Bao_Cao_VH!$A$2:$H$1621</definedName>
    <definedName name="Z_446F796C_DD01_451A_A890_6941C4BDC987_.wvu.FilterData" localSheetId="3" hidden="1">SL_Control!$A$2:$H$420</definedName>
    <definedName name="Z_449B582C_610F_414D_8786_AF2B1D535A01_.wvu.FilterData" localSheetId="2" hidden="1">AN_Control!$A$2:$H$3880</definedName>
    <definedName name="Z_449B582C_610F_414D_8786_AF2B1D535A01_.wvu.FilterData" localSheetId="3" hidden="1">SL_Control!$A$2:$H$930</definedName>
    <definedName name="Z_44B98459_E302_4700_BB86_F5BC583CE698_.wvu.FilterData" localSheetId="2" hidden="1">AN_Control!$A$2:$H$491</definedName>
    <definedName name="Z_44B98459_E302_4700_BB86_F5BC583CE698_.wvu.FilterData" localSheetId="4" hidden="1">Bao_Cao!$A$2:$H$491</definedName>
    <definedName name="Z_44B98459_E302_4700_BB86_F5BC583CE698_.wvu.FilterData" localSheetId="5" hidden="1">Bao_Cao_AT!$A$2:$H$491</definedName>
    <definedName name="Z_44B98459_E302_4700_BB86_F5BC583CE698_.wvu.FilterData" localSheetId="6" hidden="1">Bao_Cao_VH!$A$2:$H$491</definedName>
    <definedName name="Z_44E84590_AA1A_446B_9CFE_9D88AC1A6B43_.wvu.FilterData" localSheetId="3" hidden="1">SL_Control!$A$2:$H$262</definedName>
    <definedName name="Z_453FDC4E_C725_4E43_B7F8_899E9F245395_.wvu.FilterData" localSheetId="2" hidden="1">AN_Control!$A$2:$H$708</definedName>
    <definedName name="Z_453FDC4E_C725_4E43_B7F8_899E9F245395_.wvu.FilterData" localSheetId="4" hidden="1">Bao_Cao!$A$2:$H$708</definedName>
    <definedName name="Z_453FDC4E_C725_4E43_B7F8_899E9F245395_.wvu.FilterData" localSheetId="5" hidden="1">Bao_Cao_AT!$A$2:$H$708</definedName>
    <definedName name="Z_453FDC4E_C725_4E43_B7F8_899E9F245395_.wvu.FilterData" localSheetId="6" hidden="1">Bao_Cao_VH!$A$2:$H$708</definedName>
    <definedName name="Z_453FDC4E_C725_4E43_B7F8_899E9F245395_.wvu.FilterData" localSheetId="3" hidden="1">SL_Control!$A$2:$H$183</definedName>
    <definedName name="Z_45DB2D9B_21A7_458E_9343_24DB790D2FCA_.wvu.FilterData" localSheetId="3" hidden="1">SL_Control!$A$2:$H$923</definedName>
    <definedName name="Z_45EEC615_C847_4334_B42D_3124894191EA_.wvu.FilterData" localSheetId="3" hidden="1">SL_Control!$A$2:$H$520</definedName>
    <definedName name="Z_4626A6CE_7EC1_46D0_8C4E_C0443A803977_.wvu.FilterData" localSheetId="3" hidden="1">SL_Control!$A$2:$H$269</definedName>
    <definedName name="Z_466604AE_0159_43E6_9BA6_05925ED73CB1_.wvu.FilterData" localSheetId="3" hidden="1">SL_Control!$A$2:$H$602</definedName>
    <definedName name="Z_48EACA01_B926_40FF_9E7D_8C702932630A_.wvu.FilterData" localSheetId="2" hidden="1">AN_Control!$A$2:$H$4249</definedName>
    <definedName name="Z_48EACA01_B926_40FF_9E7D_8C702932630A_.wvu.FilterData" localSheetId="4" hidden="1">Bao_Cao!$A$2:$H$3882</definedName>
    <definedName name="Z_48EACA01_B926_40FF_9E7D_8C702932630A_.wvu.FilterData" localSheetId="5" hidden="1">Bao_Cao_AT!$A$2:$H$3882</definedName>
    <definedName name="Z_48EACA01_B926_40FF_9E7D_8C702932630A_.wvu.FilterData" localSheetId="6" hidden="1">Bao_Cao_VH!$A$2:$H$3882</definedName>
    <definedName name="Z_4925F90E_3C50_4CE7_899B_24B10FF59603_.wvu.FilterData" localSheetId="3" hidden="1">SL_Control!$A$2:$H$144</definedName>
    <definedName name="Z_4930934B_DCD2_4358_BE28_42EDF35F0245_.wvu.FilterData" localSheetId="2" hidden="1">AN_Control!$A$2:$H$5575</definedName>
    <definedName name="Z_4930934B_DCD2_4358_BE28_42EDF35F0245_.wvu.FilterData" localSheetId="4" hidden="1">Bao_Cao!$A$2:$H$3882</definedName>
    <definedName name="Z_4930934B_DCD2_4358_BE28_42EDF35F0245_.wvu.FilterData" localSheetId="5" hidden="1">Bao_Cao_AT!$A$2:$H$3882</definedName>
    <definedName name="Z_4930934B_DCD2_4358_BE28_42EDF35F0245_.wvu.FilterData" localSheetId="6" hidden="1">Bao_Cao_VH!$A$2:$H$3882</definedName>
    <definedName name="Z_494B059A_E47E_47FA_B03A_5BCBCFC83499_.wvu.FilterData" localSheetId="2" hidden="1">AN_Control!$A$2:$H$691</definedName>
    <definedName name="Z_494B059A_E47E_47FA_B03A_5BCBCFC83499_.wvu.FilterData" localSheetId="4" hidden="1">Bao_Cao!$A$2:$H$691</definedName>
    <definedName name="Z_494B059A_E47E_47FA_B03A_5BCBCFC83499_.wvu.FilterData" localSheetId="5" hidden="1">Bao_Cao_AT!$A$2:$H$691</definedName>
    <definedName name="Z_494B059A_E47E_47FA_B03A_5BCBCFC83499_.wvu.FilterData" localSheetId="6" hidden="1">Bao_Cao_VH!$A$2:$H$691</definedName>
    <definedName name="Z_496F7C99_4C75_4130_8DA2_B4D252FC0CDE_.wvu.FilterData" localSheetId="3" hidden="1">SL_Control!$A$2:$H$392</definedName>
    <definedName name="Z_4AAE1827_F354_4A41_8E99_AFDDBD3BC3C6_.wvu.FilterData" localSheetId="3" hidden="1">SL_Control!$A$2:$H$1126</definedName>
    <definedName name="Z_4AD16521_8AEE_4661_B09E_87344E41664A_.wvu.FilterData" localSheetId="3" hidden="1">SL_Control!$A$2:$H$265</definedName>
    <definedName name="Z_4B35DFC1_DEBF_46D1_AAEB_92CE933D38BF_.wvu.FilterData" localSheetId="2" hidden="1">AN_Control!$A$2:$H$4204</definedName>
    <definedName name="Z_4B35DFC1_DEBF_46D1_AAEB_92CE933D38BF_.wvu.FilterData" localSheetId="3" hidden="1">SL_Control!$A$2:$H$1043</definedName>
    <definedName name="Z_4C05EE37_7426_4E01_AB25_E9B35D4B56A2_.wvu.FilterData" localSheetId="2" hidden="1">AN_Control!$A$2:$H$4202</definedName>
    <definedName name="Z_4C2C2179_023A_4830_A18A_E9B79A4BA51E_.wvu.FilterData" localSheetId="2" hidden="1">AN_Control!$A$2:$H$5371</definedName>
    <definedName name="Z_4C2C2179_023A_4830_A18A_E9B79A4BA51E_.wvu.FilterData" localSheetId="4" hidden="1">Bao_Cao!$A$2:$H$3882</definedName>
    <definedName name="Z_4C2C2179_023A_4830_A18A_E9B79A4BA51E_.wvu.FilterData" localSheetId="5" hidden="1">Bao_Cao_AT!$A$2:$H$3882</definedName>
    <definedName name="Z_4C2C2179_023A_4830_A18A_E9B79A4BA51E_.wvu.FilterData" localSheetId="6" hidden="1">Bao_Cao_VH!$A$2:$H$3882</definedName>
    <definedName name="Z_4C2C2179_023A_4830_A18A_E9B79A4BA51E_.wvu.FilterData" localSheetId="3" hidden="1">SL_Control!$A$2:$H$1376</definedName>
    <definedName name="Z_4CA5BFEE_2DF0_47AD_8A86_535C6DB244A8_.wvu.FilterData" localSheetId="4" hidden="1">Bao_Cao!$A$2:$H$3882</definedName>
    <definedName name="Z_4CA5BFEE_2DF0_47AD_8A86_535C6DB244A8_.wvu.FilterData" localSheetId="5" hidden="1">Bao_Cao_AT!$A$2:$H$3882</definedName>
    <definedName name="Z_4CA5BFEE_2DF0_47AD_8A86_535C6DB244A8_.wvu.FilterData" localSheetId="6" hidden="1">Bao_Cao_VH!$A$2:$H$3882</definedName>
    <definedName name="Z_4CA7C413_38EE_483C_A8BC_2E3D28AB5B70_.wvu.FilterData" localSheetId="2" hidden="1">AN_Control!$A$2:$H$3563</definedName>
    <definedName name="Z_4CA7C413_38EE_483C_A8BC_2E3D28AB5B70_.wvu.FilterData" localSheetId="4" hidden="1">Bao_Cao!$A$2:$H$3564</definedName>
    <definedName name="Z_4CA7C413_38EE_483C_A8BC_2E3D28AB5B70_.wvu.FilterData" localSheetId="5" hidden="1">Bao_Cao_AT!$A$2:$H$3564</definedName>
    <definedName name="Z_4CA7C413_38EE_483C_A8BC_2E3D28AB5B70_.wvu.FilterData" localSheetId="6" hidden="1">Bao_Cao_VH!$A$2:$H$3564</definedName>
    <definedName name="Z_4D23A1D3_4D13_4C40_AFCA_47E66651B8A6_.wvu.FilterData" localSheetId="2" hidden="1">AN_Control!$A$2:$H$3404</definedName>
    <definedName name="Z_4D23A1D3_4D13_4C40_AFCA_47E66651B8A6_.wvu.FilterData" localSheetId="4" hidden="1">Bao_Cao!$A$2:$H$3405</definedName>
    <definedName name="Z_4D23A1D3_4D13_4C40_AFCA_47E66651B8A6_.wvu.FilterData" localSheetId="5" hidden="1">Bao_Cao_AT!$A$2:$H$3405</definedName>
    <definedName name="Z_4D23A1D3_4D13_4C40_AFCA_47E66651B8A6_.wvu.FilterData" localSheetId="6" hidden="1">Bao_Cao_VH!$A$2:$H$3405</definedName>
    <definedName name="Z_4D4BB040_493A_4301_AE77_91A4B5A63236_.wvu.FilterData" localSheetId="3" hidden="1">SL_Control!$A$2:$H$903</definedName>
    <definedName name="Z_4D58762F_5FF3_40CE_8014_0A3CCDCCD9B6_.wvu.FilterData" localSheetId="2" hidden="1">AN_Control!$A$2:$H$4831</definedName>
    <definedName name="Z_4D58762F_5FF3_40CE_8014_0A3CCDCCD9B6_.wvu.FilterData" localSheetId="4" hidden="1">Bao_Cao!$A$2:$H$3882</definedName>
    <definedName name="Z_4D58762F_5FF3_40CE_8014_0A3CCDCCD9B6_.wvu.FilterData" localSheetId="5" hidden="1">Bao_Cao_AT!$A$2:$H$3882</definedName>
    <definedName name="Z_4D58762F_5FF3_40CE_8014_0A3CCDCCD9B6_.wvu.FilterData" localSheetId="6" hidden="1">Bao_Cao_VH!$A$2:$H$3882</definedName>
    <definedName name="Z_4DB1BBEB_E1A2_4A5C_A17C_F3F5FABBB586_.wvu.FilterData" localSheetId="3" hidden="1">SL_Control!$A$2:$H$873</definedName>
    <definedName name="Z_4DCA4434_233A_45A8_BD52_DF12F4C95BC4_.wvu.FilterData" localSheetId="2" hidden="1">AN_Control!$A$2:$H$1549</definedName>
    <definedName name="Z_4DCA4434_233A_45A8_BD52_DF12F4C95BC4_.wvu.FilterData" localSheetId="4" hidden="1">Bao_Cao!$A$2:$H$1549</definedName>
    <definedName name="Z_4DCA4434_233A_45A8_BD52_DF12F4C95BC4_.wvu.FilterData" localSheetId="5" hidden="1">Bao_Cao_AT!$A$2:$H$1549</definedName>
    <definedName name="Z_4DCA4434_233A_45A8_BD52_DF12F4C95BC4_.wvu.FilterData" localSheetId="6" hidden="1">Bao_Cao_VH!$A$2:$H$1549</definedName>
    <definedName name="Z_4DD3372D_EC2F_492C_8043_A416C9BBA870_.wvu.FilterData" localSheetId="2" hidden="1">AN_Control!$A$2:$H$810</definedName>
    <definedName name="Z_4DD3372D_EC2F_492C_8043_A416C9BBA870_.wvu.FilterData" localSheetId="4" hidden="1">Bao_Cao!$A$2:$H$810</definedName>
    <definedName name="Z_4DD3372D_EC2F_492C_8043_A416C9BBA870_.wvu.FilterData" localSheetId="5" hidden="1">Bao_Cao_AT!$A$2:$H$810</definedName>
    <definedName name="Z_4DD3372D_EC2F_492C_8043_A416C9BBA870_.wvu.FilterData" localSheetId="6" hidden="1">Bao_Cao_VH!$A$2:$H$810</definedName>
    <definedName name="Z_4E6B6435_C65A_4B88_9CB8_B69EE0CD7887_.wvu.FilterData" localSheetId="2" hidden="1">AN_Control!$A$2:$H$5379</definedName>
    <definedName name="Z_4E6B6435_C65A_4B88_9CB8_B69EE0CD7887_.wvu.FilterData" localSheetId="4" hidden="1">Bao_Cao!$A$2:$H$3882</definedName>
    <definedName name="Z_4E6B6435_C65A_4B88_9CB8_B69EE0CD7887_.wvu.FilterData" localSheetId="5" hidden="1">Bao_Cao_AT!$A$2:$H$3882</definedName>
    <definedName name="Z_4E6B6435_C65A_4B88_9CB8_B69EE0CD7887_.wvu.FilterData" localSheetId="6" hidden="1">Bao_Cao_VH!$A$2:$H$3882</definedName>
    <definedName name="Z_4E7ADD45_2EE5_4FB6_B4E5_A84712BF1D56_.wvu.FilterData" localSheetId="3" hidden="1">SL_Control!$A$2:$H$199</definedName>
    <definedName name="Z_4EA61CB8_CE1E_43CD_8091_DF457179CE3D_.wvu.FilterData" localSheetId="2" hidden="1">AN_Control!$A$2:$H$3665</definedName>
    <definedName name="Z_4EA61CB8_CE1E_43CD_8091_DF457179CE3D_.wvu.FilterData" localSheetId="4" hidden="1">Bao_Cao!$A$2:$H$3666</definedName>
    <definedName name="Z_4EA61CB8_CE1E_43CD_8091_DF457179CE3D_.wvu.FilterData" localSheetId="5" hidden="1">Bao_Cao_AT!$A$2:$H$3666</definedName>
    <definedName name="Z_4EA61CB8_CE1E_43CD_8091_DF457179CE3D_.wvu.FilterData" localSheetId="6" hidden="1">Bao_Cao_VH!$A$2:$H$3666</definedName>
    <definedName name="Z_500E9196_60B4_40A4_B1F6_FE77F66631BB_.wvu.FilterData" localSheetId="3" hidden="1">SL_Control!$A$2:$H$430</definedName>
    <definedName name="Z_5010C355_2A1F_4244_835B_3F779D582E7C_.wvu.FilterData" localSheetId="2" hidden="1">AN_Control!$A$2:$H$1133</definedName>
    <definedName name="Z_5010C355_2A1F_4244_835B_3F779D582E7C_.wvu.FilterData" localSheetId="4" hidden="1">Bao_Cao!$A$2:$H$1133</definedName>
    <definedName name="Z_5010C355_2A1F_4244_835B_3F779D582E7C_.wvu.FilterData" localSheetId="5" hidden="1">Bao_Cao_AT!$A$2:$H$1133</definedName>
    <definedName name="Z_5010C355_2A1F_4244_835B_3F779D582E7C_.wvu.FilterData" localSheetId="6" hidden="1">Bao_Cao_VH!$A$2:$H$1133</definedName>
    <definedName name="Z_507FD744_71B0_4A56_A716_2E7325D2EBF5_.wvu.FilterData" localSheetId="2" hidden="1">AN_Control!$A$2:$H$4207</definedName>
    <definedName name="Z_50A12651_1607_4268_89E0_D8ADB3323992_.wvu.FilterData" localSheetId="2" hidden="1">AN_Control!$A$2:$H$1880</definedName>
    <definedName name="Z_50A12651_1607_4268_89E0_D8ADB3323992_.wvu.FilterData" localSheetId="4" hidden="1">Bao_Cao!$A$2:$H$1880</definedName>
    <definedName name="Z_50A12651_1607_4268_89E0_D8ADB3323992_.wvu.FilterData" localSheetId="5" hidden="1">Bao_Cao_AT!$A$2:$H$1880</definedName>
    <definedName name="Z_50A12651_1607_4268_89E0_D8ADB3323992_.wvu.FilterData" localSheetId="6" hidden="1">Bao_Cao_VH!$A$2:$H$1880</definedName>
    <definedName name="Z_50E2BFBF_272C_4DEF_B188_80DD2782F903_.wvu.Cols" localSheetId="3" hidden="1">SL_Control!#REF!</definedName>
    <definedName name="Z_50E2BFBF_272C_4DEF_B188_80DD2782F903_.wvu.FilterData" localSheetId="2" hidden="1">AN_Control!$A$2:$H$1921</definedName>
    <definedName name="Z_50E2BFBF_272C_4DEF_B188_80DD2782F903_.wvu.FilterData" localSheetId="4" hidden="1">Bao_Cao!$A$2:$H$1921</definedName>
    <definedName name="Z_50E2BFBF_272C_4DEF_B188_80DD2782F903_.wvu.FilterData" localSheetId="5" hidden="1">Bao_Cao_AT!$A$2:$H$1921</definedName>
    <definedName name="Z_50E2BFBF_272C_4DEF_B188_80DD2782F903_.wvu.FilterData" localSheetId="6" hidden="1">Bao_Cao_VH!$A$2:$H$1921</definedName>
    <definedName name="Z_50E2BFBF_272C_4DEF_B188_80DD2782F903_.wvu.FilterData" localSheetId="3" hidden="1">SL_Control!$A$2:$H$484</definedName>
    <definedName name="Z_513B6F32_416B_4497_98A3_B6ECBB8EB97C_.wvu.FilterData" localSheetId="4" hidden="1">Bao_Cao!$A$2:$H$3882</definedName>
    <definedName name="Z_513B6F32_416B_4497_98A3_B6ECBB8EB97C_.wvu.FilterData" localSheetId="5" hidden="1">Bao_Cao_AT!$A$2:$H$3882</definedName>
    <definedName name="Z_513B6F32_416B_4497_98A3_B6ECBB8EB97C_.wvu.FilterData" localSheetId="6" hidden="1">Bao_Cao_VH!$A$2:$H$3882</definedName>
    <definedName name="Z_513B6F32_416B_4497_98A3_B6ECBB8EB97C_.wvu.FilterData" localSheetId="3" hidden="1">SL_Control!$A$2:$H$1055</definedName>
    <definedName name="Z_516401BD_42BF_4374_BAD1_9F7A22FE93AC_.wvu.FilterData" localSheetId="2" hidden="1">AN_Control!$A$2:$H$4929</definedName>
    <definedName name="Z_516401BD_42BF_4374_BAD1_9F7A22FE93AC_.wvu.FilterData" localSheetId="4" hidden="1">Bao_Cao!$A$2:$H$3882</definedName>
    <definedName name="Z_516401BD_42BF_4374_BAD1_9F7A22FE93AC_.wvu.FilterData" localSheetId="5" hidden="1">Bao_Cao_AT!$A$2:$H$3882</definedName>
    <definedName name="Z_516401BD_42BF_4374_BAD1_9F7A22FE93AC_.wvu.FilterData" localSheetId="6" hidden="1">Bao_Cao_VH!$A$2:$H$3882</definedName>
    <definedName name="Z_5176F6DF_7505_4E6A_BE12_208DB92C856E_.wvu.FilterData" localSheetId="2" hidden="1">AN_Control!$A$2:$H$1087</definedName>
    <definedName name="Z_5176F6DF_7505_4E6A_BE12_208DB92C856E_.wvu.FilterData" localSheetId="4" hidden="1">Bao_Cao!$A$2:$H$1087</definedName>
    <definedName name="Z_5176F6DF_7505_4E6A_BE12_208DB92C856E_.wvu.FilterData" localSheetId="5" hidden="1">Bao_Cao_AT!$A$2:$H$1087</definedName>
    <definedName name="Z_5176F6DF_7505_4E6A_BE12_208DB92C856E_.wvu.FilterData" localSheetId="6" hidden="1">Bao_Cao_VH!$A$2:$H$1087</definedName>
    <definedName name="Z_518E8163_5641_4245_8076_6EDBD02C6FC5_.wvu.FilterData" localSheetId="2" hidden="1">AN_Control!$A$2:$H$501</definedName>
    <definedName name="Z_518E8163_5641_4245_8076_6EDBD02C6FC5_.wvu.FilterData" localSheetId="4" hidden="1">Bao_Cao!$A$2:$H$501</definedName>
    <definedName name="Z_518E8163_5641_4245_8076_6EDBD02C6FC5_.wvu.FilterData" localSheetId="5" hidden="1">Bao_Cao_AT!$A$2:$H$501</definedName>
    <definedName name="Z_518E8163_5641_4245_8076_6EDBD02C6FC5_.wvu.FilterData" localSheetId="6" hidden="1">Bao_Cao_VH!$A$2:$H$501</definedName>
    <definedName name="Z_51B82A17_DD34_411C_8E37_48E34322A7BB_.wvu.FilterData" localSheetId="2" hidden="1">AN_Control!$A$2:$H$1025</definedName>
    <definedName name="Z_51B82A17_DD34_411C_8E37_48E34322A7BB_.wvu.FilterData" localSheetId="4" hidden="1">Bao_Cao!$A$2:$H$1025</definedName>
    <definedName name="Z_51B82A17_DD34_411C_8E37_48E34322A7BB_.wvu.FilterData" localSheetId="5" hidden="1">Bao_Cao_AT!$A$2:$H$1025</definedName>
    <definedName name="Z_51B82A17_DD34_411C_8E37_48E34322A7BB_.wvu.FilterData" localSheetId="6" hidden="1">Bao_Cao_VH!$A$2:$H$1025</definedName>
    <definedName name="Z_51EB6BE2_A4AB_4D6D_BC57_9DBCE178FBAC_.wvu.FilterData" localSheetId="2" hidden="1">AN_Control!$A$2:$H$866</definedName>
    <definedName name="Z_51EB6BE2_A4AB_4D6D_BC57_9DBCE178FBAC_.wvu.FilterData" localSheetId="4" hidden="1">Bao_Cao!$A$2:$H$866</definedName>
    <definedName name="Z_51EB6BE2_A4AB_4D6D_BC57_9DBCE178FBAC_.wvu.FilterData" localSheetId="5" hidden="1">Bao_Cao_AT!$A$2:$H$866</definedName>
    <definedName name="Z_51EB6BE2_A4AB_4D6D_BC57_9DBCE178FBAC_.wvu.FilterData" localSheetId="6" hidden="1">Bao_Cao_VH!$A$2:$H$866</definedName>
    <definedName name="Z_52A91C3E_CE49_4EF5_87BC_D79997BC8791_.wvu.FilterData" localSheetId="2" hidden="1">AN_Control!$A$2:$H$3928</definedName>
    <definedName name="Z_52A91C3E_CE49_4EF5_87BC_D79997BC8791_.wvu.FilterData" localSheetId="4" hidden="1">Bao_Cao!$A$2:$H$3882</definedName>
    <definedName name="Z_52A91C3E_CE49_4EF5_87BC_D79997BC8791_.wvu.FilterData" localSheetId="5" hidden="1">Bao_Cao_AT!$A$2:$H$3882</definedName>
    <definedName name="Z_52A91C3E_CE49_4EF5_87BC_D79997BC8791_.wvu.FilterData" localSheetId="6" hidden="1">Bao_Cao_VH!$A$2:$H$3882</definedName>
    <definedName name="Z_52A91C3E_CE49_4EF5_87BC_D79997BC8791_.wvu.FilterData" localSheetId="3" hidden="1">SL_Control!$A$2:$H$946</definedName>
    <definedName name="Z_52C60E1F_6644_4E2B_9F65_8C115EC649E5_.wvu.FilterData" localSheetId="2" hidden="1">AN_Control!$A$2:$H$2710</definedName>
    <definedName name="Z_52C60E1F_6644_4E2B_9F65_8C115EC649E5_.wvu.FilterData" localSheetId="4" hidden="1">Bao_Cao!$A$2:$H$2711</definedName>
    <definedName name="Z_52C60E1F_6644_4E2B_9F65_8C115EC649E5_.wvu.FilterData" localSheetId="5" hidden="1">Bao_Cao_AT!$A$2:$H$2711</definedName>
    <definedName name="Z_52C60E1F_6644_4E2B_9F65_8C115EC649E5_.wvu.FilterData" localSheetId="6" hidden="1">Bao_Cao_VH!$A$2:$H$2711</definedName>
    <definedName name="Z_52E65560_0E79_47BA_921D_56505AC1B7F8_.wvu.FilterData" localSheetId="2" hidden="1">AN_Control!$A$2:$H$3377</definedName>
    <definedName name="Z_52E65560_0E79_47BA_921D_56505AC1B7F8_.wvu.FilterData" localSheetId="4" hidden="1">Bao_Cao!$A$2:$H$3378</definedName>
    <definedName name="Z_52E65560_0E79_47BA_921D_56505AC1B7F8_.wvu.FilterData" localSheetId="5" hidden="1">Bao_Cao_AT!$A$2:$H$3378</definedName>
    <definedName name="Z_52E65560_0E79_47BA_921D_56505AC1B7F8_.wvu.FilterData" localSheetId="6" hidden="1">Bao_Cao_VH!$A$2:$H$3378</definedName>
    <definedName name="Z_52F24A1E_A76E_4878_9743_3816602FDF85_.wvu.FilterData" localSheetId="3" hidden="1">SL_Control!$A$2:$H$746</definedName>
    <definedName name="Z_539FEA58_1CC1_4B45_B3A9_C80E31A23232_.wvu.FilterData" localSheetId="2" hidden="1">AN_Control!$A$2:$H$1574</definedName>
    <definedName name="Z_539FEA58_1CC1_4B45_B3A9_C80E31A23232_.wvu.FilterData" localSheetId="4" hidden="1">Bao_Cao!$A$2:$H$1574</definedName>
    <definedName name="Z_539FEA58_1CC1_4B45_B3A9_C80E31A23232_.wvu.FilterData" localSheetId="5" hidden="1">Bao_Cao_AT!$A$2:$H$1574</definedName>
    <definedName name="Z_539FEA58_1CC1_4B45_B3A9_C80E31A23232_.wvu.FilterData" localSheetId="6" hidden="1">Bao_Cao_VH!$A$2:$H$1574</definedName>
    <definedName name="Z_539FEA58_1CC1_4B45_B3A9_C80E31A23232_.wvu.FilterData" localSheetId="3" hidden="1">SL_Control!$A$2:$H$404</definedName>
    <definedName name="Z_54023265_5A33_4EFF_BAF6_E318F0687EDA_.wvu.FilterData" localSheetId="2" hidden="1">AN_Control!$A$2:$H$1474</definedName>
    <definedName name="Z_54023265_5A33_4EFF_BAF6_E318F0687EDA_.wvu.FilterData" localSheetId="4" hidden="1">Bao_Cao!$A$2:$H$1474</definedName>
    <definedName name="Z_54023265_5A33_4EFF_BAF6_E318F0687EDA_.wvu.FilterData" localSheetId="5" hidden="1">Bao_Cao_AT!$A$2:$H$1474</definedName>
    <definedName name="Z_54023265_5A33_4EFF_BAF6_E318F0687EDA_.wvu.FilterData" localSheetId="6" hidden="1">Bao_Cao_VH!$A$2:$H$1474</definedName>
    <definedName name="Z_55DC8837_56B8_42C3_B85C_A5F3870A792A_.wvu.FilterData" localSheetId="2" hidden="1">AN_Control!$A$2:$H$3991</definedName>
    <definedName name="Z_560859B4_935C_423F_B3AE_5AE78D79184A_.wvu.FilterData" localSheetId="2" hidden="1">AN_Control!$A$2:$H$933</definedName>
    <definedName name="Z_560859B4_935C_423F_B3AE_5AE78D79184A_.wvu.FilterData" localSheetId="4" hidden="1">Bao_Cao!$A$2:$H$933</definedName>
    <definedName name="Z_560859B4_935C_423F_B3AE_5AE78D79184A_.wvu.FilterData" localSheetId="5" hidden="1">Bao_Cao_AT!$A$2:$H$933</definedName>
    <definedName name="Z_560859B4_935C_423F_B3AE_5AE78D79184A_.wvu.FilterData" localSheetId="6" hidden="1">Bao_Cao_VH!$A$2:$H$933</definedName>
    <definedName name="Z_560859B4_935C_423F_B3AE_5AE78D79184A_.wvu.FilterData" localSheetId="3" hidden="1">SL_Control!$A$2:$H$256</definedName>
    <definedName name="Z_56EC2032_8288_437A_BEFA_3FE2DB710654_.wvu.FilterData" localSheetId="2" hidden="1">AN_Control!$A$2:$H$4141</definedName>
    <definedName name="Z_56EC2032_8288_437A_BEFA_3FE2DB710654_.wvu.FilterData" localSheetId="4" hidden="1">Bao_Cao!$A$2:$H$3882</definedName>
    <definedName name="Z_56EC2032_8288_437A_BEFA_3FE2DB710654_.wvu.FilterData" localSheetId="5" hidden="1">Bao_Cao_AT!$A$2:$H$3882</definedName>
    <definedName name="Z_56EC2032_8288_437A_BEFA_3FE2DB710654_.wvu.FilterData" localSheetId="6" hidden="1">Bao_Cao_VH!$A$2:$H$3882</definedName>
    <definedName name="Z_56EC2032_8288_437A_BEFA_3FE2DB710654_.wvu.FilterData" localSheetId="3" hidden="1">SL_Control!$A$2:$H$1018</definedName>
    <definedName name="Z_574778F7_1691_4D4F_88FD_A1626F0BF8CA_.wvu.FilterData" localSheetId="2" hidden="1">AN_Control!$A$2:$H$2543</definedName>
    <definedName name="Z_574778F7_1691_4D4F_88FD_A1626F0BF8CA_.wvu.FilterData" localSheetId="4" hidden="1">Bao_Cao!$A$2:$H$2544</definedName>
    <definedName name="Z_574778F7_1691_4D4F_88FD_A1626F0BF8CA_.wvu.FilterData" localSheetId="5" hidden="1">Bao_Cao_AT!$A$2:$H$2544</definedName>
    <definedName name="Z_574778F7_1691_4D4F_88FD_A1626F0BF8CA_.wvu.FilterData" localSheetId="6" hidden="1">Bao_Cao_VH!$A$2:$H$2544</definedName>
    <definedName name="Z_575618F7_18A3_4A91_A91F_A5F2B5E1B70F_.wvu.FilterData" localSheetId="2" hidden="1">AN_Control!$A$2:$H$1806</definedName>
    <definedName name="Z_575618F7_18A3_4A91_A91F_A5F2B5E1B70F_.wvu.FilterData" localSheetId="4" hidden="1">Bao_Cao!$A$2:$H$1806</definedName>
    <definedName name="Z_575618F7_18A3_4A91_A91F_A5F2B5E1B70F_.wvu.FilterData" localSheetId="5" hidden="1">Bao_Cao_AT!$A$2:$H$1806</definedName>
    <definedName name="Z_575618F7_18A3_4A91_A91F_A5F2B5E1B70F_.wvu.FilterData" localSheetId="6" hidden="1">Bao_Cao_VH!$A$2:$H$1806</definedName>
    <definedName name="Z_58377A56_E586_4912_8406_E8010F82A6C9_.wvu.FilterData" localSheetId="3" hidden="1">SL_Control!$A$2:$H$172</definedName>
    <definedName name="Z_58496D90_1E84_4500_A680_E027155344B2_.wvu.FilterData" localSheetId="2" hidden="1">AN_Control!$A$2:$H$1056</definedName>
    <definedName name="Z_58496D90_1E84_4500_A680_E027155344B2_.wvu.FilterData" localSheetId="4" hidden="1">Bao_Cao!$A$2:$H$1056</definedName>
    <definedName name="Z_58496D90_1E84_4500_A680_E027155344B2_.wvu.FilterData" localSheetId="5" hidden="1">Bao_Cao_AT!$A$2:$H$1056</definedName>
    <definedName name="Z_58496D90_1E84_4500_A680_E027155344B2_.wvu.FilterData" localSheetId="6" hidden="1">Bao_Cao_VH!$A$2:$H$1056</definedName>
    <definedName name="Z_58E717E2_43A6_469D_931B_C40C05C3B14B_.wvu.FilterData" localSheetId="2" hidden="1">AN_Control!$A$2:$H$3392</definedName>
    <definedName name="Z_58E717E2_43A6_469D_931B_C40C05C3B14B_.wvu.FilterData" localSheetId="4" hidden="1">Bao_Cao!$A$2:$H$3393</definedName>
    <definedName name="Z_58E717E2_43A6_469D_931B_C40C05C3B14B_.wvu.FilterData" localSheetId="5" hidden="1">Bao_Cao_AT!$A$2:$H$3393</definedName>
    <definedName name="Z_58E717E2_43A6_469D_931B_C40C05C3B14B_.wvu.FilterData" localSheetId="6" hidden="1">Bao_Cao_VH!$A$2:$H$3393</definedName>
    <definedName name="Z_5906FC60_50B9_4D98_A67F_FB3141C31B3D_.wvu.FilterData" localSheetId="2" hidden="1">AN_Control!$A$2:$H$5553</definedName>
    <definedName name="Z_5906FC60_50B9_4D98_A67F_FB3141C31B3D_.wvu.FilterData" localSheetId="4" hidden="1">Bao_Cao!$A$2:$H$3882</definedName>
    <definedName name="Z_5906FC60_50B9_4D98_A67F_FB3141C31B3D_.wvu.FilterData" localSheetId="5" hidden="1">Bao_Cao_AT!$A$2:$H$3882</definedName>
    <definedName name="Z_5906FC60_50B9_4D98_A67F_FB3141C31B3D_.wvu.FilterData" localSheetId="6" hidden="1">Bao_Cao_VH!$A$2:$H$3882</definedName>
    <definedName name="Z_590F1A11_9B9D_4497_A295_224AA571FDC3_.wvu.FilterData" localSheetId="3" hidden="1">SL_Control!$A$2:$H$1046</definedName>
    <definedName name="Z_596C32DF_E35D_4826_9B5E_33886E59843A_.wvu.FilterData" localSheetId="3" hidden="1">SL_Control!$A$2:$H$68</definedName>
    <definedName name="Z_5973FBEB_81E7_4F99_A170_68E694412298_.wvu.FilterData" localSheetId="2" hidden="1">AN_Control!$A$2:$H$691</definedName>
    <definedName name="Z_5973FBEB_81E7_4F99_A170_68E694412298_.wvu.FilterData" localSheetId="4" hidden="1">Bao_Cao!$A$2:$H$691</definedName>
    <definedName name="Z_5973FBEB_81E7_4F99_A170_68E694412298_.wvu.FilterData" localSheetId="5" hidden="1">Bao_Cao_AT!$A$2:$H$691</definedName>
    <definedName name="Z_5973FBEB_81E7_4F99_A170_68E694412298_.wvu.FilterData" localSheetId="6" hidden="1">Bao_Cao_VH!$A$2:$H$691</definedName>
    <definedName name="Z_598503C2_2020_41A4_8332_2103DF33E93E_.wvu.FilterData" localSheetId="2" hidden="1">AN_Control!$A$2:$H$810</definedName>
    <definedName name="Z_598503C2_2020_41A4_8332_2103DF33E93E_.wvu.FilterData" localSheetId="4" hidden="1">Bao_Cao!$A$2:$H$810</definedName>
    <definedName name="Z_598503C2_2020_41A4_8332_2103DF33E93E_.wvu.FilterData" localSheetId="5" hidden="1">Bao_Cao_AT!$A$2:$H$810</definedName>
    <definedName name="Z_598503C2_2020_41A4_8332_2103DF33E93E_.wvu.FilterData" localSheetId="6" hidden="1">Bao_Cao_VH!$A$2:$H$810</definedName>
    <definedName name="Z_599B265E_2C87_4DA6_8A05_8D75BEEC1BAF_.wvu.FilterData" localSheetId="2" hidden="1">AN_Control!$A$2:$H$3928</definedName>
    <definedName name="Z_599B265E_2C87_4DA6_8A05_8D75BEEC1BAF_.wvu.FilterData" localSheetId="4" hidden="1">Bao_Cao!$A$2:$H$3882</definedName>
    <definedName name="Z_599B265E_2C87_4DA6_8A05_8D75BEEC1BAF_.wvu.FilterData" localSheetId="5" hidden="1">Bao_Cao_AT!$A$2:$H$3882</definedName>
    <definedName name="Z_599B265E_2C87_4DA6_8A05_8D75BEEC1BAF_.wvu.FilterData" localSheetId="6" hidden="1">Bao_Cao_VH!$A$2:$H$3882</definedName>
    <definedName name="Z_59AF8E10_F73A_436E_A959_142D2BB04251_.wvu.FilterData" localSheetId="4" hidden="1">Bao_Cao!$A$2:$H$3882</definedName>
    <definedName name="Z_59AF8E10_F73A_436E_A959_142D2BB04251_.wvu.FilterData" localSheetId="5" hidden="1">Bao_Cao_AT!$A$2:$H$3882</definedName>
    <definedName name="Z_59AF8E10_F73A_436E_A959_142D2BB04251_.wvu.FilterData" localSheetId="6" hidden="1">Bao_Cao_VH!$A$2:$H$3882</definedName>
    <definedName name="Z_59C60332_3CE9_41AF_9EC1_8C368D8ED4A1_.wvu.FilterData" localSheetId="2" hidden="1">AN_Control!$A$2:$H$1377</definedName>
    <definedName name="Z_59C60332_3CE9_41AF_9EC1_8C368D8ED4A1_.wvu.FilterData" localSheetId="4" hidden="1">Bao_Cao!$A$2:$H$1377</definedName>
    <definedName name="Z_59C60332_3CE9_41AF_9EC1_8C368D8ED4A1_.wvu.FilterData" localSheetId="5" hidden="1">Bao_Cao_AT!$A$2:$H$1377</definedName>
    <definedName name="Z_59C60332_3CE9_41AF_9EC1_8C368D8ED4A1_.wvu.FilterData" localSheetId="6" hidden="1">Bao_Cao_VH!$A$2:$H$1377</definedName>
    <definedName name="Z_59F84FC6_CBCE_4BD2_AB70_C52D543DA7B0_.wvu.FilterData" localSheetId="2" hidden="1">AN_Control!$A$2:$H$5597</definedName>
    <definedName name="Z_59F84FC6_CBCE_4BD2_AB70_C52D543DA7B0_.wvu.FilterData" localSheetId="4" hidden="1">Bao_Cao!$A$2:$H$3882</definedName>
    <definedName name="Z_59F84FC6_CBCE_4BD2_AB70_C52D543DA7B0_.wvu.FilterData" localSheetId="5" hidden="1">Bao_Cao_AT!$A$2:$H$3882</definedName>
    <definedName name="Z_59F84FC6_CBCE_4BD2_AB70_C52D543DA7B0_.wvu.FilterData" localSheetId="6" hidden="1">Bao_Cao_VH!$A$2:$H$3882</definedName>
    <definedName name="Z_5A3DE206_A2AA_4DD7_8554_1E11FF5079F9_.wvu.FilterData" localSheetId="3" hidden="1">SL_Control!$A$2:$H$986</definedName>
    <definedName name="Z_5A573C23_70C7_4FBD_A117_8E29A902D153_.wvu.FilterData" localSheetId="2" hidden="1">AN_Control!$A$2:$H$5502</definedName>
    <definedName name="Z_5A573C23_70C7_4FBD_A117_8E29A902D153_.wvu.FilterData" localSheetId="4" hidden="1">Bao_Cao!$A$2:$H$3882</definedName>
    <definedName name="Z_5A573C23_70C7_4FBD_A117_8E29A902D153_.wvu.FilterData" localSheetId="5" hidden="1">Bao_Cao_AT!$A$2:$H$3882</definedName>
    <definedName name="Z_5A573C23_70C7_4FBD_A117_8E29A902D153_.wvu.FilterData" localSheetId="6" hidden="1">Bao_Cao_VH!$A$2:$H$3882</definedName>
    <definedName name="Z_5A573C23_70C7_4FBD_A117_8E29A902D153_.wvu.FilterData" localSheetId="3" hidden="1">SL_Control!$A$2:$H$1417</definedName>
    <definedName name="Z_5A720976_6EC1_47E9_A528_453624DED7EF_.wvu.FilterData" localSheetId="2" hidden="1">AN_Control!$A$2:$H$872</definedName>
    <definedName name="Z_5A720976_6EC1_47E9_A528_453624DED7EF_.wvu.FilterData" localSheetId="4" hidden="1">Bao_Cao!$A$2:$H$872</definedName>
    <definedName name="Z_5A720976_6EC1_47E9_A528_453624DED7EF_.wvu.FilterData" localSheetId="5" hidden="1">Bao_Cao_AT!$A$2:$H$872</definedName>
    <definedName name="Z_5A720976_6EC1_47E9_A528_453624DED7EF_.wvu.FilterData" localSheetId="6" hidden="1">Bao_Cao_VH!$A$2:$H$872</definedName>
    <definedName name="Z_5AFA31E0_3C4C_4708_B92E_A826A79AD1E8_.wvu.FilterData" localSheetId="2" hidden="1">AN_Control!$A$2:$H$4119</definedName>
    <definedName name="Z_5AFA31E0_3C4C_4708_B92E_A826A79AD1E8_.wvu.FilterData" localSheetId="4" hidden="1">Bao_Cao!$A$2:$H$3882</definedName>
    <definedName name="Z_5AFA31E0_3C4C_4708_B92E_A826A79AD1E8_.wvu.FilterData" localSheetId="5" hidden="1">Bao_Cao_AT!$A$2:$H$3882</definedName>
    <definedName name="Z_5AFA31E0_3C4C_4708_B92E_A826A79AD1E8_.wvu.FilterData" localSheetId="6" hidden="1">Bao_Cao_VH!$A$2:$H$3882</definedName>
    <definedName name="Z_5BC9F9BE_7BB3_48B0_AC29_6B35D3BC7E05_.wvu.FilterData" localSheetId="3" hidden="1">SL_Control!$A$2:$H$392</definedName>
    <definedName name="Z_5C299ED7_0BDC_4B41_85BA_850E40B51D74_.wvu.FilterData" localSheetId="2" hidden="1">AN_Control!$A$2:$H$3283</definedName>
    <definedName name="Z_5C299ED7_0BDC_4B41_85BA_850E40B51D74_.wvu.FilterData" localSheetId="4" hidden="1">Bao_Cao!$A$2:$H$3284</definedName>
    <definedName name="Z_5C299ED7_0BDC_4B41_85BA_850E40B51D74_.wvu.FilterData" localSheetId="5" hidden="1">Bao_Cao_AT!$A$2:$H$3284</definedName>
    <definedName name="Z_5C299ED7_0BDC_4B41_85BA_850E40B51D74_.wvu.FilterData" localSheetId="6" hidden="1">Bao_Cao_VH!$A$2:$H$3284</definedName>
    <definedName name="Z_5D09EFBF_EF91_4B52_8723_2C7A2C05D1EF_.wvu.FilterData" localSheetId="2" hidden="1">AN_Control!$A$2:$H$2730</definedName>
    <definedName name="Z_5D09EFBF_EF91_4B52_8723_2C7A2C05D1EF_.wvu.FilterData" localSheetId="4" hidden="1">Bao_Cao!$A$2:$H$2731</definedName>
    <definedName name="Z_5D09EFBF_EF91_4B52_8723_2C7A2C05D1EF_.wvu.FilterData" localSheetId="5" hidden="1">Bao_Cao_AT!$A$2:$H$2731</definedName>
    <definedName name="Z_5D09EFBF_EF91_4B52_8723_2C7A2C05D1EF_.wvu.FilterData" localSheetId="6" hidden="1">Bao_Cao_VH!$A$2:$H$2731</definedName>
    <definedName name="Z_5D412E76_0556_4E83_B863_2BF64E69E39F_.wvu.FilterData" localSheetId="2" hidden="1">AN_Control!$A$2:$H$4282</definedName>
    <definedName name="Z_5D412E76_0556_4E83_B863_2BF64E69E39F_.wvu.FilterData" localSheetId="4" hidden="1">Bao_Cao!$A$2:$H$3882</definedName>
    <definedName name="Z_5D412E76_0556_4E83_B863_2BF64E69E39F_.wvu.FilterData" localSheetId="5" hidden="1">Bao_Cao_AT!$A$2:$H$3882</definedName>
    <definedName name="Z_5D412E76_0556_4E83_B863_2BF64E69E39F_.wvu.FilterData" localSheetId="6" hidden="1">Bao_Cao_VH!$A$2:$H$3882</definedName>
    <definedName name="Z_5D412E76_0556_4E83_B863_2BF64E69E39F_.wvu.FilterData" localSheetId="3" hidden="1">SL_Control!$A$2:$H$1049</definedName>
    <definedName name="Z_5D6B5FF1_2CEA_4E0C_A042_4A9C50F995F5_.wvu.FilterData" localSheetId="2" hidden="1">AN_Control!$A$2:$H$989</definedName>
    <definedName name="Z_5D6B5FF1_2CEA_4E0C_A042_4A9C50F995F5_.wvu.FilterData" localSheetId="4" hidden="1">Bao_Cao!$A$2:$H$989</definedName>
    <definedName name="Z_5D6B5FF1_2CEA_4E0C_A042_4A9C50F995F5_.wvu.FilterData" localSheetId="5" hidden="1">Bao_Cao_AT!$A$2:$H$989</definedName>
    <definedName name="Z_5D6B5FF1_2CEA_4E0C_A042_4A9C50F995F5_.wvu.FilterData" localSheetId="6" hidden="1">Bao_Cao_VH!$A$2:$H$989</definedName>
    <definedName name="Z_5D736A5F_7C27_4F32_AF31_8559C10EA27F_.wvu.FilterData" localSheetId="2" hidden="1">AN_Control!$A$2:$H$4517</definedName>
    <definedName name="Z_5D736A5F_7C27_4F32_AF31_8559C10EA27F_.wvu.FilterData" localSheetId="4" hidden="1">Bao_Cao!$A$2:$H$3882</definedName>
    <definedName name="Z_5D736A5F_7C27_4F32_AF31_8559C10EA27F_.wvu.FilterData" localSheetId="5" hidden="1">Bao_Cao_AT!$A$2:$H$3882</definedName>
    <definedName name="Z_5D736A5F_7C27_4F32_AF31_8559C10EA27F_.wvu.FilterData" localSheetId="6" hidden="1">Bao_Cao_VH!$A$2:$H$3882</definedName>
    <definedName name="Z_5D7420FF_79ED_44C2_BDC4_3BA232906EA5_.wvu.FilterData" localSheetId="3" hidden="1">SL_Control!$A$2:$H$189</definedName>
    <definedName name="Z_5DB9F628_2499_4581_93E1_DC75116244FB_.wvu.FilterData" localSheetId="2" hidden="1">AN_Control!$A$2:$H$2847</definedName>
    <definedName name="Z_5DB9F628_2499_4581_93E1_DC75116244FB_.wvu.FilterData" localSheetId="4" hidden="1">Bao_Cao!$A$2:$H$2848</definedName>
    <definedName name="Z_5DB9F628_2499_4581_93E1_DC75116244FB_.wvu.FilterData" localSheetId="5" hidden="1">Bao_Cao_AT!$A$2:$H$2848</definedName>
    <definedName name="Z_5DB9F628_2499_4581_93E1_DC75116244FB_.wvu.FilterData" localSheetId="6" hidden="1">Bao_Cao_VH!$A$2:$H$2848</definedName>
    <definedName name="Z_5E43ED9A_E929_4160_A2D9_0C0B303F9F5B_.wvu.FilterData" localSheetId="3" hidden="1">SL_Control!$A$2:$H$520</definedName>
    <definedName name="Z_5E776BC3_97C4_4982_940C_53DD4304A21F_.wvu.FilterData" localSheetId="2" hidden="1">AN_Control!$A$2:$H$635</definedName>
    <definedName name="Z_5E776BC3_97C4_4982_940C_53DD4304A21F_.wvu.FilterData" localSheetId="4" hidden="1">Bao_Cao!$A$2:$H$635</definedName>
    <definedName name="Z_5E776BC3_97C4_4982_940C_53DD4304A21F_.wvu.FilterData" localSheetId="5" hidden="1">Bao_Cao_AT!$A$2:$H$635</definedName>
    <definedName name="Z_5E776BC3_97C4_4982_940C_53DD4304A21F_.wvu.FilterData" localSheetId="6" hidden="1">Bao_Cao_VH!$A$2:$H$635</definedName>
    <definedName name="Z_5E795C90_776F_4628_AFF7_ADE97E5021AE_.wvu.FilterData" localSheetId="2" hidden="1">AN_Control!$A$2:$H$962</definedName>
    <definedName name="Z_5E795C90_776F_4628_AFF7_ADE97E5021AE_.wvu.FilterData" localSheetId="4" hidden="1">Bao_Cao!$A$2:$H$962</definedName>
    <definedName name="Z_5E795C90_776F_4628_AFF7_ADE97E5021AE_.wvu.FilterData" localSheetId="5" hidden="1">Bao_Cao_AT!$A$2:$H$962</definedName>
    <definedName name="Z_5E795C90_776F_4628_AFF7_ADE97E5021AE_.wvu.FilterData" localSheetId="6" hidden="1">Bao_Cao_VH!$A$2:$H$962</definedName>
    <definedName name="Z_5E795C90_776F_4628_AFF7_ADE97E5021AE_.wvu.FilterData" localSheetId="3" hidden="1">SL_Control!$A$2:$H$264</definedName>
    <definedName name="Z_5E968E65_A608_48E3_9524_CC58F4D52B4D_.wvu.FilterData" localSheetId="2" hidden="1">AN_Control!$A$2:$H$3300</definedName>
    <definedName name="Z_5E968E65_A608_48E3_9524_CC58F4D52B4D_.wvu.FilterData" localSheetId="4" hidden="1">Bao_Cao!$A$2:$H$3301</definedName>
    <definedName name="Z_5E968E65_A608_48E3_9524_CC58F4D52B4D_.wvu.FilterData" localSheetId="5" hidden="1">Bao_Cao_AT!$A$2:$H$3301</definedName>
    <definedName name="Z_5E968E65_A608_48E3_9524_CC58F4D52B4D_.wvu.FilterData" localSheetId="6" hidden="1">Bao_Cao_VH!$A$2:$H$3301</definedName>
    <definedName name="Z_5EC0D75B_CB7D_4703_A8AB_01F9FF1BDDE9_.wvu.FilterData" localSheetId="3" hidden="1">SL_Control!$A$2:$H$333</definedName>
    <definedName name="Z_5F055909_6E55_47FB_A7EA_00C60D8A5B38_.wvu.FilterData" localSheetId="3" hidden="1">SL_Control!$A$2:$H$311</definedName>
    <definedName name="Z_5FE9563D_0F9E_4083_8818_EC858343B652_.wvu.FilterData" localSheetId="3" hidden="1">SL_Control!$A$2:$H$747</definedName>
    <definedName name="Z_605AF8C7_37A1_43E0_89DA_18954878D8E1_.wvu.FilterData" localSheetId="4" hidden="1">Bao_Cao!$A$2:$H$3882</definedName>
    <definedName name="Z_605AF8C7_37A1_43E0_89DA_18954878D8E1_.wvu.FilterData" localSheetId="5" hidden="1">Bao_Cao_AT!$A$2:$H$3882</definedName>
    <definedName name="Z_605AF8C7_37A1_43E0_89DA_18954878D8E1_.wvu.FilterData" localSheetId="6" hidden="1">Bao_Cao_VH!$A$2:$H$3882</definedName>
    <definedName name="Z_6142C05C_21BA_4780_9B6D_F493C91BEB1E_.wvu.FilterData" localSheetId="2" hidden="1">AN_Control!$A$2:$H$2413</definedName>
    <definedName name="Z_6142C05C_21BA_4780_9B6D_F493C91BEB1E_.wvu.FilterData" localSheetId="4" hidden="1">Bao_Cao!$A$2:$H$2413</definedName>
    <definedName name="Z_6142C05C_21BA_4780_9B6D_F493C91BEB1E_.wvu.FilterData" localSheetId="5" hidden="1">Bao_Cao_AT!$A$2:$H$2413</definedName>
    <definedName name="Z_6142C05C_21BA_4780_9B6D_F493C91BEB1E_.wvu.FilterData" localSheetId="6" hidden="1">Bao_Cao_VH!$A$2:$H$2413</definedName>
    <definedName name="Z_6142C05C_21BA_4780_9B6D_F493C91BEB1E_.wvu.FilterData" localSheetId="3" hidden="1">SL_Control!$A$2:$H$563</definedName>
    <definedName name="Z_61CC4F3D_38EE_4B5B_AD0A_997DB21A9F18_.wvu.FilterData" localSheetId="3" hidden="1">SL_Control!$A$2:$H$520</definedName>
    <definedName name="Z_622D3424_23B4_4E65_8D9E_EE4011FF9770_.wvu.FilterData" localSheetId="2" hidden="1">AN_Control!$A$2:$H$2346</definedName>
    <definedName name="Z_622D3424_23B4_4E65_8D9E_EE4011FF9770_.wvu.FilterData" localSheetId="4" hidden="1">Bao_Cao!$A$2:$H$2346</definedName>
    <definedName name="Z_622D3424_23B4_4E65_8D9E_EE4011FF9770_.wvu.FilterData" localSheetId="5" hidden="1">Bao_Cao_AT!$A$2:$H$2346</definedName>
    <definedName name="Z_622D3424_23B4_4E65_8D9E_EE4011FF9770_.wvu.FilterData" localSheetId="6" hidden="1">Bao_Cao_VH!$A$2:$H$2346</definedName>
    <definedName name="Z_62CC2E4F_8A59_4ABF_850E_675EDFF5F6A8_.wvu.FilterData" localSheetId="2" hidden="1">AN_Control!$A$2:$H$2372</definedName>
    <definedName name="Z_62CC2E4F_8A59_4ABF_850E_675EDFF5F6A8_.wvu.FilterData" localSheetId="4" hidden="1">Bao_Cao!$A$2:$H$2372</definedName>
    <definedName name="Z_62CC2E4F_8A59_4ABF_850E_675EDFF5F6A8_.wvu.FilterData" localSheetId="5" hidden="1">Bao_Cao_AT!$A$2:$H$2372</definedName>
    <definedName name="Z_62CC2E4F_8A59_4ABF_850E_675EDFF5F6A8_.wvu.FilterData" localSheetId="6" hidden="1">Bao_Cao_VH!$A$2:$H$2372</definedName>
    <definedName name="Z_62CC2E4F_8A59_4ABF_850E_675EDFF5F6A8_.wvu.FilterData" localSheetId="3" hidden="1">SL_Control!$A$2:$H$558</definedName>
    <definedName name="Z_6338956E_1A6A_457D_AD46_B61E77E39A87_.wvu.FilterData" localSheetId="3" hidden="1">SL_Control!$A$2:$H$520</definedName>
    <definedName name="Z_63805C37_C765_4B86_B567_B04EC3F2B46A_.wvu.FilterData" localSheetId="3" hidden="1">SL_Control!$A$2:$H$789</definedName>
    <definedName name="Z_64C41BA1_A5BE_4D83_9D4E_565A01EE4A3E_.wvu.FilterData" localSheetId="2" hidden="1">AN_Control!$A$2:$H$4000</definedName>
    <definedName name="Z_64DDF0CD_2A15_4928_B2E5_1280C2C88DCA_.wvu.FilterData" localSheetId="3" hidden="1">SL_Control!$A$2:$H$420</definedName>
    <definedName name="Z_64F467D1_CCDC_47C0_AE61_AA3CF73FF7A3_.wvu.FilterData" localSheetId="2" hidden="1">AN_Control!$A$2:$H$3099</definedName>
    <definedName name="Z_64F467D1_CCDC_47C0_AE61_AA3CF73FF7A3_.wvu.FilterData" localSheetId="4" hidden="1">Bao_Cao!$A$2:$H$3100</definedName>
    <definedName name="Z_64F467D1_CCDC_47C0_AE61_AA3CF73FF7A3_.wvu.FilterData" localSheetId="5" hidden="1">Bao_Cao_AT!$A$2:$H$3100</definedName>
    <definedName name="Z_64F467D1_CCDC_47C0_AE61_AA3CF73FF7A3_.wvu.FilterData" localSheetId="6" hidden="1">Bao_Cao_VH!$A$2:$H$3100</definedName>
    <definedName name="Z_6517927A_72CC_42F3_BC60_D9F27F292698_.wvu.FilterData" localSheetId="2" hidden="1">AN_Control!$A$2:$H$606</definedName>
    <definedName name="Z_6517927A_72CC_42F3_BC60_D9F27F292698_.wvu.FilterData" localSheetId="4" hidden="1">Bao_Cao!$A$2:$H$606</definedName>
    <definedName name="Z_6517927A_72CC_42F3_BC60_D9F27F292698_.wvu.FilterData" localSheetId="5" hidden="1">Bao_Cao_AT!$A$2:$H$606</definedName>
    <definedName name="Z_6517927A_72CC_42F3_BC60_D9F27F292698_.wvu.FilterData" localSheetId="6" hidden="1">Bao_Cao_VH!$A$2:$H$606</definedName>
    <definedName name="Z_6517927A_72CC_42F3_BC60_D9F27F292698_.wvu.FilterData" localSheetId="3" hidden="1">SL_Control!$A$2:$H$161</definedName>
    <definedName name="Z_652261E6_CD10_4BEC_9A69_85B6BA4B652E_.wvu.FilterData" localSheetId="2" hidden="1">AN_Control!$A$2:$H$4319</definedName>
    <definedName name="Z_652261E6_CD10_4BEC_9A69_85B6BA4B652E_.wvu.FilterData" localSheetId="4" hidden="1">Bao_Cao!$A$2:$H$3882</definedName>
    <definedName name="Z_652261E6_CD10_4BEC_9A69_85B6BA4B652E_.wvu.FilterData" localSheetId="5" hidden="1">Bao_Cao_AT!$A$2:$H$3882</definedName>
    <definedName name="Z_652261E6_CD10_4BEC_9A69_85B6BA4B652E_.wvu.FilterData" localSheetId="6" hidden="1">Bao_Cao_VH!$A$2:$H$3882</definedName>
    <definedName name="Z_652261E6_CD10_4BEC_9A69_85B6BA4B652E_.wvu.FilterData" localSheetId="3" hidden="1">SL_Control!$A$2:$H$1057</definedName>
    <definedName name="Z_6587E669_1702_4B94_B547_973F990FD5BD_.wvu.FilterData" localSheetId="3" hidden="1">SL_Control!$A$2:$H$427</definedName>
    <definedName name="Z_65CFEC2B_4CF7_4B7D_BD07_F913DBF2B78E_.wvu.FilterData" localSheetId="2" hidden="1">AN_Control!$A$2:$H$4613</definedName>
    <definedName name="Z_65CFEC2B_4CF7_4B7D_BD07_F913DBF2B78E_.wvu.FilterData" localSheetId="4" hidden="1">Bao_Cao!$A$2:$H$3882</definedName>
    <definedName name="Z_65CFEC2B_4CF7_4B7D_BD07_F913DBF2B78E_.wvu.FilterData" localSheetId="5" hidden="1">Bao_Cao_AT!$A$2:$H$3882</definedName>
    <definedName name="Z_65CFEC2B_4CF7_4B7D_BD07_F913DBF2B78E_.wvu.FilterData" localSheetId="6" hidden="1">Bao_Cao_VH!$A$2:$H$3882</definedName>
    <definedName name="Z_65CFEC2B_4CF7_4B7D_BD07_F913DBF2B78E_.wvu.FilterData" localSheetId="3" hidden="1">SL_Control!$A$2:$H$1119</definedName>
    <definedName name="Z_66BA3E34_940D_4AF2_8ECF_366821FE2000_.wvu.FilterData" localSheetId="3" hidden="1">SL_Control!$A$2:$H$309</definedName>
    <definedName name="Z_6728B789_0C08_4492_997F_52C6D0B38D16_.wvu.FilterData" localSheetId="2" hidden="1">AN_Control!$A$2:$H$4613</definedName>
    <definedName name="Z_6728B789_0C08_4492_997F_52C6D0B38D16_.wvu.FilterData" localSheetId="4" hidden="1">Bao_Cao!$A$2:$H$3882</definedName>
    <definedName name="Z_6728B789_0C08_4492_997F_52C6D0B38D16_.wvu.FilterData" localSheetId="5" hidden="1">Bao_Cao_AT!$A$2:$H$3882</definedName>
    <definedName name="Z_6728B789_0C08_4492_997F_52C6D0B38D16_.wvu.FilterData" localSheetId="6" hidden="1">Bao_Cao_VH!$A$2:$H$3882</definedName>
    <definedName name="Z_676AE8D6_7A9A_4B06_867C_C66245E061B7_.wvu.FilterData" localSheetId="2" hidden="1">AN_Control!$A$2:$H$5471</definedName>
    <definedName name="Z_676AE8D6_7A9A_4B06_867C_C66245E061B7_.wvu.FilterData" localSheetId="4" hidden="1">Bao_Cao!$A$2:$H$3882</definedName>
    <definedName name="Z_676AE8D6_7A9A_4B06_867C_C66245E061B7_.wvu.FilterData" localSheetId="5" hidden="1">Bao_Cao_AT!$A$2:$H$3882</definedName>
    <definedName name="Z_676AE8D6_7A9A_4B06_867C_C66245E061B7_.wvu.FilterData" localSheetId="6" hidden="1">Bao_Cao_VH!$A$2:$H$3882</definedName>
    <definedName name="Z_676AE8D6_7A9A_4B06_867C_C66245E061B7_.wvu.FilterData" localSheetId="3" hidden="1">SL_Control!$A$2:$H$1410</definedName>
    <definedName name="Z_67EDE19F_0EBA_4C19_A752_07830D76E2CC_.wvu.FilterData" localSheetId="3" hidden="1">SL_Control!$A$2:$H$270</definedName>
    <definedName name="Z_681B31DB_4496_4767_A86B_8D9D56590065_.wvu.FilterData" localSheetId="2" hidden="1">AN_Control!$A$2:$H$3770</definedName>
    <definedName name="Z_681B31DB_4496_4767_A86B_8D9D56590065_.wvu.FilterData" localSheetId="4" hidden="1">Bao_Cao!$A$2:$H$3772</definedName>
    <definedName name="Z_681B31DB_4496_4767_A86B_8D9D56590065_.wvu.FilterData" localSheetId="5" hidden="1">Bao_Cao_AT!$A$2:$H$3772</definedName>
    <definedName name="Z_681B31DB_4496_4767_A86B_8D9D56590065_.wvu.FilterData" localSheetId="6" hidden="1">Bao_Cao_VH!$A$2:$H$3772</definedName>
    <definedName name="Z_686BAF3F_5B52_4FCB_B146_7569C97C2FB1_.wvu.FilterData" localSheetId="2" hidden="1">AN_Control!$A$2:$H$1567</definedName>
    <definedName name="Z_686BAF3F_5B52_4FCB_B146_7569C97C2FB1_.wvu.FilterData" localSheetId="4" hidden="1">Bao_Cao!$A$2:$H$1567</definedName>
    <definedName name="Z_686BAF3F_5B52_4FCB_B146_7569C97C2FB1_.wvu.FilterData" localSheetId="5" hidden="1">Bao_Cao_AT!$A$2:$H$1567</definedName>
    <definedName name="Z_686BAF3F_5B52_4FCB_B146_7569C97C2FB1_.wvu.FilterData" localSheetId="6" hidden="1">Bao_Cao_VH!$A$2:$H$1567</definedName>
    <definedName name="Z_687E36B8_2070_4EDA_B0A7_6B2B5CB112F4_.wvu.FilterData" localSheetId="4" hidden="1">Bao_Cao!$A$2:$H$3882</definedName>
    <definedName name="Z_687E36B8_2070_4EDA_B0A7_6B2B5CB112F4_.wvu.FilterData" localSheetId="5" hidden="1">Bao_Cao_AT!$A$2:$H$3882</definedName>
    <definedName name="Z_687E36B8_2070_4EDA_B0A7_6B2B5CB112F4_.wvu.FilterData" localSheetId="6" hidden="1">Bao_Cao_VH!$A$2:$H$3882</definedName>
    <definedName name="Z_68AA06B8_1926_4415_8032_3E7F843A623B_.wvu.FilterData" localSheetId="2" hidden="1">AN_Control!$A$2:$H$2226</definedName>
    <definedName name="Z_68AA06B8_1926_4415_8032_3E7F843A623B_.wvu.FilterData" localSheetId="4" hidden="1">Bao_Cao!$A$2:$H$2226</definedName>
    <definedName name="Z_68AA06B8_1926_4415_8032_3E7F843A623B_.wvu.FilterData" localSheetId="5" hidden="1">Bao_Cao_AT!$A$2:$H$2226</definedName>
    <definedName name="Z_68AA06B8_1926_4415_8032_3E7F843A623B_.wvu.FilterData" localSheetId="6" hidden="1">Bao_Cao_VH!$A$2:$H$2226</definedName>
    <definedName name="Z_68AF6D6A_FE40_4831_B382_B101EFD3722B_.wvu.FilterData" localSheetId="2" hidden="1">AN_Control!$A$2:$H$3423</definedName>
    <definedName name="Z_68AF6D6A_FE40_4831_B382_B101EFD3722B_.wvu.FilterData" localSheetId="4" hidden="1">Bao_Cao!$A$2:$H$3424</definedName>
    <definedName name="Z_68AF6D6A_FE40_4831_B382_B101EFD3722B_.wvu.FilterData" localSheetId="5" hidden="1">Bao_Cao_AT!$A$2:$H$3424</definedName>
    <definedName name="Z_68AF6D6A_FE40_4831_B382_B101EFD3722B_.wvu.FilterData" localSheetId="6" hidden="1">Bao_Cao_VH!$A$2:$H$3424</definedName>
    <definedName name="Z_68EFDC0B_2F29_41FA_8F94_EB69326ACB50_.wvu.FilterData" localSheetId="4" hidden="1">Bao_Cao!$A$2:$H$3882</definedName>
    <definedName name="Z_68EFDC0B_2F29_41FA_8F94_EB69326ACB50_.wvu.FilterData" localSheetId="5" hidden="1">Bao_Cao_AT!$A$2:$H$3882</definedName>
    <definedName name="Z_68EFDC0B_2F29_41FA_8F94_EB69326ACB50_.wvu.FilterData" localSheetId="6" hidden="1">Bao_Cao_VH!$A$2:$H$3882</definedName>
    <definedName name="Z_68EFDC0B_2F29_41FA_8F94_EB69326ACB50_.wvu.FilterData" localSheetId="3" hidden="1">SL_Control!$A$2:$H$1096</definedName>
    <definedName name="Z_692DF694_42ED_4ABF_BA1E_BDA7F7F4C9AC_.wvu.FilterData" localSheetId="2" hidden="1">AN_Control!$A$2:$H$4060</definedName>
    <definedName name="Z_698CF16D_6FCC_416A_B1D1_AE0838211E89_.wvu.FilterData" localSheetId="2" hidden="1">AN_Control!$A$2:$H$2325</definedName>
    <definedName name="Z_698CF16D_6FCC_416A_B1D1_AE0838211E89_.wvu.FilterData" localSheetId="4" hidden="1">Bao_Cao!$A$2:$H$2325</definedName>
    <definedName name="Z_698CF16D_6FCC_416A_B1D1_AE0838211E89_.wvu.FilterData" localSheetId="5" hidden="1">Bao_Cao_AT!$A$2:$H$2325</definedName>
    <definedName name="Z_698CF16D_6FCC_416A_B1D1_AE0838211E89_.wvu.FilterData" localSheetId="6" hidden="1">Bao_Cao_VH!$A$2:$H$2325</definedName>
    <definedName name="Z_6AF0AAAF_8D54_4DDD_8E32_2574DF387600_.wvu.FilterData" localSheetId="2" hidden="1">AN_Control!$A$2:$H$3136</definedName>
    <definedName name="Z_6AF0AAAF_8D54_4DDD_8E32_2574DF387600_.wvu.FilterData" localSheetId="4" hidden="1">Bao_Cao!$A$2:$H$3137</definedName>
    <definedName name="Z_6AF0AAAF_8D54_4DDD_8E32_2574DF387600_.wvu.FilterData" localSheetId="5" hidden="1">Bao_Cao_AT!$A$2:$H$3137</definedName>
    <definedName name="Z_6AF0AAAF_8D54_4DDD_8E32_2574DF387600_.wvu.FilterData" localSheetId="6" hidden="1">Bao_Cao_VH!$A$2:$H$3137</definedName>
    <definedName name="Z_6B015612_9DD3_4BE5_9FB7_B7C6C6266BAB_.wvu.FilterData" localSheetId="2" hidden="1">AN_Control!$A$2:$H$559</definedName>
    <definedName name="Z_6B015612_9DD3_4BE5_9FB7_B7C6C6266BAB_.wvu.FilterData" localSheetId="4" hidden="1">Bao_Cao!$A$2:$H$559</definedName>
    <definedName name="Z_6B015612_9DD3_4BE5_9FB7_B7C6C6266BAB_.wvu.FilterData" localSheetId="5" hidden="1">Bao_Cao_AT!$A$2:$H$559</definedName>
    <definedName name="Z_6B015612_9DD3_4BE5_9FB7_B7C6C6266BAB_.wvu.FilterData" localSheetId="6" hidden="1">Bao_Cao_VH!$A$2:$H$559</definedName>
    <definedName name="Z_6BEBABB4_2A6E_4CD5_9581_80C8135B0479_.wvu.FilterData" localSheetId="4" hidden="1">Bao_Cao!$A$2:$H$3882</definedName>
    <definedName name="Z_6BEBABB4_2A6E_4CD5_9581_80C8135B0479_.wvu.FilterData" localSheetId="5" hidden="1">Bao_Cao_AT!$A$2:$H$3882</definedName>
    <definedName name="Z_6BEBABB4_2A6E_4CD5_9581_80C8135B0479_.wvu.FilterData" localSheetId="6" hidden="1">Bao_Cao_VH!$A$2:$H$3882</definedName>
    <definedName name="Z_6BEBABB4_2A6E_4CD5_9581_80C8135B0479_.wvu.FilterData" localSheetId="3" hidden="1">SL_Control!$A$2:$H$1383</definedName>
    <definedName name="Z_6C1E4412_3765_4DC5_A72D_EC4FF2F5957B_.wvu.FilterData" localSheetId="2" hidden="1">AN_Control!$A$2:$H$2473</definedName>
    <definedName name="Z_6C1E4412_3765_4DC5_A72D_EC4FF2F5957B_.wvu.FilterData" localSheetId="4" hidden="1">Bao_Cao!$A$2:$H$2474</definedName>
    <definedName name="Z_6C1E4412_3765_4DC5_A72D_EC4FF2F5957B_.wvu.FilterData" localSheetId="5" hidden="1">Bao_Cao_AT!$A$2:$H$2474</definedName>
    <definedName name="Z_6C1E4412_3765_4DC5_A72D_EC4FF2F5957B_.wvu.FilterData" localSheetId="6" hidden="1">Bao_Cao_VH!$A$2:$H$2474</definedName>
    <definedName name="Z_6C5761D9_1AF0_4B58_BB22_22DB6EC5AB72_.wvu.FilterData" localSheetId="3" hidden="1">SL_Control!$A$2:$H$540</definedName>
    <definedName name="Z_6C7B4DAD_8524_47BE_8996_CD8CA27DC998_.wvu.FilterData" localSheetId="2" hidden="1">AN_Control!$A$2:$H$2454</definedName>
    <definedName name="Z_6C7B4DAD_8524_47BE_8996_CD8CA27DC998_.wvu.FilterData" localSheetId="4" hidden="1">Bao_Cao!$A$2:$H$2455</definedName>
    <definedName name="Z_6C7B4DAD_8524_47BE_8996_CD8CA27DC998_.wvu.FilterData" localSheetId="5" hidden="1">Bao_Cao_AT!$A$2:$H$2455</definedName>
    <definedName name="Z_6C7B4DAD_8524_47BE_8996_CD8CA27DC998_.wvu.FilterData" localSheetId="6" hidden="1">Bao_Cao_VH!$A$2:$H$2455</definedName>
    <definedName name="Z_6C920E70_011B_4A0B_AEC3_158AA240960A_.wvu.FilterData" localSheetId="2" hidden="1">AN_Control!$A$2:$H$1574</definedName>
    <definedName name="Z_6C920E70_011B_4A0B_AEC3_158AA240960A_.wvu.FilterData" localSheetId="4" hidden="1">Bao_Cao!$A$2:$H$1574</definedName>
    <definedName name="Z_6C920E70_011B_4A0B_AEC3_158AA240960A_.wvu.FilterData" localSheetId="5" hidden="1">Bao_Cao_AT!$A$2:$H$1574</definedName>
    <definedName name="Z_6C920E70_011B_4A0B_AEC3_158AA240960A_.wvu.FilterData" localSheetId="6" hidden="1">Bao_Cao_VH!$A$2:$H$1574</definedName>
    <definedName name="Z_6C920E70_011B_4A0B_AEC3_158AA240960A_.wvu.FilterData" localSheetId="3" hidden="1">SL_Control!$A$2:$H$399</definedName>
    <definedName name="Z_6CC82DC4_877D_4696_9D97_88625AD57D0B_.wvu.FilterData" localSheetId="2" hidden="1">AN_Control!$A$2:$H$3220</definedName>
    <definedName name="Z_6CC82DC4_877D_4696_9D97_88625AD57D0B_.wvu.FilterData" localSheetId="4" hidden="1">Bao_Cao!$A$2:$H$3221</definedName>
    <definedName name="Z_6CC82DC4_877D_4696_9D97_88625AD57D0B_.wvu.FilterData" localSheetId="5" hidden="1">Bao_Cao_AT!$A$2:$H$3221</definedName>
    <definedName name="Z_6CC82DC4_877D_4696_9D97_88625AD57D0B_.wvu.FilterData" localSheetId="6" hidden="1">Bao_Cao_VH!$A$2:$H$3221</definedName>
    <definedName name="Z_6CC82DC4_877D_4696_9D97_88625AD57D0B_.wvu.FilterData" localSheetId="3" hidden="1">SL_Control!$A$2:$H$736</definedName>
    <definedName name="Z_6CFDA849_024B_42B3_81E2_963874563F6C_.wvu.FilterData" localSheetId="2" hidden="1">AN_Control!$A$2:$H$1634</definedName>
    <definedName name="Z_6CFDA849_024B_42B3_81E2_963874563F6C_.wvu.FilterData" localSheetId="4" hidden="1">Bao_Cao!$A$2:$H$1634</definedName>
    <definedName name="Z_6CFDA849_024B_42B3_81E2_963874563F6C_.wvu.FilterData" localSheetId="5" hidden="1">Bao_Cao_AT!$A$2:$H$1634</definedName>
    <definedName name="Z_6CFDA849_024B_42B3_81E2_963874563F6C_.wvu.FilterData" localSheetId="6" hidden="1">Bao_Cao_VH!$A$2:$H$1634</definedName>
    <definedName name="Z_6DCD14D9_4360_48BD_A503_69D48DAD9B5E_.wvu.FilterData" localSheetId="2" hidden="1">AN_Control!$A$2:$H$3628</definedName>
    <definedName name="Z_6DCD14D9_4360_48BD_A503_69D48DAD9B5E_.wvu.FilterData" localSheetId="4" hidden="1">Bao_Cao!$A$2:$H$3629</definedName>
    <definedName name="Z_6DCD14D9_4360_48BD_A503_69D48DAD9B5E_.wvu.FilterData" localSheetId="5" hidden="1">Bao_Cao_AT!$A$2:$H$3629</definedName>
    <definedName name="Z_6DCD14D9_4360_48BD_A503_69D48DAD9B5E_.wvu.FilterData" localSheetId="6" hidden="1">Bao_Cao_VH!$A$2:$H$3629</definedName>
    <definedName name="Z_6DCD14D9_4360_48BD_A503_69D48DAD9B5E_.wvu.FilterData" localSheetId="3" hidden="1">SL_Control!$A$2:$H$835</definedName>
    <definedName name="Z_6DF6964C_D394_437B_ADF0_266893B142A4_.wvu.FilterData" localSheetId="2" hidden="1">AN_Control!$A$2:$H$1472</definedName>
    <definedName name="Z_6DF6964C_D394_437B_ADF0_266893B142A4_.wvu.FilterData" localSheetId="4" hidden="1">Bao_Cao!$A$2:$H$1472</definedName>
    <definedName name="Z_6DF6964C_D394_437B_ADF0_266893B142A4_.wvu.FilterData" localSheetId="5" hidden="1">Bao_Cao_AT!$A$2:$H$1472</definedName>
    <definedName name="Z_6DF6964C_D394_437B_ADF0_266893B142A4_.wvu.FilterData" localSheetId="6" hidden="1">Bao_Cao_VH!$A$2:$H$1472</definedName>
    <definedName name="Z_6E2CBBB2_B4D8_48CA_8228_4DB3142D329D_.wvu.FilterData" localSheetId="3" hidden="1">SL_Control!$A$2:$H$324</definedName>
    <definedName name="Z_6E63575F_5893_4F22_A9FE_46EB91BAB9BB_.wvu.FilterData" localSheetId="4" hidden="1">Bao_Cao!$A$2:$H$3882</definedName>
    <definedName name="Z_6E63575F_5893_4F22_A9FE_46EB91BAB9BB_.wvu.FilterData" localSheetId="5" hidden="1">Bao_Cao_AT!$A$2:$H$3882</definedName>
    <definedName name="Z_6E63575F_5893_4F22_A9FE_46EB91BAB9BB_.wvu.FilterData" localSheetId="6" hidden="1">Bao_Cao_VH!$A$2:$H$3882</definedName>
    <definedName name="Z_6E63575F_5893_4F22_A9FE_46EB91BAB9BB_.wvu.FilterData" localSheetId="3" hidden="1">SL_Control!$A$2:$H$1096</definedName>
    <definedName name="Z_6ECEDC2C_613B_4A53_AA97_C99A67F0EEE6_.wvu.FilterData" localSheetId="2" hidden="1">AN_Control!$A$2:$H$4141</definedName>
    <definedName name="Z_6ECEDC2C_613B_4A53_AA97_C99A67F0EEE6_.wvu.FilterData" localSheetId="4" hidden="1">Bao_Cao!$A$2:$H$3882</definedName>
    <definedName name="Z_6ECEDC2C_613B_4A53_AA97_C99A67F0EEE6_.wvu.FilterData" localSheetId="5" hidden="1">Bao_Cao_AT!$A$2:$H$3882</definedName>
    <definedName name="Z_6ECEDC2C_613B_4A53_AA97_C99A67F0EEE6_.wvu.FilterData" localSheetId="6" hidden="1">Bao_Cao_VH!$A$2:$H$3882</definedName>
    <definedName name="Z_6F14FBEC_E170_4380_AB14_25F76D238607_.wvu.FilterData" localSheetId="2" hidden="1">AN_Control!$A$2:$H$4071</definedName>
    <definedName name="Z_6F14FBEC_E170_4380_AB14_25F76D238607_.wvu.FilterData" localSheetId="4" hidden="1">Bao_Cao!$A$2:$H$3882</definedName>
    <definedName name="Z_6F14FBEC_E170_4380_AB14_25F76D238607_.wvu.FilterData" localSheetId="5" hidden="1">Bao_Cao_AT!$A$2:$H$3882</definedName>
    <definedName name="Z_6F14FBEC_E170_4380_AB14_25F76D238607_.wvu.FilterData" localSheetId="6" hidden="1">Bao_Cao_VH!$A$2:$H$3882</definedName>
    <definedName name="Z_6F9EAC42_E1A6_47ED_AB51_8180B51741C2_.wvu.FilterData" localSheetId="2" hidden="1">AN_Control!$A$2:$H$4517</definedName>
    <definedName name="Z_6F9EAC42_E1A6_47ED_AB51_8180B51741C2_.wvu.FilterData" localSheetId="4" hidden="1">Bao_Cao!$A$2:$H$3882</definedName>
    <definedName name="Z_6F9EAC42_E1A6_47ED_AB51_8180B51741C2_.wvu.FilterData" localSheetId="5" hidden="1">Bao_Cao_AT!$A$2:$H$3882</definedName>
    <definedName name="Z_6F9EAC42_E1A6_47ED_AB51_8180B51741C2_.wvu.FilterData" localSheetId="6" hidden="1">Bao_Cao_VH!$A$2:$H$3882</definedName>
    <definedName name="Z_6F9EAC42_E1A6_47ED_AB51_8180B51741C2_.wvu.FilterData" localSheetId="3" hidden="1">SL_Control!$A$2:$H$1113</definedName>
    <definedName name="Z_6FF0A85B_2F88_4F22_BFFF_094788F9D4FC_.wvu.FilterData" localSheetId="2" hidden="1">AN_Control!$A$2:$H$1886</definedName>
    <definedName name="Z_6FF0A85B_2F88_4F22_BFFF_094788F9D4FC_.wvu.FilterData" localSheetId="4" hidden="1">Bao_Cao!$A$2:$H$1886</definedName>
    <definedName name="Z_6FF0A85B_2F88_4F22_BFFF_094788F9D4FC_.wvu.FilterData" localSheetId="5" hidden="1">Bao_Cao_AT!$A$2:$H$1886</definedName>
    <definedName name="Z_6FF0A85B_2F88_4F22_BFFF_094788F9D4FC_.wvu.FilterData" localSheetId="6" hidden="1">Bao_Cao_VH!$A$2:$H$1886</definedName>
    <definedName name="Z_7023E1F8_649E_4958_B3C1_9CDBB2B1FE59_.wvu.FilterData" localSheetId="2" hidden="1">AN_Control!$A$2:$H$4857</definedName>
    <definedName name="Z_7023E1F8_649E_4958_B3C1_9CDBB2B1FE59_.wvu.FilterData" localSheetId="4" hidden="1">Bao_Cao!$A$2:$H$3882</definedName>
    <definedName name="Z_7023E1F8_649E_4958_B3C1_9CDBB2B1FE59_.wvu.FilterData" localSheetId="5" hidden="1">Bao_Cao_AT!$A$2:$H$3882</definedName>
    <definedName name="Z_7023E1F8_649E_4958_B3C1_9CDBB2B1FE59_.wvu.FilterData" localSheetId="6" hidden="1">Bao_Cao_VH!$A$2:$H$3882</definedName>
    <definedName name="Z_704D189B_7AD1_4323_BBF5_880D42291349_.wvu.FilterData" localSheetId="2" hidden="1">AN_Control!$A$2:$H$3506</definedName>
    <definedName name="Z_704D189B_7AD1_4323_BBF5_880D42291349_.wvu.FilterData" localSheetId="4" hidden="1">Bao_Cao!$A$2:$H$3507</definedName>
    <definedName name="Z_704D189B_7AD1_4323_BBF5_880D42291349_.wvu.FilterData" localSheetId="5" hidden="1">Bao_Cao_AT!$A$2:$H$3507</definedName>
    <definedName name="Z_704D189B_7AD1_4323_BBF5_880D42291349_.wvu.FilterData" localSheetId="6" hidden="1">Bao_Cao_VH!$A$2:$H$3507</definedName>
    <definedName name="Z_704D189B_7AD1_4323_BBF5_880D42291349_.wvu.FilterData" localSheetId="3" hidden="1">SL_Control!$A$2:$H$786</definedName>
    <definedName name="Z_7141DA24_5F8A_4E7A_AD85_3E735080A18E_.wvu.FilterData" localSheetId="2" hidden="1">AN_Control!$A$2:$H$4282</definedName>
    <definedName name="Z_7141DA24_5F8A_4E7A_AD85_3E735080A18E_.wvu.FilterData" localSheetId="4" hidden="1">Bao_Cao!$A$2:$H$3882</definedName>
    <definedName name="Z_7141DA24_5F8A_4E7A_AD85_3E735080A18E_.wvu.FilterData" localSheetId="5" hidden="1">Bao_Cao_AT!$A$2:$H$3882</definedName>
    <definedName name="Z_7141DA24_5F8A_4E7A_AD85_3E735080A18E_.wvu.FilterData" localSheetId="6" hidden="1">Bao_Cao_VH!$A$2:$H$3882</definedName>
    <definedName name="Z_7141DA24_5F8A_4E7A_AD85_3E735080A18E_.wvu.FilterData" localSheetId="3" hidden="1">SL_Control!$A$2:$H$1055</definedName>
    <definedName name="Z_717CFEF8_4F33_4B56_9FE2_847E584C7E07_.wvu.FilterData" localSheetId="2" hidden="1">AN_Control!$A$2:$H$1806</definedName>
    <definedName name="Z_717CFEF8_4F33_4B56_9FE2_847E584C7E07_.wvu.FilterData" localSheetId="4" hidden="1">Bao_Cao!$A$2:$H$1806</definedName>
    <definedName name="Z_717CFEF8_4F33_4B56_9FE2_847E584C7E07_.wvu.FilterData" localSheetId="5" hidden="1">Bao_Cao_AT!$A$2:$H$1806</definedName>
    <definedName name="Z_717CFEF8_4F33_4B56_9FE2_847E584C7E07_.wvu.FilterData" localSheetId="6" hidden="1">Bao_Cao_VH!$A$2:$H$1806</definedName>
    <definedName name="Z_72059A0E_22DB_44AA_B82D_BAABFE9D9A40_.wvu.FilterData" localSheetId="2" hidden="1">AN_Control!$A$2:$H$1230</definedName>
    <definedName name="Z_72059A0E_22DB_44AA_B82D_BAABFE9D9A40_.wvu.FilterData" localSheetId="4" hidden="1">Bao_Cao!$A$2:$H$1230</definedName>
    <definedName name="Z_72059A0E_22DB_44AA_B82D_BAABFE9D9A40_.wvu.FilterData" localSheetId="5" hidden="1">Bao_Cao_AT!$A$2:$H$1230</definedName>
    <definedName name="Z_72059A0E_22DB_44AA_B82D_BAABFE9D9A40_.wvu.FilterData" localSheetId="6" hidden="1">Bao_Cao_VH!$A$2:$H$1230</definedName>
    <definedName name="Z_72059A0E_22DB_44AA_B82D_BAABFE9D9A40_.wvu.FilterData" localSheetId="3" hidden="1">SL_Control!$A$2:$H$339</definedName>
    <definedName name="Z_72CE2131_813A_4544_92D4_F7143B2DAB27_.wvu.FilterData" localSheetId="2" hidden="1">AN_Control!$A$2:$H$5411</definedName>
    <definedName name="Z_72E9B66F_FF14_4DC1_9971_49D549C73D3C_.wvu.FilterData" localSheetId="2" hidden="1">AN_Control!$A$2:$H$4857</definedName>
    <definedName name="Z_72E9B66F_FF14_4DC1_9971_49D549C73D3C_.wvu.FilterData" localSheetId="4" hidden="1">Bao_Cao!$A$2:$H$3882</definedName>
    <definedName name="Z_72E9B66F_FF14_4DC1_9971_49D549C73D3C_.wvu.FilterData" localSheetId="5" hidden="1">Bao_Cao_AT!$A$2:$H$3882</definedName>
    <definedName name="Z_72E9B66F_FF14_4DC1_9971_49D549C73D3C_.wvu.FilterData" localSheetId="6" hidden="1">Bao_Cao_VH!$A$2:$H$3882</definedName>
    <definedName name="Z_73011ACF_EEEE_4180_A7BB_FFF3593D474D_.wvu.FilterData" localSheetId="2" hidden="1">AN_Control!$A$2:$H$741</definedName>
    <definedName name="Z_73011ACF_EEEE_4180_A7BB_FFF3593D474D_.wvu.FilterData" localSheetId="4" hidden="1">Bao_Cao!$A$2:$H$741</definedName>
    <definedName name="Z_73011ACF_EEEE_4180_A7BB_FFF3593D474D_.wvu.FilterData" localSheetId="5" hidden="1">Bao_Cao_AT!$A$2:$H$741</definedName>
    <definedName name="Z_73011ACF_EEEE_4180_A7BB_FFF3593D474D_.wvu.FilterData" localSheetId="6" hidden="1">Bao_Cao_VH!$A$2:$H$741</definedName>
    <definedName name="Z_731F5894_933C_4E1B_BD71_8A7995FDB40C_.wvu.FilterData" localSheetId="2" hidden="1">AN_Control!$A$2:$H$1025</definedName>
    <definedName name="Z_731F5894_933C_4E1B_BD71_8A7995FDB40C_.wvu.FilterData" localSheetId="4" hidden="1">Bao_Cao!$A$2:$H$1025</definedName>
    <definedName name="Z_731F5894_933C_4E1B_BD71_8A7995FDB40C_.wvu.FilterData" localSheetId="5" hidden="1">Bao_Cao_AT!$A$2:$H$1025</definedName>
    <definedName name="Z_731F5894_933C_4E1B_BD71_8A7995FDB40C_.wvu.FilterData" localSheetId="6" hidden="1">Bao_Cao_VH!$A$2:$H$1025</definedName>
    <definedName name="Z_7326638A_DA8E_4638_A593_B0B91DBA6178_.wvu.FilterData" localSheetId="2" hidden="1">AN_Control!$A$2:$H$1025</definedName>
    <definedName name="Z_7326638A_DA8E_4638_A593_B0B91DBA6178_.wvu.FilterData" localSheetId="4" hidden="1">Bao_Cao!$A$2:$H$1025</definedName>
    <definedName name="Z_7326638A_DA8E_4638_A593_B0B91DBA6178_.wvu.FilterData" localSheetId="5" hidden="1">Bao_Cao_AT!$A$2:$H$1025</definedName>
    <definedName name="Z_7326638A_DA8E_4638_A593_B0B91DBA6178_.wvu.FilterData" localSheetId="6" hidden="1">Bao_Cao_VH!$A$2:$H$1025</definedName>
    <definedName name="Z_732A444C_C3E0_4FAF_ADEB_4652708ED3B5_.wvu.FilterData" localSheetId="2" hidden="1">AN_Control!$A$2:$H$791</definedName>
    <definedName name="Z_732A444C_C3E0_4FAF_ADEB_4652708ED3B5_.wvu.FilterData" localSheetId="4" hidden="1">Bao_Cao!$A$2:$H$791</definedName>
    <definedName name="Z_732A444C_C3E0_4FAF_ADEB_4652708ED3B5_.wvu.FilterData" localSheetId="5" hidden="1">Bao_Cao_AT!$A$2:$H$791</definedName>
    <definedName name="Z_732A444C_C3E0_4FAF_ADEB_4652708ED3B5_.wvu.FilterData" localSheetId="6" hidden="1">Bao_Cao_VH!$A$2:$H$791</definedName>
    <definedName name="Z_732A444C_C3E0_4FAF_ADEB_4652708ED3B5_.wvu.FilterData" localSheetId="3" hidden="1">SL_Control!$A$2:$H$199</definedName>
    <definedName name="Z_73DF5C20_C363_44A0_9C7A_C9E4A89B4A86_.wvu.FilterData" localSheetId="2" hidden="1">AN_Control!$A$2:$H$5642</definedName>
    <definedName name="Z_73DF5C20_C363_44A0_9C7A_C9E4A89B4A86_.wvu.FilterData" localSheetId="4" hidden="1">Bao_Cao!$A$2:$H$3882</definedName>
    <definedName name="Z_73DF5C20_C363_44A0_9C7A_C9E4A89B4A86_.wvu.FilterData" localSheetId="5" hidden="1">Bao_Cao_AT!$A$2:$H$3882</definedName>
    <definedName name="Z_73DF5C20_C363_44A0_9C7A_C9E4A89B4A86_.wvu.FilterData" localSheetId="6" hidden="1">Bao_Cao_VH!$A$2:$H$3882</definedName>
    <definedName name="Z_749DA7E0_9C18_4A94_B24F_589C2E6DF49C_.wvu.FilterData" localSheetId="2" hidden="1">AN_Control!$A$2:$H$4648</definedName>
    <definedName name="Z_756F77E7_0EB5_4148_9A6D_A7776E32E7D2_.wvu.FilterData" localSheetId="2" hidden="1">AN_Control!$A$2:$H$4268</definedName>
    <definedName name="Z_760E9AA8_7BD5_4873_873C_B5601280A8B1_.wvu.FilterData" localSheetId="2" hidden="1">AN_Control!$A$2:$H$3411</definedName>
    <definedName name="Z_760E9AA8_7BD5_4873_873C_B5601280A8B1_.wvu.FilterData" localSheetId="4" hidden="1">Bao_Cao!$A$2:$H$3412</definedName>
    <definedName name="Z_760E9AA8_7BD5_4873_873C_B5601280A8B1_.wvu.FilterData" localSheetId="5" hidden="1">Bao_Cao_AT!$A$2:$H$3412</definedName>
    <definedName name="Z_760E9AA8_7BD5_4873_873C_B5601280A8B1_.wvu.FilterData" localSheetId="6" hidden="1">Bao_Cao_VH!$A$2:$H$3412</definedName>
    <definedName name="Z_760E9AA8_7BD5_4873_873C_B5601280A8B1_.wvu.FilterData" localSheetId="3" hidden="1">SL_Control!$A$2:$H$778</definedName>
    <definedName name="Z_7634CF36_7C11_4434_AF81_9930E09342AD_.wvu.FilterData" localSheetId="3" hidden="1">SL_Control!$A$2:$H$1151</definedName>
    <definedName name="Z_765CF735_7E48_40E6_8FB3_64DF9BC7EB9B_.wvu.FilterData" localSheetId="3" hidden="1">SL_Control!$A$2:$H$543</definedName>
    <definedName name="Z_767944F6_2D78_4FA3_AA99_14B0288CB143_.wvu.FilterData" localSheetId="2" hidden="1">AN_Control!$A$2:$H$492</definedName>
    <definedName name="Z_767944F6_2D78_4FA3_AA99_14B0288CB143_.wvu.FilterData" localSheetId="4" hidden="1">Bao_Cao!$A$2:$H$492</definedName>
    <definedName name="Z_767944F6_2D78_4FA3_AA99_14B0288CB143_.wvu.FilterData" localSheetId="5" hidden="1">Bao_Cao_AT!$A$2:$H$492</definedName>
    <definedName name="Z_767944F6_2D78_4FA3_AA99_14B0288CB143_.wvu.FilterData" localSheetId="6" hidden="1">Bao_Cao_VH!$A$2:$H$492</definedName>
    <definedName name="Z_76C10CB2_5D9B_4D5A_89C2_B833182A21A7_.wvu.FilterData" localSheetId="4" hidden="1">Bao_Cao!$A$2:$H$3882</definedName>
    <definedName name="Z_76C10CB2_5D9B_4D5A_89C2_B833182A21A7_.wvu.FilterData" localSheetId="5" hidden="1">Bao_Cao_AT!$A$2:$H$3882</definedName>
    <definedName name="Z_76C10CB2_5D9B_4D5A_89C2_B833182A21A7_.wvu.FilterData" localSheetId="6" hidden="1">Bao_Cao_VH!$A$2:$H$3882</definedName>
    <definedName name="Z_76C10CB2_5D9B_4D5A_89C2_B833182A21A7_.wvu.FilterData" localSheetId="3" hidden="1">SL_Control!$A$2:$H$1383</definedName>
    <definedName name="Z_76EB4261_6BA3_4A04_B047_330FA6100458_.wvu.FilterData" localSheetId="2" hidden="1">AN_Control!$A$2:$H$514</definedName>
    <definedName name="Z_76EB4261_6BA3_4A04_B047_330FA6100458_.wvu.FilterData" localSheetId="4" hidden="1">Bao_Cao!$A$2:$H$514</definedName>
    <definedName name="Z_76EB4261_6BA3_4A04_B047_330FA6100458_.wvu.FilterData" localSheetId="5" hidden="1">Bao_Cao_AT!$A$2:$H$514</definedName>
    <definedName name="Z_76EB4261_6BA3_4A04_B047_330FA6100458_.wvu.FilterData" localSheetId="6" hidden="1">Bao_Cao_VH!$A$2:$H$514</definedName>
    <definedName name="Z_77362B25_59E4_4694_A8FB_CFF952F23144_.wvu.FilterData" localSheetId="2" hidden="1">AN_Control!$A$2:$H$4547</definedName>
    <definedName name="Z_77362B25_59E4_4694_A8FB_CFF952F23144_.wvu.FilterData" localSheetId="4" hidden="1">Bao_Cao!$A$2:$H$3882</definedName>
    <definedName name="Z_77362B25_59E4_4694_A8FB_CFF952F23144_.wvu.FilterData" localSheetId="5" hidden="1">Bao_Cao_AT!$A$2:$H$3882</definedName>
    <definedName name="Z_77362B25_59E4_4694_A8FB_CFF952F23144_.wvu.FilterData" localSheetId="6" hidden="1">Bao_Cao_VH!$A$2:$H$3882</definedName>
    <definedName name="Z_774E883B_F08A_4054_8D75_F1875CEC87AB_.wvu.FilterData" localSheetId="2" hidden="1">AN_Control!$A$2:$H$1477</definedName>
    <definedName name="Z_774E883B_F08A_4054_8D75_F1875CEC87AB_.wvu.FilterData" localSheetId="4" hidden="1">Bao_Cao!$A$2:$H$1477</definedName>
    <definedName name="Z_774E883B_F08A_4054_8D75_F1875CEC87AB_.wvu.FilterData" localSheetId="5" hidden="1">Bao_Cao_AT!$A$2:$H$1477</definedName>
    <definedName name="Z_774E883B_F08A_4054_8D75_F1875CEC87AB_.wvu.FilterData" localSheetId="6" hidden="1">Bao_Cao_VH!$A$2:$H$1477</definedName>
    <definedName name="Z_7755F566_5FF7_4BB9_9349_8D16549BA034_.wvu.FilterData" localSheetId="2" hidden="1">AN_Control!$A$2:$H$979</definedName>
    <definedName name="Z_7755F566_5FF7_4BB9_9349_8D16549BA034_.wvu.FilterData" localSheetId="4" hidden="1">Bao_Cao!$A$2:$H$979</definedName>
    <definedName name="Z_7755F566_5FF7_4BB9_9349_8D16549BA034_.wvu.FilterData" localSheetId="5" hidden="1">Bao_Cao_AT!$A$2:$H$979</definedName>
    <definedName name="Z_7755F566_5FF7_4BB9_9349_8D16549BA034_.wvu.FilterData" localSheetId="6" hidden="1">Bao_Cao_VH!$A$2:$H$979</definedName>
    <definedName name="Z_782FC526_BD72_48E2_9FB2_7591512F0C8B_.wvu.FilterData" localSheetId="3" hidden="1">SL_Control!$A$2:$H$1397</definedName>
    <definedName name="Z_78362B9D_39AD_422D_84A5_9FBDED4F9A26_.wvu.FilterData" localSheetId="2" hidden="1">AN_Control!$A$2:$H$3405</definedName>
    <definedName name="Z_78362B9D_39AD_422D_84A5_9FBDED4F9A26_.wvu.FilterData" localSheetId="4" hidden="1">Bao_Cao!$A$2:$H$3406</definedName>
    <definedName name="Z_78362B9D_39AD_422D_84A5_9FBDED4F9A26_.wvu.FilterData" localSheetId="5" hidden="1">Bao_Cao_AT!$A$2:$H$3406</definedName>
    <definedName name="Z_78362B9D_39AD_422D_84A5_9FBDED4F9A26_.wvu.FilterData" localSheetId="6" hidden="1">Bao_Cao_VH!$A$2:$H$3406</definedName>
    <definedName name="Z_7895A726_64DA_413B_951B_2CAD84BD1314_.wvu.FilterData" localSheetId="2" hidden="1">AN_Control!$A$2:$H$4404</definedName>
    <definedName name="Z_7895A726_64DA_413B_951B_2CAD84BD1314_.wvu.FilterData" localSheetId="4" hidden="1">Bao_Cao!$A$2:$H$3882</definedName>
    <definedName name="Z_7895A726_64DA_413B_951B_2CAD84BD1314_.wvu.FilterData" localSheetId="5" hidden="1">Bao_Cao_AT!$A$2:$H$3882</definedName>
    <definedName name="Z_7895A726_64DA_413B_951B_2CAD84BD1314_.wvu.FilterData" localSheetId="6" hidden="1">Bao_Cao_VH!$A$2:$H$3882</definedName>
    <definedName name="Z_7895A726_64DA_413B_951B_2CAD84BD1314_.wvu.FilterData" localSheetId="3" hidden="1">SL_Control!$A$2:$H$1083</definedName>
    <definedName name="Z_789E8E51_D8A9_4631_9BFC_0989CF06152C_.wvu.FilterData" localSheetId="3" hidden="1">SL_Control!$A$2:$H$304</definedName>
    <definedName name="Z_7952CA2A_64F0_48C1_9CEE_4C1BB55C3108_.wvu.FilterData" localSheetId="2" hidden="1">AN_Control!$A$2:$H$3517</definedName>
    <definedName name="Z_7952CA2A_64F0_48C1_9CEE_4C1BB55C3108_.wvu.FilterData" localSheetId="4" hidden="1">Bao_Cao!$A$2:$H$3518</definedName>
    <definedName name="Z_7952CA2A_64F0_48C1_9CEE_4C1BB55C3108_.wvu.FilterData" localSheetId="5" hidden="1">Bao_Cao_AT!$A$2:$H$3518</definedName>
    <definedName name="Z_7952CA2A_64F0_48C1_9CEE_4C1BB55C3108_.wvu.FilterData" localSheetId="6" hidden="1">Bao_Cao_VH!$A$2:$H$3518</definedName>
    <definedName name="Z_796830D8_F482_4885_A6BE_8D88DB4E67BB_.wvu.FilterData" localSheetId="2" hidden="1">AN_Control!$A$2:$H$2074</definedName>
    <definedName name="Z_796830D8_F482_4885_A6BE_8D88DB4E67BB_.wvu.FilterData" localSheetId="4" hidden="1">Bao_Cao!$A$2:$H$2074</definedName>
    <definedName name="Z_796830D8_F482_4885_A6BE_8D88DB4E67BB_.wvu.FilterData" localSheetId="5" hidden="1">Bao_Cao_AT!$A$2:$H$2074</definedName>
    <definedName name="Z_796830D8_F482_4885_A6BE_8D88DB4E67BB_.wvu.FilterData" localSheetId="6" hidden="1">Bao_Cao_VH!$A$2:$H$2074</definedName>
    <definedName name="Z_7968EF7E_1368_4628_A833_F0E9FF892C85_.wvu.FilterData" localSheetId="2" hidden="1">AN_Control!$A$2:$H$1758</definedName>
    <definedName name="Z_7968EF7E_1368_4628_A833_F0E9FF892C85_.wvu.FilterData" localSheetId="4" hidden="1">Bao_Cao!$A$2:$H$1758</definedName>
    <definedName name="Z_7968EF7E_1368_4628_A833_F0E9FF892C85_.wvu.FilterData" localSheetId="5" hidden="1">Bao_Cao_AT!$A$2:$H$1758</definedName>
    <definedName name="Z_7968EF7E_1368_4628_A833_F0E9FF892C85_.wvu.FilterData" localSheetId="6" hidden="1">Bao_Cao_VH!$A$2:$H$1758</definedName>
    <definedName name="Z_7968EF7E_1368_4628_A833_F0E9FF892C85_.wvu.FilterData" localSheetId="3" hidden="1">SL_Control!$A$2:$H$520</definedName>
    <definedName name="Z_797AE57A_A973_4C9F_AFD4_671B919721E8_.wvu.FilterData" localSheetId="2" hidden="1">AN_Control!$A$2:$H$1339</definedName>
    <definedName name="Z_797AE57A_A973_4C9F_AFD4_671B919721E8_.wvu.FilterData" localSheetId="4" hidden="1">Bao_Cao!$A$2:$H$1339</definedName>
    <definedName name="Z_797AE57A_A973_4C9F_AFD4_671B919721E8_.wvu.FilterData" localSheetId="5" hidden="1">Bao_Cao_AT!$A$2:$H$1339</definedName>
    <definedName name="Z_797AE57A_A973_4C9F_AFD4_671B919721E8_.wvu.FilterData" localSheetId="6" hidden="1">Bao_Cao_VH!$A$2:$H$1339</definedName>
    <definedName name="Z_797AE57A_A973_4C9F_AFD4_671B919721E8_.wvu.FilterData" localSheetId="3" hidden="1">SL_Control!$A$2:$H$359</definedName>
    <definedName name="Z_7AA8A2CC_2645_4163_A032_3219E6B390C7_.wvu.FilterData" localSheetId="4" hidden="1">Bao_Cao!$A$2:$H$3882</definedName>
    <definedName name="Z_7AA8A2CC_2645_4163_A032_3219E6B390C7_.wvu.FilterData" localSheetId="5" hidden="1">Bao_Cao_AT!$A$2:$H$3882</definedName>
    <definedName name="Z_7AA8A2CC_2645_4163_A032_3219E6B390C7_.wvu.FilterData" localSheetId="6" hidden="1">Bao_Cao_VH!$A$2:$H$3882</definedName>
    <definedName name="Z_7AA8A2CC_2645_4163_A032_3219E6B390C7_.wvu.FilterData" localSheetId="3" hidden="1">SL_Control!$A$2:$H$1427</definedName>
    <definedName name="Z_7B50FA5B_63A5_40AC_8D58_D20827B2C780_.wvu.FilterData" localSheetId="3" hidden="1">SL_Control!$A$2:$H$420</definedName>
    <definedName name="Z_7C6F684A_AD57_4ACE_9FBF_314101CB8750_.wvu.FilterData" localSheetId="2" hidden="1">AN_Control!$A$2:$H$5650</definedName>
    <definedName name="Z_7C6F684A_AD57_4ACE_9FBF_314101CB8750_.wvu.FilterData" localSheetId="3" hidden="1">SL_Control!$A$2:$H$1471</definedName>
    <definedName name="Z_7C8322DC_48D7_4B26_8C1E_1478E376CF57_.wvu.FilterData" localSheetId="2" hidden="1">AN_Control!$A$2:$H$4846</definedName>
    <definedName name="Z_7C8322DC_48D7_4B26_8C1E_1478E376CF57_.wvu.FilterData" localSheetId="4" hidden="1">Bao_Cao!$A$2:$H$3882</definedName>
    <definedName name="Z_7C8322DC_48D7_4B26_8C1E_1478E376CF57_.wvu.FilterData" localSheetId="5" hidden="1">Bao_Cao_AT!$A$2:$H$3882</definedName>
    <definedName name="Z_7C8322DC_48D7_4B26_8C1E_1478E376CF57_.wvu.FilterData" localSheetId="6" hidden="1">Bao_Cao_VH!$A$2:$H$3882</definedName>
    <definedName name="Z_7CFB5A65_9C42_4826_B158_2393BFD44831_.wvu.FilterData" localSheetId="2" hidden="1">AN_Control!$A$2:$H$826</definedName>
    <definedName name="Z_7CFB5A65_9C42_4826_B158_2393BFD44831_.wvu.FilterData" localSheetId="4" hidden="1">Bao_Cao!$A$2:$H$826</definedName>
    <definedName name="Z_7CFB5A65_9C42_4826_B158_2393BFD44831_.wvu.FilterData" localSheetId="5" hidden="1">Bao_Cao_AT!$A$2:$H$826</definedName>
    <definedName name="Z_7CFB5A65_9C42_4826_B158_2393BFD44831_.wvu.FilterData" localSheetId="6" hidden="1">Bao_Cao_VH!$A$2:$H$826</definedName>
    <definedName name="Z_7CFB5A65_9C42_4826_B158_2393BFD44831_.wvu.FilterData" localSheetId="3" hidden="1">SL_Control!$A$2:$H$215</definedName>
    <definedName name="Z_7D3A569C_8FCE_4572_B7C6_EBDDFD1735FB_.wvu.FilterData" localSheetId="2" hidden="1">AN_Control!$A$2:$H$3640</definedName>
    <definedName name="Z_7D3A569C_8FCE_4572_B7C6_EBDDFD1735FB_.wvu.FilterData" localSheetId="4" hidden="1">Bao_Cao!$A$2:$H$3641</definedName>
    <definedName name="Z_7D3A569C_8FCE_4572_B7C6_EBDDFD1735FB_.wvu.FilterData" localSheetId="5" hidden="1">Bao_Cao_AT!$A$2:$H$3641</definedName>
    <definedName name="Z_7D3A569C_8FCE_4572_B7C6_EBDDFD1735FB_.wvu.FilterData" localSheetId="6" hidden="1">Bao_Cao_VH!$A$2:$H$3641</definedName>
    <definedName name="Z_7EB6E65F_5E8B_4D95_AE9A_A5AA265F2D5A_.wvu.FilterData" localSheetId="4" hidden="1">Bao_Cao!$A$2:$H$3882</definedName>
    <definedName name="Z_7EB6E65F_5E8B_4D95_AE9A_A5AA265F2D5A_.wvu.FilterData" localSheetId="5" hidden="1">Bao_Cao_AT!$A$2:$H$3882</definedName>
    <definedName name="Z_7EB6E65F_5E8B_4D95_AE9A_A5AA265F2D5A_.wvu.FilterData" localSheetId="6" hidden="1">Bao_Cao_VH!$A$2:$H$3882</definedName>
    <definedName name="Z_7EB6E65F_5E8B_4D95_AE9A_A5AA265F2D5A_.wvu.FilterData" localSheetId="3" hidden="1">SL_Control!$A$2:$H$1425</definedName>
    <definedName name="Z_7EC5E2EA_65D5_4D87_8526_D8DCC529A365_.wvu.FilterData" localSheetId="4" hidden="1">Bao_Cao!$A$2:$H$3882</definedName>
    <definedName name="Z_7EC5E2EA_65D5_4D87_8526_D8DCC529A365_.wvu.FilterData" localSheetId="5" hidden="1">Bao_Cao_AT!$A$2:$H$3882</definedName>
    <definedName name="Z_7EC5E2EA_65D5_4D87_8526_D8DCC529A365_.wvu.FilterData" localSheetId="6" hidden="1">Bao_Cao_VH!$A$2:$H$3882</definedName>
    <definedName name="Z_7EC5E2EA_65D5_4D87_8526_D8DCC529A365_.wvu.FilterData" localSheetId="3" hidden="1">SL_Control!$A$2:$H$1397</definedName>
    <definedName name="Z_7F6C853C_7B74_4206_A95E_E5F60C75469C_.wvu.FilterData" localSheetId="2" hidden="1">AN_Control!$A$2:$H$1806</definedName>
    <definedName name="Z_7F6C853C_7B74_4206_A95E_E5F60C75469C_.wvu.FilterData" localSheetId="4" hidden="1">Bao_Cao!$A$2:$H$1806</definedName>
    <definedName name="Z_7F6C853C_7B74_4206_A95E_E5F60C75469C_.wvu.FilterData" localSheetId="5" hidden="1">Bao_Cao_AT!$A$2:$H$1806</definedName>
    <definedName name="Z_7F6C853C_7B74_4206_A95E_E5F60C75469C_.wvu.FilterData" localSheetId="6" hidden="1">Bao_Cao_VH!$A$2:$H$1806</definedName>
    <definedName name="Z_7F7E3D77_CC2A_4299_A3FA_0EB9F2CA356A_.wvu.FilterData" localSheetId="2" hidden="1">AN_Control!$A$2:$H$4547</definedName>
    <definedName name="Z_806BD1AD_3CA7_4507_9DAD_A55D8D49C4EA_.wvu.FilterData" localSheetId="3" hidden="1">SL_Control!$A$2:$H$250</definedName>
    <definedName name="Z_8087CD32_C6CF_43F2_9CCF_48D1D7EA403B_.wvu.FilterData" localSheetId="2" hidden="1">AN_Control!$A$2:$H$1797</definedName>
    <definedName name="Z_8087CD32_C6CF_43F2_9CCF_48D1D7EA403B_.wvu.FilterData" localSheetId="4" hidden="1">Bao_Cao!$A$2:$H$1797</definedName>
    <definedName name="Z_8087CD32_C6CF_43F2_9CCF_48D1D7EA403B_.wvu.FilterData" localSheetId="5" hidden="1">Bao_Cao_AT!$A$2:$H$1797</definedName>
    <definedName name="Z_8087CD32_C6CF_43F2_9CCF_48D1D7EA403B_.wvu.FilterData" localSheetId="6" hidden="1">Bao_Cao_VH!$A$2:$H$1797</definedName>
    <definedName name="Z_8087CD32_C6CF_43F2_9CCF_48D1D7EA403B_.wvu.FilterData" localSheetId="3" hidden="1">SL_Control!$A$2:$H$520</definedName>
    <definedName name="Z_80DA2789_6C0F_4322_AC54_724597AAA5EE_.wvu.FilterData" localSheetId="2" hidden="1">AN_Control!$A$2:$H$2517</definedName>
    <definedName name="Z_80DA2789_6C0F_4322_AC54_724597AAA5EE_.wvu.FilterData" localSheetId="4" hidden="1">Bao_Cao!$A$2:$H$2518</definedName>
    <definedName name="Z_80DA2789_6C0F_4322_AC54_724597AAA5EE_.wvu.FilterData" localSheetId="5" hidden="1">Bao_Cao_AT!$A$2:$H$2518</definedName>
    <definedName name="Z_80DA2789_6C0F_4322_AC54_724597AAA5EE_.wvu.FilterData" localSheetId="6" hidden="1">Bao_Cao_VH!$A$2:$H$2518</definedName>
    <definedName name="Z_8109D52C_8EDE_42A3_9E97_0B7353B3250E_.wvu.FilterData" localSheetId="2" hidden="1">AN_Control!$A$2:$H$624</definedName>
    <definedName name="Z_8109D52C_8EDE_42A3_9E97_0B7353B3250E_.wvu.FilterData" localSheetId="4" hidden="1">Bao_Cao!$A$2:$H$624</definedName>
    <definedName name="Z_8109D52C_8EDE_42A3_9E97_0B7353B3250E_.wvu.FilterData" localSheetId="5" hidden="1">Bao_Cao_AT!$A$2:$H$624</definedName>
    <definedName name="Z_8109D52C_8EDE_42A3_9E97_0B7353B3250E_.wvu.FilterData" localSheetId="6" hidden="1">Bao_Cao_VH!$A$2:$H$624</definedName>
    <definedName name="Z_8157C5E1_103E_473F_8361_49E416BB775F_.wvu.FilterData" localSheetId="4" hidden="1">Bao_Cao!$A$2:$H$3882</definedName>
    <definedName name="Z_8157C5E1_103E_473F_8361_49E416BB775F_.wvu.FilterData" localSheetId="5" hidden="1">Bao_Cao_AT!$A$2:$H$3882</definedName>
    <definedName name="Z_8157C5E1_103E_473F_8361_49E416BB775F_.wvu.FilterData" localSheetId="6" hidden="1">Bao_Cao_VH!$A$2:$H$3882</definedName>
    <definedName name="Z_8216F974_CF4C_49D9_9826_D04B080A5E3D_.wvu.FilterData" localSheetId="2" hidden="1">AN_Control!$A$2:$H$5471</definedName>
    <definedName name="Z_8216F974_CF4C_49D9_9826_D04B080A5E3D_.wvu.FilterData" localSheetId="4" hidden="1">Bao_Cao!$A$2:$H$3882</definedName>
    <definedName name="Z_8216F974_CF4C_49D9_9826_D04B080A5E3D_.wvu.FilterData" localSheetId="5" hidden="1">Bao_Cao_AT!$A$2:$H$3882</definedName>
    <definedName name="Z_8216F974_CF4C_49D9_9826_D04B080A5E3D_.wvu.FilterData" localSheetId="6" hidden="1">Bao_Cao_VH!$A$2:$H$3882</definedName>
    <definedName name="Z_8216F974_CF4C_49D9_9826_D04B080A5E3D_.wvu.FilterData" localSheetId="3" hidden="1">SL_Control!$A$2:$H$1410</definedName>
    <definedName name="Z_82263E35_9E4B_4D55_9A00_6DCD78984572_.wvu.FilterData" localSheetId="2" hidden="1">AN_Control!$A$2:$H$5452</definedName>
    <definedName name="Z_82263E35_9E4B_4D55_9A00_6DCD78984572_.wvu.FilterData" localSheetId="4" hidden="1">Bao_Cao!$A$2:$H$3882</definedName>
    <definedName name="Z_82263E35_9E4B_4D55_9A00_6DCD78984572_.wvu.FilterData" localSheetId="5" hidden="1">Bao_Cao_AT!$A$2:$H$3882</definedName>
    <definedName name="Z_82263E35_9E4B_4D55_9A00_6DCD78984572_.wvu.FilterData" localSheetId="6" hidden="1">Bao_Cao_VH!$A$2:$H$3882</definedName>
    <definedName name="Z_827EC481_60DB_4C06_9891_24DE408948A7_.wvu.FilterData" localSheetId="2" hidden="1">AN_Control!$A$2:$H$535</definedName>
    <definedName name="Z_827EC481_60DB_4C06_9891_24DE408948A7_.wvu.FilterData" localSheetId="4" hidden="1">Bao_Cao!$A$2:$H$535</definedName>
    <definedName name="Z_827EC481_60DB_4C06_9891_24DE408948A7_.wvu.FilterData" localSheetId="5" hidden="1">Bao_Cao_AT!$A$2:$H$535</definedName>
    <definedName name="Z_827EC481_60DB_4C06_9891_24DE408948A7_.wvu.FilterData" localSheetId="6" hidden="1">Bao_Cao_VH!$A$2:$H$535</definedName>
    <definedName name="Z_829046C4_BD85_44EE_95B8_17C15CFA8C9D_.wvu.FilterData" localSheetId="2" hidden="1">AN_Control!$A$2:$H$828</definedName>
    <definedName name="Z_829046C4_BD85_44EE_95B8_17C15CFA8C9D_.wvu.FilterData" localSheetId="4" hidden="1">Bao_Cao!$A$2:$H$828</definedName>
    <definedName name="Z_829046C4_BD85_44EE_95B8_17C15CFA8C9D_.wvu.FilterData" localSheetId="5" hidden="1">Bao_Cao_AT!$A$2:$H$828</definedName>
    <definedName name="Z_829046C4_BD85_44EE_95B8_17C15CFA8C9D_.wvu.FilterData" localSheetId="6" hidden="1">Bao_Cao_VH!$A$2:$H$828</definedName>
    <definedName name="Z_82AAF5EE_7EA5_43E4_8978_91DDBC7E0AB1_.wvu.FilterData" localSheetId="3" hidden="1">SL_Control!$A$2:$H$200</definedName>
    <definedName name="Z_82EFA1F0_E8D4_482D_A2BA_3D4950B10E8D_.wvu.FilterData" localSheetId="2" hidden="1">AN_Control!$A$2:$H$362</definedName>
    <definedName name="Z_82EFA1F0_E8D4_482D_A2BA_3D4950B10E8D_.wvu.FilterData" localSheetId="4" hidden="1">Bao_Cao!$A$2:$H$362</definedName>
    <definedName name="Z_82EFA1F0_E8D4_482D_A2BA_3D4950B10E8D_.wvu.FilterData" localSheetId="5" hidden="1">Bao_Cao_AT!$A$2:$H$362</definedName>
    <definedName name="Z_82EFA1F0_E8D4_482D_A2BA_3D4950B10E8D_.wvu.FilterData" localSheetId="6" hidden="1">Bao_Cao_VH!$A$2:$H$362</definedName>
    <definedName name="Z_831E9AB1_F632_488B_9077_4F0F16A0D14E_.wvu.FilterData" localSheetId="2" hidden="1">AN_Control!$A$2:$H$2630</definedName>
    <definedName name="Z_831E9AB1_F632_488B_9077_4F0F16A0D14E_.wvu.FilterData" localSheetId="4" hidden="1">Bao_Cao!$A$2:$H$2631</definedName>
    <definedName name="Z_831E9AB1_F632_488B_9077_4F0F16A0D14E_.wvu.FilterData" localSheetId="5" hidden="1">Bao_Cao_AT!$A$2:$H$2631</definedName>
    <definedName name="Z_831E9AB1_F632_488B_9077_4F0F16A0D14E_.wvu.FilterData" localSheetId="6" hidden="1">Bao_Cao_VH!$A$2:$H$2631</definedName>
    <definedName name="Z_8364C2EA_5B7A_408F_8037_AC9DCC9522C9_.wvu.FilterData" localSheetId="2" hidden="1">AN_Control!$A$2:$H$1339</definedName>
    <definedName name="Z_8364C2EA_5B7A_408F_8037_AC9DCC9522C9_.wvu.FilterData" localSheetId="4" hidden="1">Bao_Cao!$A$2:$H$1339</definedName>
    <definedName name="Z_8364C2EA_5B7A_408F_8037_AC9DCC9522C9_.wvu.FilterData" localSheetId="5" hidden="1">Bao_Cao_AT!$A$2:$H$1339</definedName>
    <definedName name="Z_8364C2EA_5B7A_408F_8037_AC9DCC9522C9_.wvu.FilterData" localSheetId="6" hidden="1">Bao_Cao_VH!$A$2:$H$1339</definedName>
    <definedName name="Z_8364C2EA_5B7A_408F_8037_AC9DCC9522C9_.wvu.FilterData" localSheetId="3" hidden="1">SL_Control!$A$2:$H$359</definedName>
    <definedName name="Z_8383941A_7D59_4D82_80CA_3F4EDBAC1361_.wvu.FilterData" localSheetId="2" hidden="1">AN_Control!$A$2:$H$2312</definedName>
    <definedName name="Z_8383941A_7D59_4D82_80CA_3F4EDBAC1361_.wvu.FilterData" localSheetId="4" hidden="1">Bao_Cao!$A$2:$H$2312</definedName>
    <definedName name="Z_8383941A_7D59_4D82_80CA_3F4EDBAC1361_.wvu.FilterData" localSheetId="5" hidden="1">Bao_Cao_AT!$A$2:$H$2312</definedName>
    <definedName name="Z_8383941A_7D59_4D82_80CA_3F4EDBAC1361_.wvu.FilterData" localSheetId="6" hidden="1">Bao_Cao_VH!$A$2:$H$2312</definedName>
    <definedName name="Z_839E9948_701E_4C76_A8D7_752379E84B77_.wvu.FilterData" localSheetId="2" hidden="1">AN_Control!$A$2:$H$3212</definedName>
    <definedName name="Z_839E9948_701E_4C76_A8D7_752379E84B77_.wvu.FilterData" localSheetId="4" hidden="1">Bao_Cao!$A$2:$H$3213</definedName>
    <definedName name="Z_839E9948_701E_4C76_A8D7_752379E84B77_.wvu.FilterData" localSheetId="5" hidden="1">Bao_Cao_AT!$A$2:$H$3213</definedName>
    <definedName name="Z_839E9948_701E_4C76_A8D7_752379E84B77_.wvu.FilterData" localSheetId="6" hidden="1">Bao_Cao_VH!$A$2:$H$3213</definedName>
    <definedName name="Z_83D585F4_7191_46F5_A11E_945C6C99B7E0_.wvu.FilterData" localSheetId="2" hidden="1">AN_Control!$A$2:$H$5471</definedName>
    <definedName name="Z_83D585F4_7191_46F5_A11E_945C6C99B7E0_.wvu.FilterData" localSheetId="4" hidden="1">Bao_Cao!$A$2:$H$3882</definedName>
    <definedName name="Z_83D585F4_7191_46F5_A11E_945C6C99B7E0_.wvu.FilterData" localSheetId="5" hidden="1">Bao_Cao_AT!$A$2:$H$3882</definedName>
    <definedName name="Z_83D585F4_7191_46F5_A11E_945C6C99B7E0_.wvu.FilterData" localSheetId="6" hidden="1">Bao_Cao_VH!$A$2:$H$3882</definedName>
    <definedName name="Z_849230C9_FA74_4F18_B4B8_56A08F683DCE_.wvu.FilterData" localSheetId="2" hidden="1">AN_Control!$A$2:$H$1196</definedName>
    <definedName name="Z_849230C9_FA74_4F18_B4B8_56A08F683DCE_.wvu.FilterData" localSheetId="4" hidden="1">Bao_Cao!$A$2:$H$1196</definedName>
    <definedName name="Z_849230C9_FA74_4F18_B4B8_56A08F683DCE_.wvu.FilterData" localSheetId="5" hidden="1">Bao_Cao_AT!$A$2:$H$1196</definedName>
    <definedName name="Z_849230C9_FA74_4F18_B4B8_56A08F683DCE_.wvu.FilterData" localSheetId="6" hidden="1">Bao_Cao_VH!$A$2:$H$1196</definedName>
    <definedName name="Z_849D2556_63FC_4270_9909_9C44F0B1B10A_.wvu.FilterData" localSheetId="2" hidden="1">AN_Control!$A$2:$H$4802</definedName>
    <definedName name="Z_849D2556_63FC_4270_9909_9C44F0B1B10A_.wvu.FilterData" localSheetId="4" hidden="1">Bao_Cao!$A$2:$H$3882</definedName>
    <definedName name="Z_849D2556_63FC_4270_9909_9C44F0B1B10A_.wvu.FilterData" localSheetId="5" hidden="1">Bao_Cao_AT!$A$2:$H$3882</definedName>
    <definedName name="Z_849D2556_63FC_4270_9909_9C44F0B1B10A_.wvu.FilterData" localSheetId="6" hidden="1">Bao_Cao_VH!$A$2:$H$3882</definedName>
    <definedName name="Z_849D2556_63FC_4270_9909_9C44F0B1B10A_.wvu.FilterData" localSheetId="3" hidden="1">SL_Control!$A$2:$H$1155</definedName>
    <definedName name="Z_850E8F6B_6DFC_4541_A370_419E886F6586_.wvu.FilterData" localSheetId="2" hidden="1">AN_Control!$A$2:$H$672</definedName>
    <definedName name="Z_850E8F6B_6DFC_4541_A370_419E886F6586_.wvu.FilterData" localSheetId="4" hidden="1">Bao_Cao!$A$2:$H$672</definedName>
    <definedName name="Z_850E8F6B_6DFC_4541_A370_419E886F6586_.wvu.FilterData" localSheetId="5" hidden="1">Bao_Cao_AT!$A$2:$H$672</definedName>
    <definedName name="Z_850E8F6B_6DFC_4541_A370_419E886F6586_.wvu.FilterData" localSheetId="6" hidden="1">Bao_Cao_VH!$A$2:$H$672</definedName>
    <definedName name="Z_85396545_446A_4AE0_89E9_FAD6A4611E1E_.wvu.FilterData" localSheetId="3" hidden="1">SL_Control!$A$2:$H$658</definedName>
    <definedName name="Z_85A6B3D4_84EF_44DD_BB60_E1973A407547_.wvu.FilterData" localSheetId="3" hidden="1">SL_Control!$A$2:$H$520</definedName>
    <definedName name="Z_85ABC0A7_D61C_458C_BB94_090D6173FF39_.wvu.FilterData" localSheetId="3" hidden="1">SL_Control!$A$2:$H$636</definedName>
    <definedName name="Z_85C25C20_6B9D_4B96_A43E_B758E8592C39_.wvu.FilterData" localSheetId="3" hidden="1">SL_Control!$A$2:$H$792</definedName>
    <definedName name="Z_85DCC5DC_23C0_4955_89D8_3B242BC4AA6D_.wvu.FilterData" localSheetId="2" hidden="1">AN_Control!$A$2:$H$1634</definedName>
    <definedName name="Z_85DCC5DC_23C0_4955_89D8_3B242BC4AA6D_.wvu.FilterData" localSheetId="4" hidden="1">Bao_Cao!$A$2:$H$1634</definedName>
    <definedName name="Z_85DCC5DC_23C0_4955_89D8_3B242BC4AA6D_.wvu.FilterData" localSheetId="5" hidden="1">Bao_Cao_AT!$A$2:$H$1634</definedName>
    <definedName name="Z_85DCC5DC_23C0_4955_89D8_3B242BC4AA6D_.wvu.FilterData" localSheetId="6" hidden="1">Bao_Cao_VH!$A$2:$H$1634</definedName>
    <definedName name="Z_85F62BB1_64FD_45B5_807A_18F3B9C34FC8_.wvu.FilterData" localSheetId="2" hidden="1">AN_Control!$A$2:$H$5371</definedName>
    <definedName name="Z_85F62BB1_64FD_45B5_807A_18F3B9C34FC8_.wvu.FilterData" localSheetId="4" hidden="1">Bao_Cao!$A$2:$H$3882</definedName>
    <definedName name="Z_85F62BB1_64FD_45B5_807A_18F3B9C34FC8_.wvu.FilterData" localSheetId="5" hidden="1">Bao_Cao_AT!$A$2:$H$3882</definedName>
    <definedName name="Z_85F62BB1_64FD_45B5_807A_18F3B9C34FC8_.wvu.FilterData" localSheetId="6" hidden="1">Bao_Cao_VH!$A$2:$H$3882</definedName>
    <definedName name="Z_85F62BB1_64FD_45B5_807A_18F3B9C34FC8_.wvu.FilterData" localSheetId="3" hidden="1">SL_Control!$A$2:$H$1366</definedName>
    <definedName name="Z_86790D18_383B_411C_B642_7BAC716B77D3_.wvu.FilterData" localSheetId="3" hidden="1">SL_Control!$A$2:$H$203</definedName>
    <definedName name="Z_86848DA2_CE3F_4137_A030_982D81222206_.wvu.FilterData" localSheetId="2" hidden="1">AN_Control!$A$2:$H$1468</definedName>
    <definedName name="Z_86848DA2_CE3F_4137_A030_982D81222206_.wvu.FilterData" localSheetId="4" hidden="1">Bao_Cao!$A$2:$H$1468</definedName>
    <definedName name="Z_86848DA2_CE3F_4137_A030_982D81222206_.wvu.FilterData" localSheetId="5" hidden="1">Bao_Cao_AT!$A$2:$H$1468</definedName>
    <definedName name="Z_86848DA2_CE3F_4137_A030_982D81222206_.wvu.FilterData" localSheetId="6" hidden="1">Bao_Cao_VH!$A$2:$H$1468</definedName>
    <definedName name="Z_871F50EE_8C40_4ADE_A6FF_4605EE5F2B09_.wvu.FilterData" localSheetId="2" hidden="1">AN_Control!$A$2:$H$4319</definedName>
    <definedName name="Z_871F50EE_8C40_4ADE_A6FF_4605EE5F2B09_.wvu.FilterData" localSheetId="3" hidden="1">SL_Control!$A$2:$H$1059</definedName>
    <definedName name="Z_879CFBC7_EC8F_4432_9C3A_3C06882BA2EE_.wvu.FilterData" localSheetId="4" hidden="1">Bao_Cao!$A$2:$H$3882</definedName>
    <definedName name="Z_879CFBC7_EC8F_4432_9C3A_3C06882BA2EE_.wvu.FilterData" localSheetId="5" hidden="1">Bao_Cao_AT!$A$2:$H$3882</definedName>
    <definedName name="Z_879CFBC7_EC8F_4432_9C3A_3C06882BA2EE_.wvu.FilterData" localSheetId="6" hidden="1">Bao_Cao_VH!$A$2:$H$3882</definedName>
    <definedName name="Z_87A045AE_07B7_4CB3_B2FE_87A0AE98FA7B_.wvu.FilterData" localSheetId="2" hidden="1">AN_Control!$A$2:$H$4616</definedName>
    <definedName name="Z_87A045AE_07B7_4CB3_B2FE_87A0AE98FA7B_.wvu.FilterData" localSheetId="4" hidden="1">Bao_Cao!$A$2:$H$3882</definedName>
    <definedName name="Z_87A045AE_07B7_4CB3_B2FE_87A0AE98FA7B_.wvu.FilterData" localSheetId="5" hidden="1">Bao_Cao_AT!$A$2:$H$3882</definedName>
    <definedName name="Z_87A045AE_07B7_4CB3_B2FE_87A0AE98FA7B_.wvu.FilterData" localSheetId="6" hidden="1">Bao_Cao_VH!$A$2:$H$3882</definedName>
    <definedName name="Z_87F37D82_72AB_4FA2_8E0F_C3AFD99DDE30_.wvu.FilterData" localSheetId="2" hidden="1">AN_Control!$A$2:$H$3780</definedName>
    <definedName name="Z_87F37D82_72AB_4FA2_8E0F_C3AFD99DDE30_.wvu.FilterData" localSheetId="4" hidden="1">Bao_Cao!$A$2:$H$3782</definedName>
    <definedName name="Z_87F37D82_72AB_4FA2_8E0F_C3AFD99DDE30_.wvu.FilterData" localSheetId="5" hidden="1">Bao_Cao_AT!$A$2:$H$3782</definedName>
    <definedName name="Z_87F37D82_72AB_4FA2_8E0F_C3AFD99DDE30_.wvu.FilterData" localSheetId="6" hidden="1">Bao_Cao_VH!$A$2:$H$3782</definedName>
    <definedName name="Z_885CE388_9D99_404D_A215_C7B502F5FE37_.wvu.FilterData" localSheetId="2" hidden="1">AN_Control!$A$2:$H$1380</definedName>
    <definedName name="Z_885CE388_9D99_404D_A215_C7B502F5FE37_.wvu.FilterData" localSheetId="4" hidden="1">Bao_Cao!$A$2:$H$1380</definedName>
    <definedName name="Z_885CE388_9D99_404D_A215_C7B502F5FE37_.wvu.FilterData" localSheetId="5" hidden="1">Bao_Cao_AT!$A$2:$H$1380</definedName>
    <definedName name="Z_885CE388_9D99_404D_A215_C7B502F5FE37_.wvu.FilterData" localSheetId="6" hidden="1">Bao_Cao_VH!$A$2:$H$1380</definedName>
    <definedName name="Z_888AC001_B49F_47E4_BC73_DF1519756CB1_.wvu.FilterData" localSheetId="3" hidden="1">SL_Control!$A$2:$H$1476</definedName>
    <definedName name="Z_88BFF66F_287F_4C84_B399_475E1813B6B4_.wvu.FilterData" localSheetId="3" hidden="1">SL_Control!$A$2:$H$245</definedName>
    <definedName name="Z_89034DB3_C2A4_4F6E_9B09_484DAB8AB889_.wvu.FilterData" localSheetId="2" hidden="1">AN_Control!$A$2:$H$2030</definedName>
    <definedName name="Z_89034DB3_C2A4_4F6E_9B09_484DAB8AB889_.wvu.FilterData" localSheetId="4" hidden="1">Bao_Cao!$A$2:$H$2030</definedName>
    <definedName name="Z_89034DB3_C2A4_4F6E_9B09_484DAB8AB889_.wvu.FilterData" localSheetId="5" hidden="1">Bao_Cao_AT!$A$2:$H$2030</definedName>
    <definedName name="Z_89034DB3_C2A4_4F6E_9B09_484DAB8AB889_.wvu.FilterData" localSheetId="6" hidden="1">Bao_Cao_VH!$A$2:$H$2030</definedName>
    <definedName name="Z_89115B72_C069_41C4_8846_E972D508F542_.wvu.FilterData" localSheetId="2" hidden="1">AN_Control!$A$2:$H$606</definedName>
    <definedName name="Z_89115B72_C069_41C4_8846_E972D508F542_.wvu.FilterData" localSheetId="4" hidden="1">Bao_Cao!$A$2:$H$606</definedName>
    <definedName name="Z_89115B72_C069_41C4_8846_E972D508F542_.wvu.FilterData" localSheetId="5" hidden="1">Bao_Cao_AT!$A$2:$H$606</definedName>
    <definedName name="Z_89115B72_C069_41C4_8846_E972D508F542_.wvu.FilterData" localSheetId="6" hidden="1">Bao_Cao_VH!$A$2:$H$606</definedName>
    <definedName name="Z_8949DA05_D135_4494_8DDD_DCD8C9E23AFD_.wvu.FilterData" localSheetId="2" hidden="1">AN_Control!$A$2:$H$3848</definedName>
    <definedName name="Z_8949DA05_D135_4494_8DDD_DCD8C9E23AFD_.wvu.FilterData" localSheetId="4" hidden="1">Bao_Cao!$A$2:$H$3850</definedName>
    <definedName name="Z_8949DA05_D135_4494_8DDD_DCD8C9E23AFD_.wvu.FilterData" localSheetId="5" hidden="1">Bao_Cao_AT!$A$2:$H$3850</definedName>
    <definedName name="Z_8949DA05_D135_4494_8DDD_DCD8C9E23AFD_.wvu.FilterData" localSheetId="6" hidden="1">Bao_Cao_VH!$A$2:$H$3850</definedName>
    <definedName name="Z_8994C43B_EBB9_41F2_B210_CC7FCCA1ED7A_.wvu.FilterData" localSheetId="2" hidden="1">AN_Control!$A$2:$H$922</definedName>
    <definedName name="Z_8994C43B_EBB9_41F2_B210_CC7FCCA1ED7A_.wvu.FilterData" localSheetId="4" hidden="1">Bao_Cao!$A$2:$H$922</definedName>
    <definedName name="Z_8994C43B_EBB9_41F2_B210_CC7FCCA1ED7A_.wvu.FilterData" localSheetId="5" hidden="1">Bao_Cao_AT!$A$2:$H$922</definedName>
    <definedName name="Z_8994C43B_EBB9_41F2_B210_CC7FCCA1ED7A_.wvu.FilterData" localSheetId="6" hidden="1">Bao_Cao_VH!$A$2:$H$922</definedName>
    <definedName name="Z_899634F1_57B3_4C66_AA46_21F551B9019B_.wvu.FilterData" localSheetId="2" hidden="1">AN_Control!$A$2:$H$5464</definedName>
    <definedName name="Z_899634F1_57B3_4C66_AA46_21F551B9019B_.wvu.FilterData" localSheetId="4" hidden="1">Bao_Cao!$A$2:$H$3882</definedName>
    <definedName name="Z_899634F1_57B3_4C66_AA46_21F551B9019B_.wvu.FilterData" localSheetId="5" hidden="1">Bao_Cao_AT!$A$2:$H$3882</definedName>
    <definedName name="Z_899634F1_57B3_4C66_AA46_21F551B9019B_.wvu.FilterData" localSheetId="6" hidden="1">Bao_Cao_VH!$A$2:$H$3882</definedName>
    <definedName name="Z_899634F1_57B3_4C66_AA46_21F551B9019B_.wvu.FilterData" localSheetId="3" hidden="1">SL_Control!$A$2:$H$1405</definedName>
    <definedName name="Z_89F9E1CE_911D_4BCB_B0B7_1AB2275987D3_.wvu.FilterData" localSheetId="2" hidden="1">AN_Control!$A$2:$H$3199</definedName>
    <definedName name="Z_89F9E1CE_911D_4BCB_B0B7_1AB2275987D3_.wvu.FilterData" localSheetId="4" hidden="1">Bao_Cao!$A$2:$H$3200</definedName>
    <definedName name="Z_89F9E1CE_911D_4BCB_B0B7_1AB2275987D3_.wvu.FilterData" localSheetId="5" hidden="1">Bao_Cao_AT!$A$2:$H$3200</definedName>
    <definedName name="Z_89F9E1CE_911D_4BCB_B0B7_1AB2275987D3_.wvu.FilterData" localSheetId="6" hidden="1">Bao_Cao_VH!$A$2:$H$3200</definedName>
    <definedName name="Z_8A8E2420_8500_4B1B_B93B_6E0D2254F93E_.wvu.FilterData" localSheetId="2" hidden="1">AN_Control!$A$2:$H$1155</definedName>
    <definedName name="Z_8A8E2420_8500_4B1B_B93B_6E0D2254F93E_.wvu.FilterData" localSheetId="4" hidden="1">Bao_Cao!$A$2:$H$1155</definedName>
    <definedName name="Z_8A8E2420_8500_4B1B_B93B_6E0D2254F93E_.wvu.FilterData" localSheetId="5" hidden="1">Bao_Cao_AT!$A$2:$H$1155</definedName>
    <definedName name="Z_8A8E2420_8500_4B1B_B93B_6E0D2254F93E_.wvu.FilterData" localSheetId="6" hidden="1">Bao_Cao_VH!$A$2:$H$1155</definedName>
    <definedName name="Z_8BB24824_E53C_4439_B268_56ED03BADEE0_.wvu.FilterData" localSheetId="2" hidden="1">AN_Control!$A$2:$H$5502</definedName>
    <definedName name="Z_8BB24824_E53C_4439_B268_56ED03BADEE0_.wvu.FilterData" localSheetId="4" hidden="1">Bao_Cao!$A$2:$H$3882</definedName>
    <definedName name="Z_8BB24824_E53C_4439_B268_56ED03BADEE0_.wvu.FilterData" localSheetId="5" hidden="1">Bao_Cao_AT!$A$2:$H$3882</definedName>
    <definedName name="Z_8BB24824_E53C_4439_B268_56ED03BADEE0_.wvu.FilterData" localSheetId="6" hidden="1">Bao_Cao_VH!$A$2:$H$3882</definedName>
    <definedName name="Z_8BB24824_E53C_4439_B268_56ED03BADEE0_.wvu.FilterData" localSheetId="3" hidden="1">SL_Control!$A$2:$H$1420</definedName>
    <definedName name="Z_8BF66FB7_5BC9_40EA_BEE1_901E55DDDF7D_.wvu.FilterData" localSheetId="2" hidden="1">AN_Control!$A$2:$H$2081</definedName>
    <definedName name="Z_8BF66FB7_5BC9_40EA_BEE1_901E55DDDF7D_.wvu.FilterData" localSheetId="4" hidden="1">Bao_Cao!$A$2:$H$2081</definedName>
    <definedName name="Z_8BF66FB7_5BC9_40EA_BEE1_901E55DDDF7D_.wvu.FilterData" localSheetId="5" hidden="1">Bao_Cao_AT!$A$2:$H$2081</definedName>
    <definedName name="Z_8BF66FB7_5BC9_40EA_BEE1_901E55DDDF7D_.wvu.FilterData" localSheetId="6" hidden="1">Bao_Cao_VH!$A$2:$H$2081</definedName>
    <definedName name="Z_8C5647F4_400A_41F7_B10A_FF55AD0BF172_.wvu.FilterData" localSheetId="3" hidden="1">SL_Control!$A$2:$H$966</definedName>
    <definedName name="Z_8CD30FB5_6F51_4DE5_AD5C_7F7C1A7D04D6_.wvu.FilterData" localSheetId="2" hidden="1">AN_Control!$A$2:$H$4128</definedName>
    <definedName name="Z_8CD30FB5_6F51_4DE5_AD5C_7F7C1A7D04D6_.wvu.FilterData" localSheetId="4" hidden="1">Bao_Cao!$A$2:$H$3882</definedName>
    <definedName name="Z_8CD30FB5_6F51_4DE5_AD5C_7F7C1A7D04D6_.wvu.FilterData" localSheetId="5" hidden="1">Bao_Cao_AT!$A$2:$H$3882</definedName>
    <definedName name="Z_8CD30FB5_6F51_4DE5_AD5C_7F7C1A7D04D6_.wvu.FilterData" localSheetId="6" hidden="1">Bao_Cao_VH!$A$2:$H$3882</definedName>
    <definedName name="Z_8CD30FB5_6F51_4DE5_AD5C_7F7C1A7D04D6_.wvu.FilterData" localSheetId="3" hidden="1">SL_Control!$A$2:$H$1014</definedName>
    <definedName name="Z_8CF29158_741B_4273_966A_79ADE8045F0B_.wvu.FilterData" localSheetId="2" hidden="1">AN_Control!$A$2:$H$1420</definedName>
    <definedName name="Z_8CF29158_741B_4273_966A_79ADE8045F0B_.wvu.FilterData" localSheetId="4" hidden="1">Bao_Cao!$A$2:$H$1420</definedName>
    <definedName name="Z_8CF29158_741B_4273_966A_79ADE8045F0B_.wvu.FilterData" localSheetId="5" hidden="1">Bao_Cao_AT!$A$2:$H$1420</definedName>
    <definedName name="Z_8CF29158_741B_4273_966A_79ADE8045F0B_.wvu.FilterData" localSheetId="6" hidden="1">Bao_Cao_VH!$A$2:$H$1420</definedName>
    <definedName name="Z_8D817767_DAC7_4985_9301_29DAAEBE066F_.wvu.FilterData" localSheetId="2" hidden="1">AN_Control!$A$2:$H$5453</definedName>
    <definedName name="Z_8D817767_DAC7_4985_9301_29DAAEBE066F_.wvu.FilterData" localSheetId="3" hidden="1">SL_Control!$A$2:$H$1403</definedName>
    <definedName name="Z_8D8D1BFF_FB05_4C5F_84FF_70E0F89E3014_.wvu.FilterData" localSheetId="2" hidden="1">AN_Control!$A$2:$H$2679</definedName>
    <definedName name="Z_8D8D1BFF_FB05_4C5F_84FF_70E0F89E3014_.wvu.FilterData" localSheetId="4" hidden="1">Bao_Cao!$A$2:$H$2680</definedName>
    <definedName name="Z_8D8D1BFF_FB05_4C5F_84FF_70E0F89E3014_.wvu.FilterData" localSheetId="5" hidden="1">Bao_Cao_AT!$A$2:$H$2680</definedName>
    <definedName name="Z_8D8D1BFF_FB05_4C5F_84FF_70E0F89E3014_.wvu.FilterData" localSheetId="6" hidden="1">Bao_Cao_VH!$A$2:$H$2680</definedName>
    <definedName name="Z_8DA8B1EC_28F8_45B3_BAFB_08C7020772BA_.wvu.FilterData" localSheetId="2" hidden="1">AN_Control!$A$2:$H$3849</definedName>
    <definedName name="Z_8DA8B1EC_28F8_45B3_BAFB_08C7020772BA_.wvu.FilterData" localSheetId="4" hidden="1">Bao_Cao!$A$2:$H$3851</definedName>
    <definedName name="Z_8DA8B1EC_28F8_45B3_BAFB_08C7020772BA_.wvu.FilterData" localSheetId="5" hidden="1">Bao_Cao_AT!$A$2:$H$3851</definedName>
    <definedName name="Z_8DA8B1EC_28F8_45B3_BAFB_08C7020772BA_.wvu.FilterData" localSheetId="6" hidden="1">Bao_Cao_VH!$A$2:$H$3851</definedName>
    <definedName name="Z_8DC6B409_6FC9_4FEA_B8C1_103F2C1FC570_.wvu.FilterData" localSheetId="3" hidden="1">SL_Control!$A$2:$H$949</definedName>
    <definedName name="Z_8DD89FED_9D6F_472B_AD88_A5F681440CED_.wvu.FilterData" localSheetId="2" hidden="1">AN_Control!$A$2:$H$4049</definedName>
    <definedName name="Z_8DD89FED_9D6F_472B_AD88_A5F681440CED_.wvu.FilterData" localSheetId="3" hidden="1">SL_Control!$A$2:$H$982</definedName>
    <definedName name="Z_8F8CC043_AEF1_4818_B4E9_602A737F6C1A_.wvu.FilterData" localSheetId="2" hidden="1">AN_Control!$A$2:$H$5604</definedName>
    <definedName name="Z_8F8CC043_AEF1_4818_B4E9_602A737F6C1A_.wvu.FilterData" localSheetId="4" hidden="1">Bao_Cao!$A$2:$H$3882</definedName>
    <definedName name="Z_8F8CC043_AEF1_4818_B4E9_602A737F6C1A_.wvu.FilterData" localSheetId="5" hidden="1">Bao_Cao_AT!$A$2:$H$3882</definedName>
    <definedName name="Z_8F8CC043_AEF1_4818_B4E9_602A737F6C1A_.wvu.FilterData" localSheetId="6" hidden="1">Bao_Cao_VH!$A$2:$H$3882</definedName>
    <definedName name="Z_8F98F778_2150_40FD_BFD6_1D44DD3AE8EC_.wvu.FilterData" localSheetId="2" hidden="1">AN_Control!$A$2:$H$748</definedName>
    <definedName name="Z_8F98F778_2150_40FD_BFD6_1D44DD3AE8EC_.wvu.FilterData" localSheetId="4" hidden="1">Bao_Cao!$A$2:$H$748</definedName>
    <definedName name="Z_8F98F778_2150_40FD_BFD6_1D44DD3AE8EC_.wvu.FilterData" localSheetId="5" hidden="1">Bao_Cao_AT!$A$2:$H$748</definedName>
    <definedName name="Z_8F98F778_2150_40FD_BFD6_1D44DD3AE8EC_.wvu.FilterData" localSheetId="6" hidden="1">Bao_Cao_VH!$A$2:$H$748</definedName>
    <definedName name="Z_8FB05AEE_9FC3_42F2_A6C9_F309FBEF33AD_.wvu.FilterData" localSheetId="2" hidden="1">AN_Control!$A$2:$H$2875</definedName>
    <definedName name="Z_8FB05AEE_9FC3_42F2_A6C9_F309FBEF33AD_.wvu.FilterData" localSheetId="4" hidden="1">Bao_Cao!$A$2:$H$2876</definedName>
    <definedName name="Z_8FB05AEE_9FC3_42F2_A6C9_F309FBEF33AD_.wvu.FilterData" localSheetId="5" hidden="1">Bao_Cao_AT!$A$2:$H$2876</definedName>
    <definedName name="Z_8FB05AEE_9FC3_42F2_A6C9_F309FBEF33AD_.wvu.FilterData" localSheetId="6" hidden="1">Bao_Cao_VH!$A$2:$H$2876</definedName>
    <definedName name="Z_8FFFF987_0251_44F2_870D_83BE018B20BC_.wvu.FilterData" localSheetId="2" hidden="1">AN_Control!$A$2:$H$1369</definedName>
    <definedName name="Z_8FFFF987_0251_44F2_870D_83BE018B20BC_.wvu.FilterData" localSheetId="4" hidden="1">Bao_Cao!$A$2:$H$1369</definedName>
    <definedName name="Z_8FFFF987_0251_44F2_870D_83BE018B20BC_.wvu.FilterData" localSheetId="5" hidden="1">Bao_Cao_AT!$A$2:$H$1369</definedName>
    <definedName name="Z_8FFFF987_0251_44F2_870D_83BE018B20BC_.wvu.FilterData" localSheetId="6" hidden="1">Bao_Cao_VH!$A$2:$H$1369</definedName>
    <definedName name="Z_90F65324_36CF_48A4_9DCB_279C9C99DEE7_.wvu.FilterData" localSheetId="2" hidden="1">AN_Control!$A$2:$H$1574</definedName>
    <definedName name="Z_90F65324_36CF_48A4_9DCB_279C9C99DEE7_.wvu.FilterData" localSheetId="4" hidden="1">Bao_Cao!$A$2:$H$1574</definedName>
    <definedName name="Z_90F65324_36CF_48A4_9DCB_279C9C99DEE7_.wvu.FilterData" localSheetId="5" hidden="1">Bao_Cao_AT!$A$2:$H$1574</definedName>
    <definedName name="Z_90F65324_36CF_48A4_9DCB_279C9C99DEE7_.wvu.FilterData" localSheetId="6" hidden="1">Bao_Cao_VH!$A$2:$H$1574</definedName>
    <definedName name="Z_90F65324_36CF_48A4_9DCB_279C9C99DEE7_.wvu.FilterData" localSheetId="3" hidden="1">SL_Control!$A$2:$H$399</definedName>
    <definedName name="Z_91D1D120_E718_4801_97CF_6FDE75BA84D0_.wvu.FilterData" localSheetId="2" hidden="1">AN_Control!$A$2:$H$3177</definedName>
    <definedName name="Z_91D1D120_E718_4801_97CF_6FDE75BA84D0_.wvu.FilterData" localSheetId="4" hidden="1">Bao_Cao!$A$2:$H$3178</definedName>
    <definedName name="Z_91D1D120_E718_4801_97CF_6FDE75BA84D0_.wvu.FilterData" localSheetId="5" hidden="1">Bao_Cao_AT!$A$2:$H$3178</definedName>
    <definedName name="Z_91D1D120_E718_4801_97CF_6FDE75BA84D0_.wvu.FilterData" localSheetId="6" hidden="1">Bao_Cao_VH!$A$2:$H$3178</definedName>
    <definedName name="Z_91D1D120_E718_4801_97CF_6FDE75BA84D0_.wvu.FilterData" localSheetId="3" hidden="1">SL_Control!$A$2:$H$725</definedName>
    <definedName name="Z_922FED38_1A2C_4A21_BFDD_D64A508FE8EA_.wvu.FilterData" localSheetId="2" hidden="1">AN_Control!$A$2:$H$2487</definedName>
    <definedName name="Z_922FED38_1A2C_4A21_BFDD_D64A508FE8EA_.wvu.FilterData" localSheetId="4" hidden="1">Bao_Cao!$A$2:$H$2488</definedName>
    <definedName name="Z_922FED38_1A2C_4A21_BFDD_D64A508FE8EA_.wvu.FilterData" localSheetId="5" hidden="1">Bao_Cao_AT!$A$2:$H$2488</definedName>
    <definedName name="Z_922FED38_1A2C_4A21_BFDD_D64A508FE8EA_.wvu.FilterData" localSheetId="6" hidden="1">Bao_Cao_VH!$A$2:$H$2488</definedName>
    <definedName name="Z_92643DCF_8AEB_4BDA_9A90_3223F6B9147B_.wvu.FilterData" localSheetId="2" hidden="1">AN_Control!$A$2:$H$3213</definedName>
    <definedName name="Z_92643DCF_8AEB_4BDA_9A90_3223F6B9147B_.wvu.FilterData" localSheetId="4" hidden="1">Bao_Cao!$A$2:$H$3214</definedName>
    <definedName name="Z_92643DCF_8AEB_4BDA_9A90_3223F6B9147B_.wvu.FilterData" localSheetId="5" hidden="1">Bao_Cao_AT!$A$2:$H$3214</definedName>
    <definedName name="Z_92643DCF_8AEB_4BDA_9A90_3223F6B9147B_.wvu.FilterData" localSheetId="6" hidden="1">Bao_Cao_VH!$A$2:$H$3214</definedName>
    <definedName name="Z_92643DCF_8AEB_4BDA_9A90_3223F6B9147B_.wvu.FilterData" localSheetId="3" hidden="1">SL_Control!$A$2:$H$730</definedName>
    <definedName name="Z_926D31B2_9765_4AB9_9E3D_FC739346D622_.wvu.FilterData" localSheetId="2" hidden="1">AN_Control!$A$2:$H$4434</definedName>
    <definedName name="Z_926D31B2_9765_4AB9_9E3D_FC739346D622_.wvu.FilterData" localSheetId="4" hidden="1">Bao_Cao!$A$2:$H$3882</definedName>
    <definedName name="Z_926D31B2_9765_4AB9_9E3D_FC739346D622_.wvu.FilterData" localSheetId="5" hidden="1">Bao_Cao_AT!$A$2:$H$3882</definedName>
    <definedName name="Z_926D31B2_9765_4AB9_9E3D_FC739346D622_.wvu.FilterData" localSheetId="6" hidden="1">Bao_Cao_VH!$A$2:$H$3882</definedName>
    <definedName name="Z_926D31B2_9765_4AB9_9E3D_FC739346D622_.wvu.FilterData" localSheetId="3" hidden="1">SL_Control!$A$2:$H$1090</definedName>
    <definedName name="Z_92A30156_F5F3_4992_BD22_AD5D664F793C_.wvu.FilterData" localSheetId="2" hidden="1">AN_Control!$A$2:$H$612</definedName>
    <definedName name="Z_92A30156_F5F3_4992_BD22_AD5D664F793C_.wvu.FilterData" localSheetId="4" hidden="1">Bao_Cao!$A$2:$H$612</definedName>
    <definedName name="Z_92A30156_F5F3_4992_BD22_AD5D664F793C_.wvu.FilterData" localSheetId="5" hidden="1">Bao_Cao_AT!$A$2:$H$612</definedName>
    <definedName name="Z_92A30156_F5F3_4992_BD22_AD5D664F793C_.wvu.FilterData" localSheetId="6" hidden="1">Bao_Cao_VH!$A$2:$H$612</definedName>
    <definedName name="Z_92AF7D58_C8E1_4CAB_A618_32480E438563_.wvu.FilterData" localSheetId="2" hidden="1">AN_Control!$A$2:$H$5371</definedName>
    <definedName name="Z_92AF7D58_C8E1_4CAB_A618_32480E438563_.wvu.FilterData" localSheetId="4" hidden="1">Bao_Cao!$A$2:$H$3882</definedName>
    <definedName name="Z_92AF7D58_C8E1_4CAB_A618_32480E438563_.wvu.FilterData" localSheetId="5" hidden="1">Bao_Cao_AT!$A$2:$H$3882</definedName>
    <definedName name="Z_92AF7D58_C8E1_4CAB_A618_32480E438563_.wvu.FilterData" localSheetId="6" hidden="1">Bao_Cao_VH!$A$2:$H$3882</definedName>
    <definedName name="Z_92C43A9C_640A_4162_8C6C_0EF8D8C199E2_.wvu.FilterData" localSheetId="4" hidden="1">Bao_Cao!$A$2:$H$3882</definedName>
    <definedName name="Z_92C43A9C_640A_4162_8C6C_0EF8D8C199E2_.wvu.FilterData" localSheetId="5" hidden="1">Bao_Cao_AT!$A$2:$H$3882</definedName>
    <definedName name="Z_92C43A9C_640A_4162_8C6C_0EF8D8C199E2_.wvu.FilterData" localSheetId="6" hidden="1">Bao_Cao_VH!$A$2:$H$3882</definedName>
    <definedName name="Z_9321BFBB_2274_4A2A_ADAD_1D6A80195915_.wvu.FilterData" localSheetId="2" hidden="1">AN_Control!$A$2:$H$866</definedName>
    <definedName name="Z_9321BFBB_2274_4A2A_ADAD_1D6A80195915_.wvu.FilterData" localSheetId="4" hidden="1">Bao_Cao!$A$2:$H$866</definedName>
    <definedName name="Z_9321BFBB_2274_4A2A_ADAD_1D6A80195915_.wvu.FilterData" localSheetId="5" hidden="1">Bao_Cao_AT!$A$2:$H$866</definedName>
    <definedName name="Z_9321BFBB_2274_4A2A_ADAD_1D6A80195915_.wvu.FilterData" localSheetId="6" hidden="1">Bao_Cao_VH!$A$2:$H$866</definedName>
    <definedName name="Z_932A44D8_CDEF_4658_82E4_5151754950E6_.wvu.FilterData" localSheetId="3" hidden="1">SL_Control!$A$2:$H$1397</definedName>
    <definedName name="Z_934F41C9_A6A6_4815_92DE_2A522618AD8D_.wvu.FilterData" localSheetId="2" hidden="1">AN_Control!$A$2:$H$1988</definedName>
    <definedName name="Z_934F41C9_A6A6_4815_92DE_2A522618AD8D_.wvu.FilterData" localSheetId="4" hidden="1">Bao_Cao!$A$2:$H$1988</definedName>
    <definedName name="Z_934F41C9_A6A6_4815_92DE_2A522618AD8D_.wvu.FilterData" localSheetId="5" hidden="1">Bao_Cao_AT!$A$2:$H$1988</definedName>
    <definedName name="Z_934F41C9_A6A6_4815_92DE_2A522618AD8D_.wvu.FilterData" localSheetId="6" hidden="1">Bao_Cao_VH!$A$2:$H$1988</definedName>
    <definedName name="Z_935E1D7E_8B91_4E56_AE13_346220E25A24_.wvu.FilterData" localSheetId="3" hidden="1">SL_Control!$A$2:$H$968</definedName>
    <definedName name="Z_93FDD5D4_75AB_4CEF_B018_361BCB66EBBB_.wvu.FilterData" localSheetId="2" hidden="1">AN_Control!$A$2:$H$4377</definedName>
    <definedName name="Z_93FDD5D4_75AB_4CEF_B018_361BCB66EBBB_.wvu.FilterData" localSheetId="4" hidden="1">Bao_Cao!$A$2:$H$3882</definedName>
    <definedName name="Z_93FDD5D4_75AB_4CEF_B018_361BCB66EBBB_.wvu.FilterData" localSheetId="5" hidden="1">Bao_Cao_AT!$A$2:$H$3882</definedName>
    <definedName name="Z_93FDD5D4_75AB_4CEF_B018_361BCB66EBBB_.wvu.FilterData" localSheetId="6" hidden="1">Bao_Cao_VH!$A$2:$H$3882</definedName>
    <definedName name="Z_93FDD5D4_75AB_4CEF_B018_361BCB66EBBB_.wvu.FilterData" localSheetId="3" hidden="1">SL_Control!$A$2:$H$1072</definedName>
    <definedName name="Z_94001FBF_DAF2_4D4C_ADE6_C5D0E377BD6B_.wvu.FilterData" localSheetId="2" hidden="1">AN_Control!$A$2:$H$2402</definedName>
    <definedName name="Z_94001FBF_DAF2_4D4C_ADE6_C5D0E377BD6B_.wvu.FilterData" localSheetId="4" hidden="1">Bao_Cao!$A$2:$H$2402</definedName>
    <definedName name="Z_94001FBF_DAF2_4D4C_ADE6_C5D0E377BD6B_.wvu.FilterData" localSheetId="5" hidden="1">Bao_Cao_AT!$A$2:$H$2402</definedName>
    <definedName name="Z_94001FBF_DAF2_4D4C_ADE6_C5D0E377BD6B_.wvu.FilterData" localSheetId="6" hidden="1">Bao_Cao_VH!$A$2:$H$2402</definedName>
    <definedName name="Z_94165AE5_473F_4C5D_9716_7F64879B433F_.wvu.FilterData" localSheetId="2" hidden="1">AN_Control!$A$2:$H$4319</definedName>
    <definedName name="Z_94165AE5_473F_4C5D_9716_7F64879B433F_.wvu.FilterData" localSheetId="4" hidden="1">Bao_Cao!$A$2:$H$3882</definedName>
    <definedName name="Z_94165AE5_473F_4C5D_9716_7F64879B433F_.wvu.FilterData" localSheetId="5" hidden="1">Bao_Cao_AT!$A$2:$H$3882</definedName>
    <definedName name="Z_94165AE5_473F_4C5D_9716_7F64879B433F_.wvu.FilterData" localSheetId="6" hidden="1">Bao_Cao_VH!$A$2:$H$3882</definedName>
    <definedName name="Z_94165AE5_473F_4C5D_9716_7F64879B433F_.wvu.FilterData" localSheetId="3" hidden="1">SL_Control!$A$2:$H$1059</definedName>
    <definedName name="Z_948FFFD0_162A_4CD2_A372_CD5A8477C09F_.wvu.FilterData" localSheetId="2" hidden="1">AN_Control!$A$2:$H$5556</definedName>
    <definedName name="Z_948FFFD0_162A_4CD2_A372_CD5A8477C09F_.wvu.FilterData" localSheetId="4" hidden="1">Bao_Cao!$A$2:$H$3882</definedName>
    <definedName name="Z_948FFFD0_162A_4CD2_A372_CD5A8477C09F_.wvu.FilterData" localSheetId="5" hidden="1">Bao_Cao_AT!$A$2:$H$3882</definedName>
    <definedName name="Z_948FFFD0_162A_4CD2_A372_CD5A8477C09F_.wvu.FilterData" localSheetId="6" hidden="1">Bao_Cao_VH!$A$2:$H$3882</definedName>
    <definedName name="Z_94E8C668_FC4E_49A5_A836_2BC009E0FD8F_.wvu.FilterData" localSheetId="2" hidden="1">AN_Control!$A$2:$H$2174</definedName>
    <definedName name="Z_94E8C668_FC4E_49A5_A836_2BC009E0FD8F_.wvu.FilterData" localSheetId="4" hidden="1">Bao_Cao!$A$2:$H$2174</definedName>
    <definedName name="Z_94E8C668_FC4E_49A5_A836_2BC009E0FD8F_.wvu.FilterData" localSheetId="5" hidden="1">Bao_Cao_AT!$A$2:$H$2174</definedName>
    <definedName name="Z_94E8C668_FC4E_49A5_A836_2BC009E0FD8F_.wvu.FilterData" localSheetId="6" hidden="1">Bao_Cao_VH!$A$2:$H$2174</definedName>
    <definedName name="Z_9535A5E4_DF90_442E_9492_D09ED8FCEE2D_.wvu.FilterData" localSheetId="2" hidden="1">AN_Control!$A$2:$H$2846</definedName>
    <definedName name="Z_9535A5E4_DF90_442E_9492_D09ED8FCEE2D_.wvu.FilterData" localSheetId="4" hidden="1">Bao_Cao!$A$2:$H$2847</definedName>
    <definedName name="Z_9535A5E4_DF90_442E_9492_D09ED8FCEE2D_.wvu.FilterData" localSheetId="5" hidden="1">Bao_Cao_AT!$A$2:$H$2847</definedName>
    <definedName name="Z_9535A5E4_DF90_442E_9492_D09ED8FCEE2D_.wvu.FilterData" localSheetId="6" hidden="1">Bao_Cao_VH!$A$2:$H$2847</definedName>
    <definedName name="Z_95941D8F_C079_499E_B030_4E94913F6707_.wvu.FilterData" localSheetId="3" hidden="1">SL_Control!$A$2:$H$1183</definedName>
    <definedName name="Z_959D851A_04EE_4685_BA9C_255B1128766B_.wvu.FilterData" localSheetId="2" hidden="1">AN_Control!$A$2:$H$1201</definedName>
    <definedName name="Z_959D851A_04EE_4685_BA9C_255B1128766B_.wvu.FilterData" localSheetId="4" hidden="1">Bao_Cao!$A$2:$H$1201</definedName>
    <definedName name="Z_959D851A_04EE_4685_BA9C_255B1128766B_.wvu.FilterData" localSheetId="5" hidden="1">Bao_Cao_AT!$A$2:$H$1201</definedName>
    <definedName name="Z_959D851A_04EE_4685_BA9C_255B1128766B_.wvu.FilterData" localSheetId="6" hidden="1">Bao_Cao_VH!$A$2:$H$1201</definedName>
    <definedName name="Z_959D851A_04EE_4685_BA9C_255B1128766B_.wvu.FilterData" localSheetId="3" hidden="1">SL_Control!$A$2:$H$324</definedName>
    <definedName name="Z_96037BD1_87A0_4478_B2FD_F5E094A56A5A_.wvu.FilterData" localSheetId="3" hidden="1">SL_Control!$A$2:$H$145</definedName>
    <definedName name="Z_96DADC46_E1B7_443F_AA72_80A2FB1BB2D6_.wvu.FilterData" localSheetId="3" hidden="1">SL_Control!$A$2:$H$923</definedName>
    <definedName name="Z_9785B85E_9F91_431C_A5F7_A13062C48B40_.wvu.FilterData" localSheetId="4" hidden="1">Bao_Cao!$A$2:$H$3882</definedName>
    <definedName name="Z_9785B85E_9F91_431C_A5F7_A13062C48B40_.wvu.FilterData" localSheetId="5" hidden="1">Bao_Cao_AT!$A$2:$H$3882</definedName>
    <definedName name="Z_9785B85E_9F91_431C_A5F7_A13062C48B40_.wvu.FilterData" localSheetId="6" hidden="1">Bao_Cao_VH!$A$2:$H$3882</definedName>
    <definedName name="Z_9785B85E_9F91_431C_A5F7_A13062C48B40_.wvu.FilterData" localSheetId="3" hidden="1">SL_Control!$A$2:$H$1171</definedName>
    <definedName name="Z_978C5416_8A5B_4F3B_BCFF_4778288E3848_.wvu.FilterData" localSheetId="3" hidden="1">SL_Control!$A$2:$H$520</definedName>
    <definedName name="Z_97BFCB82_01CA_419F_BAF4_0F118B918BDB_.wvu.FilterData" localSheetId="4" hidden="1">Bao_Cao!$A$2:$H$3882</definedName>
    <definedName name="Z_97BFCB82_01CA_419F_BAF4_0F118B918BDB_.wvu.FilterData" localSheetId="5" hidden="1">Bao_Cao_AT!$A$2:$H$3882</definedName>
    <definedName name="Z_97BFCB82_01CA_419F_BAF4_0F118B918BDB_.wvu.FilterData" localSheetId="6" hidden="1">Bao_Cao_VH!$A$2:$H$3882</definedName>
    <definedName name="Z_97BFCB82_01CA_419F_BAF4_0F118B918BDB_.wvu.FilterData" localSheetId="3" hidden="1">SL_Control!$A$2:$H$1383</definedName>
    <definedName name="Z_97F1F4D7_7878_4F94_950F_6610227A56B6_.wvu.FilterData" localSheetId="2" hidden="1">AN_Control!$A$2:$H$4172</definedName>
    <definedName name="Z_983B6720_E045_499C_97C9_57B66861329E_.wvu.FilterData" localSheetId="2" hidden="1">AN_Control!$A$2:$H$3752</definedName>
    <definedName name="Z_983B6720_E045_499C_97C9_57B66861329E_.wvu.FilterData" localSheetId="4" hidden="1">Bao_Cao!$A$2:$H$3754</definedName>
    <definedName name="Z_983B6720_E045_499C_97C9_57B66861329E_.wvu.FilterData" localSheetId="5" hidden="1">Bao_Cao_AT!$A$2:$H$3754</definedName>
    <definedName name="Z_983B6720_E045_499C_97C9_57B66861329E_.wvu.FilterData" localSheetId="6" hidden="1">Bao_Cao_VH!$A$2:$H$3754</definedName>
    <definedName name="Z_983B6720_E045_499C_97C9_57B66861329E_.wvu.FilterData" localSheetId="3" hidden="1">SL_Control!$A$2:$H$898</definedName>
    <definedName name="Z_99A2EA5E_D2CE_43F1_AD3F_AE20076A57A7_.wvu.FilterData" localSheetId="3" hidden="1">SL_Control!$A$2:$H$849</definedName>
    <definedName name="Z_99ABEE47_345F_4218_9B1D_1903AAFFAFF1_.wvu.FilterData" localSheetId="2" hidden="1">AN_Control!$A$2:$H$4517</definedName>
    <definedName name="Z_99ABEE47_345F_4218_9B1D_1903AAFFAFF1_.wvu.FilterData" localSheetId="4" hidden="1">Bao_Cao!$A$2:$H$3882</definedName>
    <definedName name="Z_99ABEE47_345F_4218_9B1D_1903AAFFAFF1_.wvu.FilterData" localSheetId="5" hidden="1">Bao_Cao_AT!$A$2:$H$3882</definedName>
    <definedName name="Z_99ABEE47_345F_4218_9B1D_1903AAFFAFF1_.wvu.FilterData" localSheetId="6" hidden="1">Bao_Cao_VH!$A$2:$H$3882</definedName>
    <definedName name="Z_9AA43677_FD60_452F_868D_0B536A077AF4_.wvu.FilterData" localSheetId="2" hidden="1">AN_Control!$A$2:$H$2346</definedName>
    <definedName name="Z_9AA43677_FD60_452F_868D_0B536A077AF4_.wvu.FilterData" localSheetId="4" hidden="1">Bao_Cao!$A$2:$H$2346</definedName>
    <definedName name="Z_9AA43677_FD60_452F_868D_0B536A077AF4_.wvu.FilterData" localSheetId="5" hidden="1">Bao_Cao_AT!$A$2:$H$2346</definedName>
    <definedName name="Z_9AA43677_FD60_452F_868D_0B536A077AF4_.wvu.FilterData" localSheetId="6" hidden="1">Bao_Cao_VH!$A$2:$H$2346</definedName>
    <definedName name="Z_9B1269C0_B40A_4E8A_84BC_C7124B0F8016_.wvu.FilterData" localSheetId="2" hidden="1">AN_Control!$A$2:$H$1525</definedName>
    <definedName name="Z_9B1269C0_B40A_4E8A_84BC_C7124B0F8016_.wvu.FilterData" localSheetId="4" hidden="1">Bao_Cao!$A$2:$H$1525</definedName>
    <definedName name="Z_9B1269C0_B40A_4E8A_84BC_C7124B0F8016_.wvu.FilterData" localSheetId="5" hidden="1">Bao_Cao_AT!$A$2:$H$1525</definedName>
    <definedName name="Z_9B1269C0_B40A_4E8A_84BC_C7124B0F8016_.wvu.FilterData" localSheetId="6" hidden="1">Bao_Cao_VH!$A$2:$H$1525</definedName>
    <definedName name="Z_9BEF6F4A_6441_45A4_B400_C91C75E0C730_.wvu.FilterData" localSheetId="2" hidden="1">AN_Control!$A$2:$H$1254</definedName>
    <definedName name="Z_9BEF6F4A_6441_45A4_B400_C91C75E0C730_.wvu.FilterData" localSheetId="4" hidden="1">Bao_Cao!$A$2:$H$1254</definedName>
    <definedName name="Z_9BEF6F4A_6441_45A4_B400_C91C75E0C730_.wvu.FilterData" localSheetId="5" hidden="1">Bao_Cao_AT!$A$2:$H$1254</definedName>
    <definedName name="Z_9BEF6F4A_6441_45A4_B400_C91C75E0C730_.wvu.FilterData" localSheetId="6" hidden="1">Bao_Cao_VH!$A$2:$H$1254</definedName>
    <definedName name="Z_9BEF6F4A_6441_45A4_B400_C91C75E0C730_.wvu.FilterData" localSheetId="3" hidden="1">SL_Control!$A$2:$H$346</definedName>
    <definedName name="Z_9C09C5A9_D72E_4F30_A1F5_0FED70EE3007_.wvu.FilterData" localSheetId="2" hidden="1">AN_Control!$A$2:$H$3928</definedName>
    <definedName name="Z_9C09C5A9_D72E_4F30_A1F5_0FED70EE3007_.wvu.FilterData" localSheetId="4" hidden="1">Bao_Cao!$A$2:$H$3882</definedName>
    <definedName name="Z_9C09C5A9_D72E_4F30_A1F5_0FED70EE3007_.wvu.FilterData" localSheetId="5" hidden="1">Bao_Cao_AT!$A$2:$H$3882</definedName>
    <definedName name="Z_9C09C5A9_D72E_4F30_A1F5_0FED70EE3007_.wvu.FilterData" localSheetId="6" hidden="1">Bao_Cao_VH!$A$2:$H$3882</definedName>
    <definedName name="Z_9C42FA63_D7CD_41DE_BBE3_3733DFFA0EFD_.wvu.FilterData" localSheetId="2" hidden="1">AN_Control!$A$2:$H$4223</definedName>
    <definedName name="Z_9CE809C8_507E_4933_95BE_A16BAD0092ED_.wvu.FilterData" localSheetId="2" hidden="1">AN_Control!$A$2:$H$1380</definedName>
    <definedName name="Z_9CE809C8_507E_4933_95BE_A16BAD0092ED_.wvu.FilterData" localSheetId="4" hidden="1">Bao_Cao!$A$2:$H$1380</definedName>
    <definedName name="Z_9CE809C8_507E_4933_95BE_A16BAD0092ED_.wvu.FilterData" localSheetId="5" hidden="1">Bao_Cao_AT!$A$2:$H$1380</definedName>
    <definedName name="Z_9CE809C8_507E_4933_95BE_A16BAD0092ED_.wvu.FilterData" localSheetId="6" hidden="1">Bao_Cao_VH!$A$2:$H$1380</definedName>
    <definedName name="Z_9D04CCC5_83DB_4D62_B0D4_1F4056CC7BBE_.wvu.FilterData" localSheetId="3" hidden="1">SL_Control!$A$2:$H$1208</definedName>
    <definedName name="Z_9D0949E8_D28C_423D_9E7E_58D87C5F7EEA_.wvu.FilterData" localSheetId="2" hidden="1">AN_Control!$A$2:$H$4141</definedName>
    <definedName name="Z_9D0949E8_D28C_423D_9E7E_58D87C5F7EEA_.wvu.FilterData" localSheetId="4" hidden="1">Bao_Cao!$A$2:$H$3882</definedName>
    <definedName name="Z_9D0949E8_D28C_423D_9E7E_58D87C5F7EEA_.wvu.FilterData" localSheetId="5" hidden="1">Bao_Cao_AT!$A$2:$H$3882</definedName>
    <definedName name="Z_9D0949E8_D28C_423D_9E7E_58D87C5F7EEA_.wvu.FilterData" localSheetId="6" hidden="1">Bao_Cao_VH!$A$2:$H$3882</definedName>
    <definedName name="Z_9D0949E8_D28C_423D_9E7E_58D87C5F7EEA_.wvu.FilterData" localSheetId="3" hidden="1">SL_Control!$A$2:$H$1018</definedName>
    <definedName name="Z_9D1E6A5D_431A_4AD0_AA0C_45DFE27EC161_.wvu.FilterData" localSheetId="2" hidden="1">AN_Control!$A$2:$H$1218</definedName>
    <definedName name="Z_9D1E6A5D_431A_4AD0_AA0C_45DFE27EC161_.wvu.FilterData" localSheetId="4" hidden="1">Bao_Cao!$A$2:$H$1218</definedName>
    <definedName name="Z_9D1E6A5D_431A_4AD0_AA0C_45DFE27EC161_.wvu.FilterData" localSheetId="5" hidden="1">Bao_Cao_AT!$A$2:$H$1218</definedName>
    <definedName name="Z_9D1E6A5D_431A_4AD0_AA0C_45DFE27EC161_.wvu.FilterData" localSheetId="6" hidden="1">Bao_Cao_VH!$A$2:$H$1218</definedName>
    <definedName name="Z_9D1E6A5D_431A_4AD0_AA0C_45DFE27EC161_.wvu.FilterData" localSheetId="3" hidden="1">SL_Control!$A$2:$H$334</definedName>
    <definedName name="Z_9D47674F_FAB3_4F48_B0EC_C3E292D8B94D_.wvu.FilterData" localSheetId="2" hidden="1">AN_Control!$A$2:$H$558</definedName>
    <definedName name="Z_9D47674F_FAB3_4F48_B0EC_C3E292D8B94D_.wvu.FilterData" localSheetId="4" hidden="1">Bao_Cao!$A$2:$H$558</definedName>
    <definedName name="Z_9D47674F_FAB3_4F48_B0EC_C3E292D8B94D_.wvu.FilterData" localSheetId="5" hidden="1">Bao_Cao_AT!$A$2:$H$558</definedName>
    <definedName name="Z_9D47674F_FAB3_4F48_B0EC_C3E292D8B94D_.wvu.FilterData" localSheetId="6" hidden="1">Bao_Cao_VH!$A$2:$H$558</definedName>
    <definedName name="Z_9FF44595_F58E_4DDC_9F02_E1E1466FC35A_.wvu.FilterData" localSheetId="3" hidden="1">SL_Control!$A$2:$H$629</definedName>
    <definedName name="Z_A0445088_06A3_40DE_B201_28941402D033_.wvu.FilterData" localSheetId="2" hidden="1">AN_Control!$A$2:$H$5648</definedName>
    <definedName name="Z_A0445088_06A3_40DE_B201_28941402D033_.wvu.FilterData" localSheetId="4" hidden="1">Bao_Cao!$A$2:$H$3882</definedName>
    <definedName name="Z_A0445088_06A3_40DE_B201_28941402D033_.wvu.FilterData" localSheetId="5" hidden="1">Bao_Cao_AT!$A$2:$H$3882</definedName>
    <definedName name="Z_A0445088_06A3_40DE_B201_28941402D033_.wvu.FilterData" localSheetId="6" hidden="1">Bao_Cao_VH!$A$2:$H$3882</definedName>
    <definedName name="Z_A08FBAAA_AFC5_45D7_B654_2DB692589149_.wvu.FilterData" localSheetId="2" hidden="1">AN_Control!$A$2:$H$1339</definedName>
    <definedName name="Z_A08FBAAA_AFC5_45D7_B654_2DB692589149_.wvu.FilterData" localSheetId="4" hidden="1">Bao_Cao!$A$2:$H$1339</definedName>
    <definedName name="Z_A08FBAAA_AFC5_45D7_B654_2DB692589149_.wvu.FilterData" localSheetId="5" hidden="1">Bao_Cao_AT!$A$2:$H$1339</definedName>
    <definedName name="Z_A08FBAAA_AFC5_45D7_B654_2DB692589149_.wvu.FilterData" localSheetId="6" hidden="1">Bao_Cao_VH!$A$2:$H$1339</definedName>
    <definedName name="Z_A091FA50_BD9D_42F2_8350_7D7AA536CF4B_.wvu.FilterData" localSheetId="2" hidden="1">AN_Control!$A$2:$H$5379</definedName>
    <definedName name="Z_A091FA50_BD9D_42F2_8350_7D7AA536CF4B_.wvu.FilterData" localSheetId="4" hidden="1">Bao_Cao!$A$2:$H$3882</definedName>
    <definedName name="Z_A091FA50_BD9D_42F2_8350_7D7AA536CF4B_.wvu.FilterData" localSheetId="5" hidden="1">Bao_Cao_AT!$A$2:$H$3882</definedName>
    <definedName name="Z_A091FA50_BD9D_42F2_8350_7D7AA536CF4B_.wvu.FilterData" localSheetId="6" hidden="1">Bao_Cao_VH!$A$2:$H$3882</definedName>
    <definedName name="Z_A141CE08_B17C_4F70_A0F7_5093FD8828B4_.wvu.FilterData" localSheetId="4" hidden="1">Bao_Cao!$A$2:$H$3882</definedName>
    <definedName name="Z_A141CE08_B17C_4F70_A0F7_5093FD8828B4_.wvu.FilterData" localSheetId="5" hidden="1">Bao_Cao_AT!$A$2:$H$3882</definedName>
    <definedName name="Z_A141CE08_B17C_4F70_A0F7_5093FD8828B4_.wvu.FilterData" localSheetId="6" hidden="1">Bao_Cao_VH!$A$2:$H$3882</definedName>
    <definedName name="Z_A141CE08_B17C_4F70_A0F7_5093FD8828B4_.wvu.FilterData" localSheetId="3" hidden="1">SL_Control!$A$2:$H$991</definedName>
    <definedName name="Z_A14E1231_3F84_4DF3_9033_C898C3309C63_.wvu.FilterData" localSheetId="2" hidden="1">AN_Control!$A$2:$H$1047</definedName>
    <definedName name="Z_A14E1231_3F84_4DF3_9033_C898C3309C63_.wvu.FilterData" localSheetId="4" hidden="1">Bao_Cao!$A$2:$H$1047</definedName>
    <definedName name="Z_A14E1231_3F84_4DF3_9033_C898C3309C63_.wvu.FilterData" localSheetId="5" hidden="1">Bao_Cao_AT!$A$2:$H$1047</definedName>
    <definedName name="Z_A14E1231_3F84_4DF3_9033_C898C3309C63_.wvu.FilterData" localSheetId="6" hidden="1">Bao_Cao_VH!$A$2:$H$1047</definedName>
    <definedName name="Z_A1594E4D_D6FA_4025_8141_5F79CF0FCF04_.wvu.FilterData" localSheetId="3" hidden="1">SL_Control!$A$2:$H$391</definedName>
    <definedName name="Z_A15ED3A3_43B4_461E_A55D_942281100E3B_.wvu.FilterData" localSheetId="2" hidden="1">AN_Control!$A$2:$H$1115</definedName>
    <definedName name="Z_A15ED3A3_43B4_461E_A55D_942281100E3B_.wvu.FilterData" localSheetId="4" hidden="1">Bao_Cao!$A$2:$H$1115</definedName>
    <definedName name="Z_A15ED3A3_43B4_461E_A55D_942281100E3B_.wvu.FilterData" localSheetId="5" hidden="1">Bao_Cao_AT!$A$2:$H$1115</definedName>
    <definedName name="Z_A15ED3A3_43B4_461E_A55D_942281100E3B_.wvu.FilterData" localSheetId="6" hidden="1">Bao_Cao_VH!$A$2:$H$1115</definedName>
    <definedName name="Z_A1993AAA_A974_4984_A893_ED0F6A112741_.wvu.FilterData" localSheetId="2" hidden="1">AN_Control!$A$2:$H$3685</definedName>
    <definedName name="Z_A1993AAA_A974_4984_A893_ED0F6A112741_.wvu.FilterData" localSheetId="4" hidden="1">Bao_Cao!$A$2:$H$3687</definedName>
    <definedName name="Z_A1993AAA_A974_4984_A893_ED0F6A112741_.wvu.FilterData" localSheetId="5" hidden="1">Bao_Cao_AT!$A$2:$H$3687</definedName>
    <definedName name="Z_A1993AAA_A974_4984_A893_ED0F6A112741_.wvu.FilterData" localSheetId="6" hidden="1">Bao_Cao_VH!$A$2:$H$3687</definedName>
    <definedName name="Z_A1A370CD_AFD0_465F_AC2A_34311477E703_.wvu.FilterData" localSheetId="3" hidden="1">SL_Control!$A$2:$H$430</definedName>
    <definedName name="Z_A2029CC5_8C4F_4925_9794_8D65769AF75E_.wvu.FilterData" localSheetId="4" hidden="1">Bao_Cao!$A$2:$H$3882</definedName>
    <definedName name="Z_A2029CC5_8C4F_4925_9794_8D65769AF75E_.wvu.FilterData" localSheetId="5" hidden="1">Bao_Cao_AT!$A$2:$H$3882</definedName>
    <definedName name="Z_A2029CC5_8C4F_4925_9794_8D65769AF75E_.wvu.FilterData" localSheetId="6" hidden="1">Bao_Cao_VH!$A$2:$H$3882</definedName>
    <definedName name="Z_A2BA6067_2076_49D6_964F_9765470A88D2_.wvu.FilterData" localSheetId="2" hidden="1">AN_Control!$A$2:$H$5371</definedName>
    <definedName name="Z_A2BA6067_2076_49D6_964F_9765470A88D2_.wvu.FilterData" localSheetId="4" hidden="1">Bao_Cao!$A$2:$H$3882</definedName>
    <definedName name="Z_A2BA6067_2076_49D6_964F_9765470A88D2_.wvu.FilterData" localSheetId="5" hidden="1">Bao_Cao_AT!$A$2:$H$3882</definedName>
    <definedName name="Z_A2BA6067_2076_49D6_964F_9765470A88D2_.wvu.FilterData" localSheetId="6" hidden="1">Bao_Cao_VH!$A$2:$H$3882</definedName>
    <definedName name="Z_A2D0A54E_F031_436D_82E6_4F11B29239F2_.wvu.FilterData" localSheetId="2" hidden="1">AN_Control!$A$2:$H$4212</definedName>
    <definedName name="Z_A2D0A54E_F031_436D_82E6_4F11B29239F2_.wvu.FilterData" localSheetId="3" hidden="1">SL_Control!$A$2:$H$1044</definedName>
    <definedName name="Z_A2EC8412_6A5E_4F26_846E_434028CF2D96_.wvu.FilterData" localSheetId="3" hidden="1">SL_Control!$A$2:$H$1063</definedName>
    <definedName name="Z_A3170B2F_690E_4388_8317_FAB8A224EE38_.wvu.FilterData" localSheetId="4" hidden="1">Bao_Cao!$A$2:$H$3882</definedName>
    <definedName name="Z_A3170B2F_690E_4388_8317_FAB8A224EE38_.wvu.FilterData" localSheetId="5" hidden="1">Bao_Cao_AT!$A$2:$H$3882</definedName>
    <definedName name="Z_A3170B2F_690E_4388_8317_FAB8A224EE38_.wvu.FilterData" localSheetId="6" hidden="1">Bao_Cao_VH!$A$2:$H$3882</definedName>
    <definedName name="Z_A3170B2F_690E_4388_8317_FAB8A224EE38_.wvu.FilterData" localSheetId="3" hidden="1">SL_Control!$A$2:$H$972</definedName>
    <definedName name="Z_A3908281_1684_431A_8988_1C3759E85B50_.wvu.FilterData" localSheetId="2" hidden="1">AN_Control!$A$2:$H$1230</definedName>
    <definedName name="Z_A3908281_1684_431A_8988_1C3759E85B50_.wvu.FilterData" localSheetId="4" hidden="1">Bao_Cao!$A$2:$H$1230</definedName>
    <definedName name="Z_A3908281_1684_431A_8988_1C3759E85B50_.wvu.FilterData" localSheetId="5" hidden="1">Bao_Cao_AT!$A$2:$H$1230</definedName>
    <definedName name="Z_A3908281_1684_431A_8988_1C3759E85B50_.wvu.FilterData" localSheetId="6" hidden="1">Bao_Cao_VH!$A$2:$H$1230</definedName>
    <definedName name="Z_A3D4FF5E_2747_403C_AC3E_A5BC466CCDC7_.wvu.FilterData" localSheetId="2" hidden="1">AN_Control!$A$2:$H$1283</definedName>
    <definedName name="Z_A3D4FF5E_2747_403C_AC3E_A5BC466CCDC7_.wvu.FilterData" localSheetId="4" hidden="1">Bao_Cao!$A$2:$H$1283</definedName>
    <definedName name="Z_A3D4FF5E_2747_403C_AC3E_A5BC466CCDC7_.wvu.FilterData" localSheetId="5" hidden="1">Bao_Cao_AT!$A$2:$H$1283</definedName>
    <definedName name="Z_A3D4FF5E_2747_403C_AC3E_A5BC466CCDC7_.wvu.FilterData" localSheetId="6" hidden="1">Bao_Cao_VH!$A$2:$H$1283</definedName>
    <definedName name="Z_A484E24B_C625_4374_B23E_C55B86EC0762_.wvu.FilterData" localSheetId="2" hidden="1">AN_Control!$A$2:$H$5671</definedName>
    <definedName name="Z_A484E24B_C625_4374_B23E_C55B86EC0762_.wvu.FilterData" localSheetId="4" hidden="1">Bao_Cao!$A$2:$H$3882</definedName>
    <definedName name="Z_A484E24B_C625_4374_B23E_C55B86EC0762_.wvu.FilterData" localSheetId="5" hidden="1">Bao_Cao_AT!$A$2:$H$3882</definedName>
    <definedName name="Z_A484E24B_C625_4374_B23E_C55B86EC0762_.wvu.FilterData" localSheetId="6" hidden="1">Bao_Cao_VH!$A$2:$H$3882</definedName>
    <definedName name="Z_A484E24B_C625_4374_B23E_C55B86EC0762_.wvu.FilterData" localSheetId="3" hidden="1">SL_Control!$A$2:$H$1474</definedName>
    <definedName name="Z_A50ACFAB_24D9_43DB_94A9_C2218FF8B1DB_.wvu.FilterData" localSheetId="2" hidden="1">AN_Control!$A$2:$H$628</definedName>
    <definedName name="Z_A50ACFAB_24D9_43DB_94A9_C2218FF8B1DB_.wvu.FilterData" localSheetId="4" hidden="1">Bao_Cao!$A$2:$H$628</definedName>
    <definedName name="Z_A50ACFAB_24D9_43DB_94A9_C2218FF8B1DB_.wvu.FilterData" localSheetId="5" hidden="1">Bao_Cao_AT!$A$2:$H$628</definedName>
    <definedName name="Z_A50ACFAB_24D9_43DB_94A9_C2218FF8B1DB_.wvu.FilterData" localSheetId="6" hidden="1">Bao_Cao_VH!$A$2:$H$628</definedName>
    <definedName name="Z_A56F46CB_2EB2_4B55_871F_83D1D30B548D_.wvu.FilterData" localSheetId="2" hidden="1">AN_Control!$A$2:$H$4501</definedName>
    <definedName name="Z_A56F46CB_2EB2_4B55_871F_83D1D30B548D_.wvu.FilterData" localSheetId="4" hidden="1">Bao_Cao!$A$2:$H$3882</definedName>
    <definedName name="Z_A56F46CB_2EB2_4B55_871F_83D1D30B548D_.wvu.FilterData" localSheetId="5" hidden="1">Bao_Cao_AT!$A$2:$H$3882</definedName>
    <definedName name="Z_A56F46CB_2EB2_4B55_871F_83D1D30B548D_.wvu.FilterData" localSheetId="6" hidden="1">Bao_Cao_VH!$A$2:$H$3882</definedName>
    <definedName name="Z_A56F46CB_2EB2_4B55_871F_83D1D30B548D_.wvu.FilterData" localSheetId="3" hidden="1">SL_Control!$A$2:$H$1102</definedName>
    <definedName name="Z_A5846792_222F_450C_BDE8_03A0FA07CF9F_.wvu.FilterData" localSheetId="2" hidden="1">AN_Control!$A$2:$H$1982</definedName>
    <definedName name="Z_A5846792_222F_450C_BDE8_03A0FA07CF9F_.wvu.FilterData" localSheetId="4" hidden="1">Bao_Cao!$A$2:$H$1982</definedName>
    <definedName name="Z_A5846792_222F_450C_BDE8_03A0FA07CF9F_.wvu.FilterData" localSheetId="5" hidden="1">Bao_Cao_AT!$A$2:$H$1982</definedName>
    <definedName name="Z_A5846792_222F_450C_BDE8_03A0FA07CF9F_.wvu.FilterData" localSheetId="6" hidden="1">Bao_Cao_VH!$A$2:$H$1982</definedName>
    <definedName name="Z_A5E4992B_4C2B_45F5_8E2C_5AD6CA58D487_.wvu.FilterData" localSheetId="2" hidden="1">AN_Control!$A$2:$H$3854</definedName>
    <definedName name="Z_A5E4992B_4C2B_45F5_8E2C_5AD6CA58D487_.wvu.FilterData" localSheetId="4" hidden="1">Bao_Cao!$A$2:$H$3856</definedName>
    <definedName name="Z_A5E4992B_4C2B_45F5_8E2C_5AD6CA58D487_.wvu.FilterData" localSheetId="5" hidden="1">Bao_Cao_AT!$A$2:$H$3856</definedName>
    <definedName name="Z_A5E4992B_4C2B_45F5_8E2C_5AD6CA58D487_.wvu.FilterData" localSheetId="6" hidden="1">Bao_Cao_VH!$A$2:$H$3856</definedName>
    <definedName name="Z_A6119878_EFD6_4C44_AD8F_E193C00CB338_.wvu.FilterData" localSheetId="2" hidden="1">AN_Control!$A$2:$H$1697</definedName>
    <definedName name="Z_A6119878_EFD6_4C44_AD8F_E193C00CB338_.wvu.FilterData" localSheetId="4" hidden="1">Bao_Cao!$A$2:$H$1697</definedName>
    <definedName name="Z_A6119878_EFD6_4C44_AD8F_E193C00CB338_.wvu.FilterData" localSheetId="5" hidden="1">Bao_Cao_AT!$A$2:$H$1697</definedName>
    <definedName name="Z_A6119878_EFD6_4C44_AD8F_E193C00CB338_.wvu.FilterData" localSheetId="6" hidden="1">Bao_Cao_VH!$A$2:$H$1697</definedName>
    <definedName name="Z_A6119878_EFD6_4C44_AD8F_E193C00CB338_.wvu.FilterData" localSheetId="3" hidden="1">SL_Control!$A$2:$H$435</definedName>
    <definedName name="Z_A63AC069_AAA2_4C33_8285_9A9CF2B48492_.wvu.FilterData" localSheetId="2" hidden="1">AN_Control!$A$2:$H$613</definedName>
    <definedName name="Z_A63AC069_AAA2_4C33_8285_9A9CF2B48492_.wvu.FilterData" localSheetId="4" hidden="1">Bao_Cao!$A$2:$H$613</definedName>
    <definedName name="Z_A63AC069_AAA2_4C33_8285_9A9CF2B48492_.wvu.FilterData" localSheetId="5" hidden="1">Bao_Cao_AT!$A$2:$H$613</definedName>
    <definedName name="Z_A63AC069_AAA2_4C33_8285_9A9CF2B48492_.wvu.FilterData" localSheetId="6" hidden="1">Bao_Cao_VH!$A$2:$H$613</definedName>
    <definedName name="Z_A6B6450C_1083_436F_8C64_B6BDF63E590A_.wvu.FilterData" localSheetId="3" hidden="1">SL_Control!$A$2:$H$520</definedName>
    <definedName name="Z_A6EFC691_0FF3_4ABC_963F_9C0DFEE16FB0_.wvu.FilterData" localSheetId="4" hidden="1">Bao_Cao!$A$2:$H$3882</definedName>
    <definedName name="Z_A6EFC691_0FF3_4ABC_963F_9C0DFEE16FB0_.wvu.FilterData" localSheetId="5" hidden="1">Bao_Cao_AT!$A$2:$H$3882</definedName>
    <definedName name="Z_A6EFC691_0FF3_4ABC_963F_9C0DFEE16FB0_.wvu.FilterData" localSheetId="6" hidden="1">Bao_Cao_VH!$A$2:$H$3882</definedName>
    <definedName name="Z_A6EFC691_0FF3_4ABC_963F_9C0DFEE16FB0_.wvu.FilterData" localSheetId="3" hidden="1">SL_Control!$A$2:$H$1230</definedName>
    <definedName name="Z_A6F2A015_EE10_4E9A_9A42_29A5F534D2D4_.wvu.FilterData" localSheetId="2" hidden="1">AN_Control!$A$2:$H$1520</definedName>
    <definedName name="Z_A6F2A015_EE10_4E9A_9A42_29A5F534D2D4_.wvu.FilterData" localSheetId="4" hidden="1">Bao_Cao!$A$2:$H$1520</definedName>
    <definedName name="Z_A6F2A015_EE10_4E9A_9A42_29A5F534D2D4_.wvu.FilterData" localSheetId="5" hidden="1">Bao_Cao_AT!$A$2:$H$1520</definedName>
    <definedName name="Z_A6F2A015_EE10_4E9A_9A42_29A5F534D2D4_.wvu.FilterData" localSheetId="6" hidden="1">Bao_Cao_VH!$A$2:$H$1520</definedName>
    <definedName name="Z_A7663AA8_489A_4152_9194_2AD5EFEE3A04_.wvu.FilterData" localSheetId="4" hidden="1">Bao_Cao!$A$2:$H$3882</definedName>
    <definedName name="Z_A7663AA8_489A_4152_9194_2AD5EFEE3A04_.wvu.FilterData" localSheetId="5" hidden="1">Bao_Cao_AT!$A$2:$H$3882</definedName>
    <definedName name="Z_A7663AA8_489A_4152_9194_2AD5EFEE3A04_.wvu.FilterData" localSheetId="6" hidden="1">Bao_Cao_VH!$A$2:$H$3882</definedName>
    <definedName name="Z_A7E54FD3_56D6_429C_968B_F74501DEC58B_.wvu.FilterData" localSheetId="2" hidden="1">AN_Control!$A$2:$H$2644</definedName>
    <definedName name="Z_A7E54FD3_56D6_429C_968B_F74501DEC58B_.wvu.FilterData" localSheetId="4" hidden="1">Bao_Cao!$A$2:$H$2645</definedName>
    <definedName name="Z_A7E54FD3_56D6_429C_968B_F74501DEC58B_.wvu.FilterData" localSheetId="5" hidden="1">Bao_Cao_AT!$A$2:$H$2645</definedName>
    <definedName name="Z_A7E54FD3_56D6_429C_968B_F74501DEC58B_.wvu.FilterData" localSheetId="6" hidden="1">Bao_Cao_VH!$A$2:$H$2645</definedName>
    <definedName name="Z_A8DD363D_5FF8_49B2_AF7F_61E5F3B83327_.wvu.FilterData" localSheetId="2" hidden="1">AN_Control!$A$2:$H$1485</definedName>
    <definedName name="Z_A8DD363D_5FF8_49B2_AF7F_61E5F3B83327_.wvu.FilterData" localSheetId="4" hidden="1">Bao_Cao!$A$2:$H$1485</definedName>
    <definedName name="Z_A8DD363D_5FF8_49B2_AF7F_61E5F3B83327_.wvu.FilterData" localSheetId="5" hidden="1">Bao_Cao_AT!$A$2:$H$1485</definedName>
    <definedName name="Z_A8DD363D_5FF8_49B2_AF7F_61E5F3B83327_.wvu.FilterData" localSheetId="6" hidden="1">Bao_Cao_VH!$A$2:$H$1485</definedName>
    <definedName name="Z_A8DD363D_5FF8_49B2_AF7F_61E5F3B83327_.wvu.FilterData" localSheetId="3" hidden="1">SL_Control!$A$2:$H$384</definedName>
    <definedName name="Z_A9724487_3268_41F9_AD98_1C07F7D07FAE_.wvu.FilterData" localSheetId="3" hidden="1">SL_Control!$A$2:$H$244</definedName>
    <definedName name="Z_A9A011C5_4EDA_4AC7_B7EB_787E7D3439F9_.wvu.FilterData" localSheetId="2" hidden="1">AN_Control!$A$2:$H$3177</definedName>
    <definedName name="Z_A9A011C5_4EDA_4AC7_B7EB_787E7D3439F9_.wvu.FilterData" localSheetId="4" hidden="1">Bao_Cao!$A$2:$H$3178</definedName>
    <definedName name="Z_A9A011C5_4EDA_4AC7_B7EB_787E7D3439F9_.wvu.FilterData" localSheetId="5" hidden="1">Bao_Cao_AT!$A$2:$H$3178</definedName>
    <definedName name="Z_A9A011C5_4EDA_4AC7_B7EB_787E7D3439F9_.wvu.FilterData" localSheetId="6" hidden="1">Bao_Cao_VH!$A$2:$H$3178</definedName>
    <definedName name="Z_AAC3394F_36FA_43BB_BA3E_1D61DA3F71ED_.wvu.FilterData" localSheetId="2" hidden="1">AN_Control!$A$2:$H$2630</definedName>
    <definedName name="Z_AAC3394F_36FA_43BB_BA3E_1D61DA3F71ED_.wvu.FilterData" localSheetId="4" hidden="1">Bao_Cao!$A$2:$H$2631</definedName>
    <definedName name="Z_AAC3394F_36FA_43BB_BA3E_1D61DA3F71ED_.wvu.FilterData" localSheetId="5" hidden="1">Bao_Cao_AT!$A$2:$H$2631</definedName>
    <definedName name="Z_AAC3394F_36FA_43BB_BA3E_1D61DA3F71ED_.wvu.FilterData" localSheetId="6" hidden="1">Bao_Cao_VH!$A$2:$H$2631</definedName>
    <definedName name="Z_AADD418E_8A2D_4FB1_BE72_2D4B17D373BE_.wvu.FilterData" localSheetId="2" hidden="1">AN_Control!$A$2:$H$2473</definedName>
    <definedName name="Z_AADD418E_8A2D_4FB1_BE72_2D4B17D373BE_.wvu.FilterData" localSheetId="4" hidden="1">Bao_Cao!$A$2:$H$2474</definedName>
    <definedName name="Z_AADD418E_8A2D_4FB1_BE72_2D4B17D373BE_.wvu.FilterData" localSheetId="5" hidden="1">Bao_Cao_AT!$A$2:$H$2474</definedName>
    <definedName name="Z_AADD418E_8A2D_4FB1_BE72_2D4B17D373BE_.wvu.FilterData" localSheetId="6" hidden="1">Bao_Cao_VH!$A$2:$H$2474</definedName>
    <definedName name="Z_AB067319_C353_46A7_9166_AD70D250ADB0_.wvu.FilterData" localSheetId="2" hidden="1">AN_Control!$A$2:$H$4613</definedName>
    <definedName name="Z_AB067319_C353_46A7_9166_AD70D250ADB0_.wvu.FilterData" localSheetId="4" hidden="1">Bao_Cao!$A$2:$H$3882</definedName>
    <definedName name="Z_AB067319_C353_46A7_9166_AD70D250ADB0_.wvu.FilterData" localSheetId="5" hidden="1">Bao_Cao_AT!$A$2:$H$3882</definedName>
    <definedName name="Z_AB067319_C353_46A7_9166_AD70D250ADB0_.wvu.FilterData" localSheetId="6" hidden="1">Bao_Cao_VH!$A$2:$H$3882</definedName>
    <definedName name="Z_AB075E92_CF02_40D3_950A_BB82412F8D2C_.wvu.FilterData" localSheetId="2" hidden="1">AN_Control!$A$2:$H$1472</definedName>
    <definedName name="Z_AB075E92_CF02_40D3_950A_BB82412F8D2C_.wvu.FilterData" localSheetId="4" hidden="1">Bao_Cao!$A$2:$H$1472</definedName>
    <definedName name="Z_AB075E92_CF02_40D3_950A_BB82412F8D2C_.wvu.FilterData" localSheetId="5" hidden="1">Bao_Cao_AT!$A$2:$H$1472</definedName>
    <definedName name="Z_AB075E92_CF02_40D3_950A_BB82412F8D2C_.wvu.FilterData" localSheetId="6" hidden="1">Bao_Cao_VH!$A$2:$H$1472</definedName>
    <definedName name="Z_AB767E73_234A_439C_907E_A86566F35357_.wvu.FilterData" localSheetId="2" hidden="1">AN_Control!$A$2:$H$1238</definedName>
    <definedName name="Z_AB767E73_234A_439C_907E_A86566F35357_.wvu.FilterData" localSheetId="4" hidden="1">Bao_Cao!$A$2:$H$1238</definedName>
    <definedName name="Z_AB767E73_234A_439C_907E_A86566F35357_.wvu.FilterData" localSheetId="5" hidden="1">Bao_Cao_AT!$A$2:$H$1238</definedName>
    <definedName name="Z_AB767E73_234A_439C_907E_A86566F35357_.wvu.FilterData" localSheetId="6" hidden="1">Bao_Cao_VH!$A$2:$H$1238</definedName>
    <definedName name="Z_ABA53A54_9FAC_4A83_A4C0_35305A2409CB_.wvu.FilterData" localSheetId="2" hidden="1">AN_Control!$A$2:$H$5371</definedName>
    <definedName name="Z_ABA53A54_9FAC_4A83_A4C0_35305A2409CB_.wvu.FilterData" localSheetId="4" hidden="1">Bao_Cao!$A$2:$H$3882</definedName>
    <definedName name="Z_ABA53A54_9FAC_4A83_A4C0_35305A2409CB_.wvu.FilterData" localSheetId="5" hidden="1">Bao_Cao_AT!$A$2:$H$3882</definedName>
    <definedName name="Z_ABA53A54_9FAC_4A83_A4C0_35305A2409CB_.wvu.FilterData" localSheetId="6" hidden="1">Bao_Cao_VH!$A$2:$H$3882</definedName>
    <definedName name="Z_AC03E2AE_8C49_482B_9DE0_C308420CFDBA_.wvu.FilterData" localSheetId="3" hidden="1">SL_Control!$A$2:$H$153</definedName>
    <definedName name="Z_AC0E7550_EC26_4E2F_BDDF_096D4B99A456_.wvu.FilterData" localSheetId="4" hidden="1">Bao_Cao!$A$2:$H$3882</definedName>
    <definedName name="Z_AC0E7550_EC26_4E2F_BDDF_096D4B99A456_.wvu.FilterData" localSheetId="5" hidden="1">Bao_Cao_AT!$A$2:$H$3882</definedName>
    <definedName name="Z_AC0E7550_EC26_4E2F_BDDF_096D4B99A456_.wvu.FilterData" localSheetId="6" hidden="1">Bao_Cao_VH!$A$2:$H$3882</definedName>
    <definedName name="Z_AC754F70_49C0_4F3F_A2C5_F0E83B45A5F9_.wvu.FilterData" localSheetId="3" hidden="1">SL_Control!$A$2:$H$191</definedName>
    <definedName name="Z_AC95DE15_5DAD_42DD_BB77_60EB94AD327F_.wvu.FilterData" localSheetId="2" hidden="1">AN_Control!$A$2:$H$5575</definedName>
    <definedName name="Z_AC95DE15_5DAD_42DD_BB77_60EB94AD327F_.wvu.FilterData" localSheetId="4" hidden="1">Bao_Cao!$A$2:$H$3882</definedName>
    <definedName name="Z_AC95DE15_5DAD_42DD_BB77_60EB94AD327F_.wvu.FilterData" localSheetId="5" hidden="1">Bao_Cao_AT!$A$2:$H$3882</definedName>
    <definedName name="Z_AC95DE15_5DAD_42DD_BB77_60EB94AD327F_.wvu.FilterData" localSheetId="6" hidden="1">Bao_Cao_VH!$A$2:$H$3882</definedName>
    <definedName name="Z_ACDA95ED_B0E1_42F2_85FB_2028E55B2569_.wvu.FilterData" localSheetId="3" hidden="1">SL_Control!$A$2:$H$251</definedName>
    <definedName name="Z_ADA83312_B3D1_403A_9CE8_44CE200D11CE_.wvu.FilterData" localSheetId="2" hidden="1">AN_Control!$A$2:$H$1765</definedName>
    <definedName name="Z_ADA83312_B3D1_403A_9CE8_44CE200D11CE_.wvu.FilterData" localSheetId="4" hidden="1">Bao_Cao!$A$2:$H$1765</definedName>
    <definedName name="Z_ADA83312_B3D1_403A_9CE8_44CE200D11CE_.wvu.FilterData" localSheetId="5" hidden="1">Bao_Cao_AT!$A$2:$H$1765</definedName>
    <definedName name="Z_ADA83312_B3D1_403A_9CE8_44CE200D11CE_.wvu.FilterData" localSheetId="6" hidden="1">Bao_Cao_VH!$A$2:$H$1765</definedName>
    <definedName name="Z_ADCF2F90_3EB1_4787_8E6E_9307CD615851_.wvu.FilterData" localSheetId="3" hidden="1">SL_Control!$A$2:$H$394</definedName>
    <definedName name="Z_ADE1CE97_1674_45A1_9DD1_8EE0CB669E61_.wvu.FilterData" localSheetId="2" hidden="1">AN_Control!$A$2:$H$1583</definedName>
    <definedName name="Z_ADE1CE97_1674_45A1_9DD1_8EE0CB669E61_.wvu.FilterData" localSheetId="4" hidden="1">Bao_Cao!$A$2:$H$1583</definedName>
    <definedName name="Z_ADE1CE97_1674_45A1_9DD1_8EE0CB669E61_.wvu.FilterData" localSheetId="5" hidden="1">Bao_Cao_AT!$A$2:$H$1583</definedName>
    <definedName name="Z_ADE1CE97_1674_45A1_9DD1_8EE0CB669E61_.wvu.FilterData" localSheetId="6" hidden="1">Bao_Cao_VH!$A$2:$H$1583</definedName>
    <definedName name="Z_ADE1CE97_1674_45A1_9DD1_8EE0CB669E61_.wvu.FilterData" localSheetId="3" hidden="1">SL_Control!$A$2:$H$409</definedName>
    <definedName name="Z_AEAB8F61_F7DE_4E35_BFBF_B712712670E6_.wvu.FilterData" localSheetId="2" hidden="1">AN_Control!$A$2:$H$1304</definedName>
    <definedName name="Z_AEAB8F61_F7DE_4E35_BFBF_B712712670E6_.wvu.FilterData" localSheetId="4" hidden="1">Bao_Cao!$A$2:$H$1304</definedName>
    <definedName name="Z_AEAB8F61_F7DE_4E35_BFBF_B712712670E6_.wvu.FilterData" localSheetId="5" hidden="1">Bao_Cao_AT!$A$2:$H$1304</definedName>
    <definedName name="Z_AEAB8F61_F7DE_4E35_BFBF_B712712670E6_.wvu.FilterData" localSheetId="6" hidden="1">Bao_Cao_VH!$A$2:$H$1304</definedName>
    <definedName name="Z_AEF510A4_39E7_4112_9EAC_0D49D99F2DB7_.wvu.FilterData" localSheetId="3" hidden="1">SL_Control!$A$2:$H$1386</definedName>
    <definedName name="Z_AF0CB8C0_F45B_4750_8BA6_ED1C2C42358C_.wvu.FilterData" localSheetId="2" hidden="1">AN_Control!$A$2:$H$364</definedName>
    <definedName name="Z_AF0CB8C0_F45B_4750_8BA6_ED1C2C42358C_.wvu.FilterData" localSheetId="4" hidden="1">Bao_Cao!$A$2:$H$364</definedName>
    <definedName name="Z_AF0CB8C0_F45B_4750_8BA6_ED1C2C42358C_.wvu.FilterData" localSheetId="5" hidden="1">Bao_Cao_AT!$A$2:$H$364</definedName>
    <definedName name="Z_AF0CB8C0_F45B_4750_8BA6_ED1C2C42358C_.wvu.FilterData" localSheetId="6" hidden="1">Bao_Cao_VH!$A$2:$H$364</definedName>
    <definedName name="Z_AFD2217E_EDF4_4A21_9963_74FD6A8D47E9_.wvu.FilterData" localSheetId="2" hidden="1">AN_Control!$A$2:$H$5597</definedName>
    <definedName name="Z_AFD2217E_EDF4_4A21_9963_74FD6A8D47E9_.wvu.FilterData" localSheetId="4" hidden="1">Bao_Cao!$A$2:$H$3882</definedName>
    <definedName name="Z_AFD2217E_EDF4_4A21_9963_74FD6A8D47E9_.wvu.FilterData" localSheetId="5" hidden="1">Bao_Cao_AT!$A$2:$H$3882</definedName>
    <definedName name="Z_AFD2217E_EDF4_4A21_9963_74FD6A8D47E9_.wvu.FilterData" localSheetId="6" hidden="1">Bao_Cao_VH!$A$2:$H$3882</definedName>
    <definedName name="Z_AFD27822_7480_4716_BDD6_0FAC6A423317_.wvu.FilterData" localSheetId="2" hidden="1">AN_Control!$A$2:$H$1094</definedName>
    <definedName name="Z_AFD27822_7480_4716_BDD6_0FAC6A423317_.wvu.FilterData" localSheetId="4" hidden="1">Bao_Cao!$A$2:$H$1094</definedName>
    <definedName name="Z_AFD27822_7480_4716_BDD6_0FAC6A423317_.wvu.FilterData" localSheetId="5" hidden="1">Bao_Cao_AT!$A$2:$H$1094</definedName>
    <definedName name="Z_AFD27822_7480_4716_BDD6_0FAC6A423317_.wvu.FilterData" localSheetId="6" hidden="1">Bao_Cao_VH!$A$2:$H$1094</definedName>
    <definedName name="Z_AFD27822_7480_4716_BDD6_0FAC6A423317_.wvu.FilterData" localSheetId="3" hidden="1">SL_Control!$A$2:$H$300</definedName>
    <definedName name="Z_AFFF5964_238B_4DD9_9E58_4D0471C90511_.wvu.FilterData" localSheetId="3" hidden="1">SL_Control!$A$2:$H$863</definedName>
    <definedName name="Z_B07F0019_6023_4CB8_B3F1_6161DD29EC78_.wvu.FilterData" localSheetId="2" hidden="1">AN_Control!$A$2:$H$748</definedName>
    <definedName name="Z_B07F0019_6023_4CB8_B3F1_6161DD29EC78_.wvu.FilterData" localSheetId="4" hidden="1">Bao_Cao!$A$2:$H$748</definedName>
    <definedName name="Z_B07F0019_6023_4CB8_B3F1_6161DD29EC78_.wvu.FilterData" localSheetId="5" hidden="1">Bao_Cao_AT!$A$2:$H$748</definedName>
    <definedName name="Z_B07F0019_6023_4CB8_B3F1_6161DD29EC78_.wvu.FilterData" localSheetId="6" hidden="1">Bao_Cao_VH!$A$2:$H$748</definedName>
    <definedName name="Z_B09AC3CC_7CAF_48BC_AD97_E06E9ED92AC1_.wvu.FilterData" localSheetId="2" hidden="1">AN_Control!$A$2:$H$4613</definedName>
    <definedName name="Z_B09AC3CC_7CAF_48BC_AD97_E06E9ED92AC1_.wvu.FilterData" localSheetId="4" hidden="1">Bao_Cao!$A$2:$H$3882</definedName>
    <definedName name="Z_B09AC3CC_7CAF_48BC_AD97_E06E9ED92AC1_.wvu.FilterData" localSheetId="5" hidden="1">Bao_Cao_AT!$A$2:$H$3882</definedName>
    <definedName name="Z_B09AC3CC_7CAF_48BC_AD97_E06E9ED92AC1_.wvu.FilterData" localSheetId="6" hidden="1">Bao_Cao_VH!$A$2:$H$3882</definedName>
    <definedName name="Z_B1E7513D_27D9_4372_8C79_79770D37BD39_.wvu.FilterData" localSheetId="2" hidden="1">AN_Control!$A$2:$H$1103</definedName>
    <definedName name="Z_B1E7513D_27D9_4372_8C79_79770D37BD39_.wvu.FilterData" localSheetId="4" hidden="1">Bao_Cao!$A$2:$H$1103</definedName>
    <definedName name="Z_B1E7513D_27D9_4372_8C79_79770D37BD39_.wvu.FilterData" localSheetId="5" hidden="1">Bao_Cao_AT!$A$2:$H$1103</definedName>
    <definedName name="Z_B1E7513D_27D9_4372_8C79_79770D37BD39_.wvu.FilterData" localSheetId="6" hidden="1">Bao_Cao_VH!$A$2:$H$1103</definedName>
    <definedName name="Z_B211EA47_1F65_4D83_B68C_17D53182A8F2_.wvu.FilterData" localSheetId="2" hidden="1">AN_Control!$A$2:$H$3941</definedName>
    <definedName name="Z_B39F4BEA_41F6_4444_8DAE_28499F360A75_.wvu.FilterData" localSheetId="4" hidden="1">Bao_Cao!$A$2:$H$3882</definedName>
    <definedName name="Z_B39F4BEA_41F6_4444_8DAE_28499F360A75_.wvu.FilterData" localSheetId="5" hidden="1">Bao_Cao_AT!$A$2:$H$3882</definedName>
    <definedName name="Z_B39F4BEA_41F6_4444_8DAE_28499F360A75_.wvu.FilterData" localSheetId="6" hidden="1">Bao_Cao_VH!$A$2:$H$3882</definedName>
    <definedName name="Z_B3C48408_CEFE_4BCE_B5C5_9A96DEB985D4_.wvu.FilterData" localSheetId="4" hidden="1">Bao_Cao!$A$2:$H$3882</definedName>
    <definedName name="Z_B3C48408_CEFE_4BCE_B5C5_9A96DEB985D4_.wvu.FilterData" localSheetId="5" hidden="1">Bao_Cao_AT!$A$2:$H$3882</definedName>
    <definedName name="Z_B3C48408_CEFE_4BCE_B5C5_9A96DEB985D4_.wvu.FilterData" localSheetId="6" hidden="1">Bao_Cao_VH!$A$2:$H$3882</definedName>
    <definedName name="Z_B3C48408_CEFE_4BCE_B5C5_9A96DEB985D4_.wvu.FilterData" localSheetId="3" hidden="1">SL_Control!$A$2:$H$1376</definedName>
    <definedName name="Z_B4395361_3CED_435D_A8C1_8E5C741E5B5A_.wvu.Cols" localSheetId="4" hidden="1">Bao_Cao!#REF!</definedName>
    <definedName name="Z_B4395361_3CED_435D_A8C1_8E5C741E5B5A_.wvu.Cols" localSheetId="5" hidden="1">Bao_Cao_AT!#REF!</definedName>
    <definedName name="Z_B4395361_3CED_435D_A8C1_8E5C741E5B5A_.wvu.Cols" localSheetId="6" hidden="1">Bao_Cao_VH!#REF!</definedName>
    <definedName name="Z_B4395361_3CED_435D_A8C1_8E5C741E5B5A_.wvu.FilterData" localSheetId="2" hidden="1">AN_Control!$A$2:$H$3911</definedName>
    <definedName name="Z_B4395361_3CED_435D_A8C1_8E5C741E5B5A_.wvu.FilterData" localSheetId="4" hidden="1">Bao_Cao!$A$2:$H$3882</definedName>
    <definedName name="Z_B4395361_3CED_435D_A8C1_8E5C741E5B5A_.wvu.FilterData" localSheetId="5" hidden="1">Bao_Cao_AT!$A$2:$H$3882</definedName>
    <definedName name="Z_B4395361_3CED_435D_A8C1_8E5C741E5B5A_.wvu.FilterData" localSheetId="6" hidden="1">Bao_Cao_VH!$A$2:$H$3882</definedName>
    <definedName name="Z_B4395361_3CED_435D_A8C1_8E5C741E5B5A_.wvu.FilterData" localSheetId="3" hidden="1">SL_Control!$A$2:$H$934</definedName>
    <definedName name="Z_B46C94D1_90C6_486C_81DF_5C347471C57B_.wvu.FilterData" localSheetId="3" hidden="1">SL_Control!$A$2:$H$334</definedName>
    <definedName name="Z_B5CDCFCE_28CA_4D65_B955_FC4F3252877A_.wvu.FilterData" localSheetId="2" hidden="1">AN_Control!$A$2:$H$2710</definedName>
    <definedName name="Z_B5CDCFCE_28CA_4D65_B955_FC4F3252877A_.wvu.FilterData" localSheetId="4" hidden="1">Bao_Cao!$A$2:$H$2711</definedName>
    <definedName name="Z_B5CDCFCE_28CA_4D65_B955_FC4F3252877A_.wvu.FilterData" localSheetId="5" hidden="1">Bao_Cao_AT!$A$2:$H$2711</definedName>
    <definedName name="Z_B5CDCFCE_28CA_4D65_B955_FC4F3252877A_.wvu.FilterData" localSheetId="6" hidden="1">Bao_Cao_VH!$A$2:$H$2711</definedName>
    <definedName name="Z_B5D96C88_C701_4A70_821B_9AFA20D313D6_.wvu.FilterData" localSheetId="3" hidden="1">SL_Control!$A$2:$H$72</definedName>
    <definedName name="Z_B67CB061_E658_48D7_A3F6_238FAFC93BCD_.wvu.FilterData" localSheetId="2" hidden="1">AN_Control!$A$2:$H$1468</definedName>
    <definedName name="Z_B67CB061_E658_48D7_A3F6_238FAFC93BCD_.wvu.FilterData" localSheetId="4" hidden="1">Bao_Cao!$A$2:$H$1468</definedName>
    <definedName name="Z_B67CB061_E658_48D7_A3F6_238FAFC93BCD_.wvu.FilterData" localSheetId="5" hidden="1">Bao_Cao_AT!$A$2:$H$1468</definedName>
    <definedName name="Z_B67CB061_E658_48D7_A3F6_238FAFC93BCD_.wvu.FilterData" localSheetId="6" hidden="1">Bao_Cao_VH!$A$2:$H$1468</definedName>
    <definedName name="Z_B67CB061_E658_48D7_A3F6_238FAFC93BCD_.wvu.FilterData" localSheetId="3" hidden="1">SL_Control!$A$2:$H$384</definedName>
    <definedName name="Z_B684171A_F5FB_47E5_AC45_356DCED48E51_.wvu.FilterData" localSheetId="3" hidden="1">SL_Control!$A$2:$H$1393</definedName>
    <definedName name="Z_B73D92BF_4224_4102_97D1_491445DE45F7_.wvu.FilterData" localSheetId="2" hidden="1">AN_Control!$A$2:$H$3640</definedName>
    <definedName name="Z_B73D92BF_4224_4102_97D1_491445DE45F7_.wvu.FilterData" localSheetId="4" hidden="1">Bao_Cao!$A$2:$H$3641</definedName>
    <definedName name="Z_B73D92BF_4224_4102_97D1_491445DE45F7_.wvu.FilterData" localSheetId="5" hidden="1">Bao_Cao_AT!$A$2:$H$3641</definedName>
    <definedName name="Z_B73D92BF_4224_4102_97D1_491445DE45F7_.wvu.FilterData" localSheetId="6" hidden="1">Bao_Cao_VH!$A$2:$H$3641</definedName>
    <definedName name="Z_B79FA6D3_A70B_4295_94F7_E4344C6C3213_.wvu.FilterData" localSheetId="2" hidden="1">AN_Control!$A$2:$H$3563</definedName>
    <definedName name="Z_B79FA6D3_A70B_4295_94F7_E4344C6C3213_.wvu.FilterData" localSheetId="4" hidden="1">Bao_Cao!$A$2:$H$3564</definedName>
    <definedName name="Z_B79FA6D3_A70B_4295_94F7_E4344C6C3213_.wvu.FilterData" localSheetId="5" hidden="1">Bao_Cao_AT!$A$2:$H$3564</definedName>
    <definedName name="Z_B79FA6D3_A70B_4295_94F7_E4344C6C3213_.wvu.FilterData" localSheetId="6" hidden="1">Bao_Cao_VH!$A$2:$H$3564</definedName>
    <definedName name="Z_B79FA6D3_A70B_4295_94F7_E4344C6C3213_.wvu.FilterData" localSheetId="3" hidden="1">SL_Control!$A$2:$H$809</definedName>
    <definedName name="Z_B7A13533_3ABA_4068_9F5D_722394C37F49_.wvu.FilterData" localSheetId="2" hidden="1">AN_Control!$A$2:$H$4087</definedName>
    <definedName name="Z_B7A13533_3ABA_4068_9F5D_722394C37F49_.wvu.FilterData" localSheetId="4" hidden="1">Bao_Cao!$A$2:$H$3882</definedName>
    <definedName name="Z_B7A13533_3ABA_4068_9F5D_722394C37F49_.wvu.FilterData" localSheetId="5" hidden="1">Bao_Cao_AT!$A$2:$H$3882</definedName>
    <definedName name="Z_B7A13533_3ABA_4068_9F5D_722394C37F49_.wvu.FilterData" localSheetId="6" hidden="1">Bao_Cao_VH!$A$2:$H$3882</definedName>
    <definedName name="Z_B7A13533_3ABA_4068_9F5D_722394C37F49_.wvu.FilterData" localSheetId="3" hidden="1">SL_Control!$A$2:$H$993</definedName>
    <definedName name="Z_B7B8C1AF_F086_41D1_BDAF_2896ED7E41AE_.wvu.FilterData" localSheetId="2" hidden="1">AN_Control!$A$2:$H$1921</definedName>
    <definedName name="Z_B7B8C1AF_F086_41D1_BDAF_2896ED7E41AE_.wvu.FilterData" localSheetId="4" hidden="1">Bao_Cao!$A$2:$H$1921</definedName>
    <definedName name="Z_B7B8C1AF_F086_41D1_BDAF_2896ED7E41AE_.wvu.FilterData" localSheetId="5" hidden="1">Bao_Cao_AT!$A$2:$H$1921</definedName>
    <definedName name="Z_B7B8C1AF_F086_41D1_BDAF_2896ED7E41AE_.wvu.FilterData" localSheetId="6" hidden="1">Bao_Cao_VH!$A$2:$H$1921</definedName>
    <definedName name="Z_B7FDB63A_2ECC_41F2_B73D_2318430FD143_.wvu.FilterData" localSheetId="3" hidden="1">SL_Control!$A$2:$H$1078</definedName>
    <definedName name="Z_B8371F58_42CB_46B2_B218_42D5701E2606_.wvu.FilterData" localSheetId="2" hidden="1">AN_Control!$A$2:$H$3640</definedName>
    <definedName name="Z_B8371F58_42CB_46B2_B218_42D5701E2606_.wvu.FilterData" localSheetId="4" hidden="1">Bao_Cao!$A$2:$H$3641</definedName>
    <definedName name="Z_B8371F58_42CB_46B2_B218_42D5701E2606_.wvu.FilterData" localSheetId="5" hidden="1">Bao_Cao_AT!$A$2:$H$3641</definedName>
    <definedName name="Z_B8371F58_42CB_46B2_B218_42D5701E2606_.wvu.FilterData" localSheetId="6" hidden="1">Bao_Cao_VH!$A$2:$H$3641</definedName>
    <definedName name="Z_B8472919_444E_4A93_9422_47388DB99559_.wvu.FilterData" localSheetId="2" hidden="1">AN_Control!$A$2:$H$1621</definedName>
    <definedName name="Z_B8472919_444E_4A93_9422_47388DB99559_.wvu.FilterData" localSheetId="4" hidden="1">Bao_Cao!$A$2:$H$1621</definedName>
    <definedName name="Z_B8472919_444E_4A93_9422_47388DB99559_.wvu.FilterData" localSheetId="5" hidden="1">Bao_Cao_AT!$A$2:$H$1621</definedName>
    <definedName name="Z_B8472919_444E_4A93_9422_47388DB99559_.wvu.FilterData" localSheetId="6" hidden="1">Bao_Cao_VH!$A$2:$H$1621</definedName>
    <definedName name="Z_B8472919_444E_4A93_9422_47388DB99559_.wvu.FilterData" localSheetId="3" hidden="1">SL_Control!$A$2:$H$420</definedName>
    <definedName name="Z_B8660D02_B6AD_4364_BBE4_4113884C2A6B_.wvu.FilterData" localSheetId="2" hidden="1">AN_Control!$A$2:$H$1469</definedName>
    <definedName name="Z_B8660D02_B6AD_4364_BBE4_4113884C2A6B_.wvu.FilterData" localSheetId="4" hidden="1">Bao_Cao!$A$2:$H$1469</definedName>
    <definedName name="Z_B8660D02_B6AD_4364_BBE4_4113884C2A6B_.wvu.FilterData" localSheetId="5" hidden="1">Bao_Cao_AT!$A$2:$H$1469</definedName>
    <definedName name="Z_B8660D02_B6AD_4364_BBE4_4113884C2A6B_.wvu.FilterData" localSheetId="6" hidden="1">Bao_Cao_VH!$A$2:$H$1469</definedName>
    <definedName name="Z_B8C07A0F_9B61_4496_BAAF_CDD105C4C95C_.wvu.FilterData" localSheetId="2" hidden="1">AN_Control!$A$2:$H$2487</definedName>
    <definedName name="Z_B8C07A0F_9B61_4496_BAAF_CDD105C4C95C_.wvu.FilterData" localSheetId="4" hidden="1">Bao_Cao!$A$2:$H$2488</definedName>
    <definedName name="Z_B8C07A0F_9B61_4496_BAAF_CDD105C4C95C_.wvu.FilterData" localSheetId="5" hidden="1">Bao_Cao_AT!$A$2:$H$2488</definedName>
    <definedName name="Z_B8C07A0F_9B61_4496_BAAF_CDD105C4C95C_.wvu.FilterData" localSheetId="6" hidden="1">Bao_Cao_VH!$A$2:$H$2488</definedName>
    <definedName name="Z_B9B99936_6D31_4401_A704_F0AA21D9A1F0_.wvu.FilterData" localSheetId="2" hidden="1">AN_Control!$A$2:$H$4385</definedName>
    <definedName name="Z_B9E402D5_52CC_4885_855A_21DF3FEFEA0F_.wvu.FilterData" localSheetId="2" hidden="1">AN_Control!$A$2:$H$4261</definedName>
    <definedName name="Z_B9E402D5_52CC_4885_855A_21DF3FEFEA0F_.wvu.FilterData" localSheetId="3" hidden="1">SL_Control!$A$2:$H$1049</definedName>
    <definedName name="Z_B9F02465_F675_4093_896B_E3B56C1C5987_.wvu.FilterData" localSheetId="2" hidden="1">AN_Control!$A$2:$H$1468</definedName>
    <definedName name="Z_B9F02465_F675_4093_896B_E3B56C1C5987_.wvu.FilterData" localSheetId="4" hidden="1">Bao_Cao!$A$2:$H$1468</definedName>
    <definedName name="Z_B9F02465_F675_4093_896B_E3B56C1C5987_.wvu.FilterData" localSheetId="5" hidden="1">Bao_Cao_AT!$A$2:$H$1468</definedName>
    <definedName name="Z_B9F02465_F675_4093_896B_E3B56C1C5987_.wvu.FilterData" localSheetId="6" hidden="1">Bao_Cao_VH!$A$2:$H$1468</definedName>
    <definedName name="Z_B9F02465_F675_4093_896B_E3B56C1C5987_.wvu.FilterData" localSheetId="3" hidden="1">SL_Control!$A$2:$H$384</definedName>
    <definedName name="Z_BA1F109C_D374_41B3_B72A_7B41CD675C01_.wvu.FilterData" localSheetId="3" hidden="1">SL_Control!$A$2:$H$809</definedName>
    <definedName name="Z_BA368AA6_0E31_48AC_A12E_E095755A3BB8_.wvu.FilterData" localSheetId="2" hidden="1">AN_Control!$A$2:$H$5357</definedName>
    <definedName name="Z_BA368AA6_0E31_48AC_A12E_E095755A3BB8_.wvu.FilterData" localSheetId="4" hidden="1">Bao_Cao!$A$2:$H$3882</definedName>
    <definedName name="Z_BA368AA6_0E31_48AC_A12E_E095755A3BB8_.wvu.FilterData" localSheetId="5" hidden="1">Bao_Cao_AT!$A$2:$H$3882</definedName>
    <definedName name="Z_BA368AA6_0E31_48AC_A12E_E095755A3BB8_.wvu.FilterData" localSheetId="6" hidden="1">Bao_Cao_VH!$A$2:$H$3882</definedName>
    <definedName name="Z_BA368AA6_0E31_48AC_A12E_E095755A3BB8_.wvu.FilterData" localSheetId="3" hidden="1">SL_Control!$A$2:$H$1353</definedName>
    <definedName name="Z_BABCB42C_0BF2_4052_8A19_EAAD4F7409F4_.wvu.FilterData" localSheetId="2" hidden="1">AN_Control!$A$2:$H$4616</definedName>
    <definedName name="Z_BABCB42C_0BF2_4052_8A19_EAAD4F7409F4_.wvu.FilterData" localSheetId="4" hidden="1">Bao_Cao!$A$2:$H$3882</definedName>
    <definedName name="Z_BABCB42C_0BF2_4052_8A19_EAAD4F7409F4_.wvu.FilterData" localSheetId="5" hidden="1">Bao_Cao_AT!$A$2:$H$3882</definedName>
    <definedName name="Z_BABCB42C_0BF2_4052_8A19_EAAD4F7409F4_.wvu.FilterData" localSheetId="6" hidden="1">Bao_Cao_VH!$A$2:$H$3882</definedName>
    <definedName name="Z_BAEB28AC_3E92_42DD_B63E_F8AAB1E4E35B_.wvu.FilterData" localSheetId="2" hidden="1">AN_Control!$A$2:$H$3177</definedName>
    <definedName name="Z_BAEB28AC_3E92_42DD_B63E_F8AAB1E4E35B_.wvu.FilterData" localSheetId="4" hidden="1">Bao_Cao!$A$2:$H$3178</definedName>
    <definedName name="Z_BAEB28AC_3E92_42DD_B63E_F8AAB1E4E35B_.wvu.FilterData" localSheetId="5" hidden="1">Bao_Cao_AT!$A$2:$H$3178</definedName>
    <definedName name="Z_BAEB28AC_3E92_42DD_B63E_F8AAB1E4E35B_.wvu.FilterData" localSheetId="6" hidden="1">Bao_Cao_VH!$A$2:$H$3178</definedName>
    <definedName name="Z_BB108674_D6E4_4747_82F3_30F29AD498C8_.wvu.FilterData" localSheetId="3" hidden="1">SL_Control!$A$2:$H$255</definedName>
    <definedName name="Z_BB75D427_76B5_48CC_A9C3_04A0F24596B4_.wvu.FilterData" localSheetId="2" hidden="1">AN_Control!$A$2:$H$3611</definedName>
    <definedName name="Z_BB75D427_76B5_48CC_A9C3_04A0F24596B4_.wvu.FilterData" localSheetId="4" hidden="1">Bao_Cao!$A$2:$H$3612</definedName>
    <definedName name="Z_BB75D427_76B5_48CC_A9C3_04A0F24596B4_.wvu.FilterData" localSheetId="5" hidden="1">Bao_Cao_AT!$A$2:$H$3612</definedName>
    <definedName name="Z_BB75D427_76B5_48CC_A9C3_04A0F24596B4_.wvu.FilterData" localSheetId="6" hidden="1">Bao_Cao_VH!$A$2:$H$3612</definedName>
    <definedName name="Z_BBA80733_54BD_400A_9383_110FCFB15797_.wvu.FilterData" localSheetId="2" hidden="1">AN_Control!$A$2:$H$1213</definedName>
    <definedName name="Z_BBA80733_54BD_400A_9383_110FCFB15797_.wvu.FilterData" localSheetId="4" hidden="1">Bao_Cao!$A$2:$H$1213</definedName>
    <definedName name="Z_BBA80733_54BD_400A_9383_110FCFB15797_.wvu.FilterData" localSheetId="5" hidden="1">Bao_Cao_AT!$A$2:$H$1213</definedName>
    <definedName name="Z_BBA80733_54BD_400A_9383_110FCFB15797_.wvu.FilterData" localSheetId="6" hidden="1">Bao_Cao_VH!$A$2:$H$1213</definedName>
    <definedName name="Z_BC980C55_30E6_4598_A1F8_BEC43E459FB5_.wvu.FilterData" localSheetId="2" hidden="1">AN_Control!$A$2:$H$5500</definedName>
    <definedName name="Z_BC980C55_30E6_4598_A1F8_BEC43E459FB5_.wvu.FilterData" localSheetId="4" hidden="1">Bao_Cao!$A$2:$H$3882</definedName>
    <definedName name="Z_BC980C55_30E6_4598_A1F8_BEC43E459FB5_.wvu.FilterData" localSheetId="5" hidden="1">Bao_Cao_AT!$A$2:$H$3882</definedName>
    <definedName name="Z_BC980C55_30E6_4598_A1F8_BEC43E459FB5_.wvu.FilterData" localSheetId="6" hidden="1">Bao_Cao_VH!$A$2:$H$3882</definedName>
    <definedName name="Z_BCD798E1_A2DB_4375_B2F1_2C00A3622607_.wvu.FilterData" localSheetId="4" hidden="1">Bao_Cao!$A$2:$H$3882</definedName>
    <definedName name="Z_BCD798E1_A2DB_4375_B2F1_2C00A3622607_.wvu.FilterData" localSheetId="5" hidden="1">Bao_Cao_AT!$A$2:$H$3882</definedName>
    <definedName name="Z_BCD798E1_A2DB_4375_B2F1_2C00A3622607_.wvu.FilterData" localSheetId="6" hidden="1">Bao_Cao_VH!$A$2:$H$3882</definedName>
    <definedName name="Z_BD1B1E26_2E68_46AC_BC23_81F61DD58E33_.wvu.FilterData" localSheetId="2" hidden="1">AN_Control!$A$2:$H$5431</definedName>
    <definedName name="Z_BD1B1E26_2E68_46AC_BC23_81F61DD58E33_.wvu.FilterData" localSheetId="4" hidden="1">Bao_Cao!$A$2:$H$3882</definedName>
    <definedName name="Z_BD1B1E26_2E68_46AC_BC23_81F61DD58E33_.wvu.FilterData" localSheetId="5" hidden="1">Bao_Cao_AT!$A$2:$H$3882</definedName>
    <definedName name="Z_BD1B1E26_2E68_46AC_BC23_81F61DD58E33_.wvu.FilterData" localSheetId="6" hidden="1">Bao_Cao_VH!$A$2:$H$3882</definedName>
    <definedName name="Z_BD4E9D28_A623_4041_8AB1_223377648924_.wvu.FilterData" localSheetId="3" hidden="1">SL_Control!$A$2:$H$264</definedName>
    <definedName name="Z_BD5DC441_960D_46CF_A6B9_5D327B10DF41_.wvu.FilterData" localSheetId="2" hidden="1">AN_Control!$A$2:$H$4126</definedName>
    <definedName name="Z_BD5DC441_960D_46CF_A6B9_5D327B10DF41_.wvu.FilterData" localSheetId="4" hidden="1">Bao_Cao!$A$2:$H$3882</definedName>
    <definedName name="Z_BD5DC441_960D_46CF_A6B9_5D327B10DF41_.wvu.FilterData" localSheetId="5" hidden="1">Bao_Cao_AT!$A$2:$H$3882</definedName>
    <definedName name="Z_BD5DC441_960D_46CF_A6B9_5D327B10DF41_.wvu.FilterData" localSheetId="6" hidden="1">Bao_Cao_VH!$A$2:$H$3882</definedName>
    <definedName name="Z_BEF43419_7227_464F_9B8E_C8BC151827E1_.wvu.FilterData" localSheetId="2" hidden="1">AN_Control!$A$2:$H$4465</definedName>
    <definedName name="Z_BEF43419_7227_464F_9B8E_C8BC151827E1_.wvu.FilterData" localSheetId="4" hidden="1">Bao_Cao!$A$2:$H$3882</definedName>
    <definedName name="Z_BEF43419_7227_464F_9B8E_C8BC151827E1_.wvu.FilterData" localSheetId="5" hidden="1">Bao_Cao_AT!$A$2:$H$3882</definedName>
    <definedName name="Z_BEF43419_7227_464F_9B8E_C8BC151827E1_.wvu.FilterData" localSheetId="6" hidden="1">Bao_Cao_VH!$A$2:$H$3882</definedName>
    <definedName name="Z_BF22F5AF_1739_4147_A25A_4BE118C35714_.wvu.FilterData" localSheetId="2" hidden="1">AN_Control!$A$2:$H$1373</definedName>
    <definedName name="Z_BF22F5AF_1739_4147_A25A_4BE118C35714_.wvu.FilterData" localSheetId="4" hidden="1">Bao_Cao!$A$2:$H$1373</definedName>
    <definedName name="Z_BF22F5AF_1739_4147_A25A_4BE118C35714_.wvu.FilterData" localSheetId="5" hidden="1">Bao_Cao_AT!$A$2:$H$1373</definedName>
    <definedName name="Z_BF22F5AF_1739_4147_A25A_4BE118C35714_.wvu.FilterData" localSheetId="6" hidden="1">Bao_Cao_VH!$A$2:$H$1373</definedName>
    <definedName name="Z_BF42EEFD_6D66_4773_A417_0FBEA4DB79F7_.wvu.FilterData" localSheetId="2" hidden="1">AN_Control!$A$2:$H$5523</definedName>
    <definedName name="Z_BF42EEFD_6D66_4773_A417_0FBEA4DB79F7_.wvu.FilterData" localSheetId="4" hidden="1">Bao_Cao!$A$2:$H$3882</definedName>
    <definedName name="Z_BF42EEFD_6D66_4773_A417_0FBEA4DB79F7_.wvu.FilterData" localSheetId="5" hidden="1">Bao_Cao_AT!$A$2:$H$3882</definedName>
    <definedName name="Z_BF42EEFD_6D66_4773_A417_0FBEA4DB79F7_.wvu.FilterData" localSheetId="6" hidden="1">Bao_Cao_VH!$A$2:$H$3882</definedName>
    <definedName name="Z_BFD3F06A_D784_4A5C_9D48_AE4B9733B5CF_.wvu.FilterData" localSheetId="2" hidden="1">AN_Control!$A$2:$H$2665</definedName>
    <definedName name="Z_BFD3F06A_D784_4A5C_9D48_AE4B9733B5CF_.wvu.FilterData" localSheetId="4" hidden="1">Bao_Cao!$A$2:$H$2666</definedName>
    <definedName name="Z_BFD3F06A_D784_4A5C_9D48_AE4B9733B5CF_.wvu.FilterData" localSheetId="5" hidden="1">Bao_Cao_AT!$A$2:$H$2666</definedName>
    <definedName name="Z_BFD3F06A_D784_4A5C_9D48_AE4B9733B5CF_.wvu.FilterData" localSheetId="6" hidden="1">Bao_Cao_VH!$A$2:$H$2666</definedName>
    <definedName name="Z_C07BD029_9C5E_4AB2_B369_B2F0439E8E72_.wvu.FilterData" localSheetId="2" hidden="1">AN_Control!$A$2:$H$2650</definedName>
    <definedName name="Z_C07BD029_9C5E_4AB2_B369_B2F0439E8E72_.wvu.FilterData" localSheetId="4" hidden="1">Bao_Cao!$A$2:$H$2651</definedName>
    <definedName name="Z_C07BD029_9C5E_4AB2_B369_B2F0439E8E72_.wvu.FilterData" localSheetId="5" hidden="1">Bao_Cao_AT!$A$2:$H$2651</definedName>
    <definedName name="Z_C07BD029_9C5E_4AB2_B369_B2F0439E8E72_.wvu.FilterData" localSheetId="6" hidden="1">Bao_Cao_VH!$A$2:$H$2651</definedName>
    <definedName name="Z_C07BD029_9C5E_4AB2_B369_B2F0439E8E72_.wvu.FilterData" localSheetId="3" hidden="1">SL_Control!$A$2:$H$613</definedName>
    <definedName name="Z_C0BC6E9D_CEC6_4D7E_A428_757931B09E91_.wvu.FilterData" localSheetId="3" hidden="1">SL_Control!$A$2:$H$284</definedName>
    <definedName name="Z_C104785B_9469_4C5E_BB35_551DCF451A66_.wvu.FilterData" localSheetId="2" hidden="1">AN_Control!$A$2:$H$1574</definedName>
    <definedName name="Z_C104785B_9469_4C5E_BB35_551DCF451A66_.wvu.FilterData" localSheetId="4" hidden="1">Bao_Cao!$A$2:$H$1574</definedName>
    <definedName name="Z_C104785B_9469_4C5E_BB35_551DCF451A66_.wvu.FilterData" localSheetId="5" hidden="1">Bao_Cao_AT!$A$2:$H$1574</definedName>
    <definedName name="Z_C104785B_9469_4C5E_BB35_551DCF451A66_.wvu.FilterData" localSheetId="6" hidden="1">Bao_Cao_VH!$A$2:$H$1574</definedName>
    <definedName name="Z_C146CB89_1433_40B5_BAA3_E7B6A9D06B93_.wvu.FilterData" localSheetId="2" hidden="1">AN_Control!$A$2:$H$4964</definedName>
    <definedName name="Z_C146CB89_1433_40B5_BAA3_E7B6A9D06B93_.wvu.FilterData" localSheetId="4" hidden="1">Bao_Cao!$A$2:$H$3882</definedName>
    <definedName name="Z_C146CB89_1433_40B5_BAA3_E7B6A9D06B93_.wvu.FilterData" localSheetId="5" hidden="1">Bao_Cao_AT!$A$2:$H$3882</definedName>
    <definedName name="Z_C146CB89_1433_40B5_BAA3_E7B6A9D06B93_.wvu.FilterData" localSheetId="6" hidden="1">Bao_Cao_VH!$A$2:$H$3882</definedName>
    <definedName name="Z_C146CB89_1433_40B5_BAA3_E7B6A9D06B93_.wvu.FilterData" localSheetId="3" hidden="1">SL_Control!$A$2:$H$1223</definedName>
    <definedName name="Z_C26EE3FB_D1F2_43DC_9F4A_B5CEA85D3877_.wvu.FilterData" localSheetId="4" hidden="1">Bao_Cao!$A$2:$H$3882</definedName>
    <definedName name="Z_C26EE3FB_D1F2_43DC_9F4A_B5CEA85D3877_.wvu.FilterData" localSheetId="5" hidden="1">Bao_Cao_AT!$A$2:$H$3882</definedName>
    <definedName name="Z_C26EE3FB_D1F2_43DC_9F4A_B5CEA85D3877_.wvu.FilterData" localSheetId="6" hidden="1">Bao_Cao_VH!$A$2:$H$3882</definedName>
    <definedName name="Z_C26EE3FB_D1F2_43DC_9F4A_B5CEA85D3877_.wvu.FilterData" localSheetId="3" hidden="1">SL_Control!$A$2:$H$1376</definedName>
    <definedName name="Z_C2707E79_A961_4187_9220_D7B597DFFEFD_.wvu.FilterData" localSheetId="2" hidden="1">AN_Control!$A$2:$H$4895</definedName>
    <definedName name="Z_C291DB42_DFEF_4C07_A276_0C07E987D8E9_.wvu.FilterData" localSheetId="4" hidden="1">Bao_Cao!$A$2:$H$3882</definedName>
    <definedName name="Z_C291DB42_DFEF_4C07_A276_0C07E987D8E9_.wvu.FilterData" localSheetId="5" hidden="1">Bao_Cao_AT!$A$2:$H$3882</definedName>
    <definedName name="Z_C291DB42_DFEF_4C07_A276_0C07E987D8E9_.wvu.FilterData" localSheetId="6" hidden="1">Bao_Cao_VH!$A$2:$H$3882</definedName>
    <definedName name="Z_C2E8EE65_D0C1_442B_BF20_F9F87480931B_.wvu.FilterData" localSheetId="2" hidden="1">AN_Control!$A$2:$H$5604</definedName>
    <definedName name="Z_C2E8EE65_D0C1_442B_BF20_F9F87480931B_.wvu.FilterData" localSheetId="4" hidden="1">Bao_Cao!$A$2:$H$3882</definedName>
    <definedName name="Z_C2E8EE65_D0C1_442B_BF20_F9F87480931B_.wvu.FilterData" localSheetId="5" hidden="1">Bao_Cao_AT!$A$2:$H$3882</definedName>
    <definedName name="Z_C2E8EE65_D0C1_442B_BF20_F9F87480931B_.wvu.FilterData" localSheetId="6" hidden="1">Bao_Cao_VH!$A$2:$H$3882</definedName>
    <definedName name="Z_C31106C1_5DAD_4043_BBE5_390B33234D25_.wvu.FilterData" localSheetId="3" hidden="1">SL_Control!$A$2:$H$619</definedName>
    <definedName name="Z_C324A3F2_12E3_43C5_A27C_40E3E29790F9_.wvu.FilterData" localSheetId="2" hidden="1">AN_Control!$A$2:$H$4403</definedName>
    <definedName name="Z_C4509E63_15E1_4069_878D_0F22A92B62E8_.wvu.FilterData" localSheetId="2" hidden="1">AN_Control!$A$2:$H$5471</definedName>
    <definedName name="Z_C4509E63_15E1_4069_878D_0F22A92B62E8_.wvu.FilterData" localSheetId="4" hidden="1">Bao_Cao!$A$2:$H$3882</definedName>
    <definedName name="Z_C4509E63_15E1_4069_878D_0F22A92B62E8_.wvu.FilterData" localSheetId="5" hidden="1">Bao_Cao_AT!$A$2:$H$3882</definedName>
    <definedName name="Z_C4509E63_15E1_4069_878D_0F22A92B62E8_.wvu.FilterData" localSheetId="6" hidden="1">Bao_Cao_VH!$A$2:$H$3882</definedName>
    <definedName name="Z_C4606661_32C6_43AF_A946_6E2E723E2503_.wvu.FilterData" localSheetId="2" hidden="1">AN_Control!$A$2:$H$2146</definedName>
    <definedName name="Z_C4606661_32C6_43AF_A946_6E2E723E2503_.wvu.FilterData" localSheetId="4" hidden="1">Bao_Cao!$A$2:$H$2146</definedName>
    <definedName name="Z_C4606661_32C6_43AF_A946_6E2E723E2503_.wvu.FilterData" localSheetId="5" hidden="1">Bao_Cao_AT!$A$2:$H$2146</definedName>
    <definedName name="Z_C4606661_32C6_43AF_A946_6E2E723E2503_.wvu.FilterData" localSheetId="6" hidden="1">Bao_Cao_VH!$A$2:$H$2146</definedName>
    <definedName name="Z_C507D96E_B944_4E7B_874F_355F1BA6F3EE_.wvu.FilterData" localSheetId="3" hidden="1">SL_Control!$A$2:$H$520</definedName>
    <definedName name="Z_C5EE13B4_5981_402B_BC47_2A5E8FC5E3F1_.wvu.FilterData" localSheetId="3" hidden="1">SL_Control!$A$2:$H$1072</definedName>
    <definedName name="Z_C6443340_B152_42B0_98BF_DBDE48A829AA_.wvu.FilterData" localSheetId="3" hidden="1">SL_Control!$A$2:$H$779</definedName>
    <definedName name="Z_C667F24F_CBB7_48ED_827A_98DF30A4C68C_.wvu.FilterData" localSheetId="2" hidden="1">AN_Control!$A$2:$H$2622</definedName>
    <definedName name="Z_C667F24F_CBB7_48ED_827A_98DF30A4C68C_.wvu.FilterData" localSheetId="4" hidden="1">Bao_Cao!$A$2:$H$2623</definedName>
    <definedName name="Z_C667F24F_CBB7_48ED_827A_98DF30A4C68C_.wvu.FilterData" localSheetId="5" hidden="1">Bao_Cao_AT!$A$2:$H$2623</definedName>
    <definedName name="Z_C667F24F_CBB7_48ED_827A_98DF30A4C68C_.wvu.FilterData" localSheetId="6" hidden="1">Bao_Cao_VH!$A$2:$H$2623</definedName>
    <definedName name="Z_C6979F17_186D_46A3_AE2A_C1986A81F74E_.wvu.FilterData" localSheetId="2" hidden="1">AN_Control!$A$2:$H$363</definedName>
    <definedName name="Z_C6979F17_186D_46A3_AE2A_C1986A81F74E_.wvu.FilterData" localSheetId="4" hidden="1">Bao_Cao!$A$2:$H$363</definedName>
    <definedName name="Z_C6979F17_186D_46A3_AE2A_C1986A81F74E_.wvu.FilterData" localSheetId="5" hidden="1">Bao_Cao_AT!$A$2:$H$363</definedName>
    <definedName name="Z_C6979F17_186D_46A3_AE2A_C1986A81F74E_.wvu.FilterData" localSheetId="6" hidden="1">Bao_Cao_VH!$A$2:$H$363</definedName>
    <definedName name="Z_C732325F_DD5F_4159_8159_1217495849E3_.wvu.FilterData" localSheetId="2" hidden="1">AN_Control!$A$2:$H$933</definedName>
    <definedName name="Z_C732325F_DD5F_4159_8159_1217495849E3_.wvu.FilterData" localSheetId="4" hidden="1">Bao_Cao!$A$2:$H$933</definedName>
    <definedName name="Z_C732325F_DD5F_4159_8159_1217495849E3_.wvu.FilterData" localSheetId="5" hidden="1">Bao_Cao_AT!$A$2:$H$933</definedName>
    <definedName name="Z_C732325F_DD5F_4159_8159_1217495849E3_.wvu.FilterData" localSheetId="6" hidden="1">Bao_Cao_VH!$A$2:$H$933</definedName>
    <definedName name="Z_C78F2998_5FD0_4627_90C6_497B883EA334_.wvu.FilterData" localSheetId="3" hidden="1">SL_Control!$A$2:$H$981</definedName>
    <definedName name="Z_C7FD5FCC_7597_401E_BF2C_D95FADC58186_.wvu.FilterData" localSheetId="2" hidden="1">AN_Control!$A$2:$H$3377</definedName>
    <definedName name="Z_C7FD5FCC_7597_401E_BF2C_D95FADC58186_.wvu.FilterData" localSheetId="4" hidden="1">Bao_Cao!$A$2:$H$3378</definedName>
    <definedName name="Z_C7FD5FCC_7597_401E_BF2C_D95FADC58186_.wvu.FilterData" localSheetId="5" hidden="1">Bao_Cao_AT!$A$2:$H$3378</definedName>
    <definedName name="Z_C7FD5FCC_7597_401E_BF2C_D95FADC58186_.wvu.FilterData" localSheetId="6" hidden="1">Bao_Cao_VH!$A$2:$H$3378</definedName>
    <definedName name="Z_C82B476E_5C32_4502_964A_26E86529977B_.wvu.FilterData" localSheetId="2" hidden="1">AN_Control!$A$2:$H$4859</definedName>
    <definedName name="Z_C82FC90E_19A7_4EB7_A022_A5C1755B853E_.wvu.FilterData" localSheetId="2" hidden="1">AN_Control!$A$2:$H$2219</definedName>
    <definedName name="Z_C82FC90E_19A7_4EB7_A022_A5C1755B853E_.wvu.FilterData" localSheetId="4" hidden="1">Bao_Cao!$A$2:$H$2219</definedName>
    <definedName name="Z_C82FC90E_19A7_4EB7_A022_A5C1755B853E_.wvu.FilterData" localSheetId="5" hidden="1">Bao_Cao_AT!$A$2:$H$2219</definedName>
    <definedName name="Z_C82FC90E_19A7_4EB7_A022_A5C1755B853E_.wvu.FilterData" localSheetId="6" hidden="1">Bao_Cao_VH!$A$2:$H$2219</definedName>
    <definedName name="Z_C892B6D8_F232_4B42_A3DC_7784C06E843F_.wvu.FilterData" localSheetId="2" hidden="1">AN_Control!$A$2:$H$4817</definedName>
    <definedName name="Z_C892B6D8_F232_4B42_A3DC_7784C06E843F_.wvu.FilterData" localSheetId="4" hidden="1">Bao_Cao!$A$2:$H$3882</definedName>
    <definedName name="Z_C892B6D8_F232_4B42_A3DC_7784C06E843F_.wvu.FilterData" localSheetId="5" hidden="1">Bao_Cao_AT!$A$2:$H$3882</definedName>
    <definedName name="Z_C892B6D8_F232_4B42_A3DC_7784C06E843F_.wvu.FilterData" localSheetId="6" hidden="1">Bao_Cao_VH!$A$2:$H$3882</definedName>
    <definedName name="Z_C892B6D8_F232_4B42_A3DC_7784C06E843F_.wvu.FilterData" localSheetId="3" hidden="1">SL_Control!$A$2:$H$1171</definedName>
    <definedName name="Z_C8F16AA4_C30D_43D1_9C4C_5B962C46D218_.wvu.FilterData" localSheetId="2" hidden="1">AN_Control!$A$2:$H$5431</definedName>
    <definedName name="Z_C8F16AA4_C30D_43D1_9C4C_5B962C46D218_.wvu.FilterData" localSheetId="4" hidden="1">Bao_Cao!$A$2:$H$3882</definedName>
    <definedName name="Z_C8F16AA4_C30D_43D1_9C4C_5B962C46D218_.wvu.FilterData" localSheetId="5" hidden="1">Bao_Cao_AT!$A$2:$H$3882</definedName>
    <definedName name="Z_C8F16AA4_C30D_43D1_9C4C_5B962C46D218_.wvu.FilterData" localSheetId="6" hidden="1">Bao_Cao_VH!$A$2:$H$3882</definedName>
    <definedName name="Z_C8F16AA4_C30D_43D1_9C4C_5B962C46D218_.wvu.FilterData" localSheetId="3" hidden="1">SL_Control!$A$2:$H$1393</definedName>
    <definedName name="Z_C9008B4F_EC9E_427A_B06E_2ACC5D04B6F0_.wvu.FilterData" localSheetId="2" hidden="1">AN_Control!$A$2:$H$4309</definedName>
    <definedName name="Z_C9008B4F_EC9E_427A_B06E_2ACC5D04B6F0_.wvu.FilterData" localSheetId="4" hidden="1">Bao_Cao!$A$2:$H$3882</definedName>
    <definedName name="Z_C9008B4F_EC9E_427A_B06E_2ACC5D04B6F0_.wvu.FilterData" localSheetId="5" hidden="1">Bao_Cao_AT!$A$2:$H$3882</definedName>
    <definedName name="Z_C9008B4F_EC9E_427A_B06E_2ACC5D04B6F0_.wvu.FilterData" localSheetId="6" hidden="1">Bao_Cao_VH!$A$2:$H$3882</definedName>
    <definedName name="Z_C9008B4F_EC9E_427A_B06E_2ACC5D04B6F0_.wvu.FilterData" localSheetId="3" hidden="1">SL_Control!$A$2:$H$1057</definedName>
    <definedName name="Z_C92F813F_820D_4D11_81AB_0A78B40F0637_.wvu.FilterData" localSheetId="2" hidden="1">AN_Control!$A$2:$H$4895</definedName>
    <definedName name="Z_C92F813F_820D_4D11_81AB_0A78B40F0637_.wvu.FilterData" localSheetId="4" hidden="1">Bao_Cao!$A$2:$H$3882</definedName>
    <definedName name="Z_C92F813F_820D_4D11_81AB_0A78B40F0637_.wvu.FilterData" localSheetId="5" hidden="1">Bao_Cao_AT!$A$2:$H$3882</definedName>
    <definedName name="Z_C92F813F_820D_4D11_81AB_0A78B40F0637_.wvu.FilterData" localSheetId="6" hidden="1">Bao_Cao_VH!$A$2:$H$3882</definedName>
    <definedName name="Z_C92F813F_820D_4D11_81AB_0A78B40F0637_.wvu.FilterData" localSheetId="3" hidden="1">SL_Control!$A$2:$H$1201</definedName>
    <definedName name="Z_C9329513_12D6_4CFF_B3CF_2DB4A63C1C29_.wvu.FilterData" localSheetId="2" hidden="1">AN_Control!$A$2:$H$1836</definedName>
    <definedName name="Z_C9329513_12D6_4CFF_B3CF_2DB4A63C1C29_.wvu.FilterData" localSheetId="4" hidden="1">Bao_Cao!$A$2:$H$1836</definedName>
    <definedName name="Z_C9329513_12D6_4CFF_B3CF_2DB4A63C1C29_.wvu.FilterData" localSheetId="5" hidden="1">Bao_Cao_AT!$A$2:$H$1836</definedName>
    <definedName name="Z_C9329513_12D6_4CFF_B3CF_2DB4A63C1C29_.wvu.FilterData" localSheetId="6" hidden="1">Bao_Cao_VH!$A$2:$H$1836</definedName>
    <definedName name="Z_C96EBFB4_0F1D_4712_978E_6D025F705598_.wvu.FilterData" localSheetId="2" hidden="1">AN_Control!$A$2:$H$3393</definedName>
    <definedName name="Z_C96EBFB4_0F1D_4712_978E_6D025F705598_.wvu.FilterData" localSheetId="4" hidden="1">Bao_Cao!$A$2:$H$3394</definedName>
    <definedName name="Z_C96EBFB4_0F1D_4712_978E_6D025F705598_.wvu.FilterData" localSheetId="5" hidden="1">Bao_Cao_AT!$A$2:$H$3394</definedName>
    <definedName name="Z_C96EBFB4_0F1D_4712_978E_6D025F705598_.wvu.FilterData" localSheetId="6" hidden="1">Bao_Cao_VH!$A$2:$H$3394</definedName>
    <definedName name="Z_CA0592AE_FBA7_41CB_AC65_11F8EB364559_.wvu.FilterData" localSheetId="2" hidden="1">AN_Control!$A$2:$H$1634</definedName>
    <definedName name="Z_CA0592AE_FBA7_41CB_AC65_11F8EB364559_.wvu.FilterData" localSheetId="4" hidden="1">Bao_Cao!$A$2:$H$1634</definedName>
    <definedName name="Z_CA0592AE_FBA7_41CB_AC65_11F8EB364559_.wvu.FilterData" localSheetId="5" hidden="1">Bao_Cao_AT!$A$2:$H$1634</definedName>
    <definedName name="Z_CA0592AE_FBA7_41CB_AC65_11F8EB364559_.wvu.FilterData" localSheetId="6" hidden="1">Bao_Cao_VH!$A$2:$H$1634</definedName>
    <definedName name="Z_CA7379F1_8BB9_4A77_8393_8142FF053D1C_.wvu.FilterData" localSheetId="3" hidden="1">SL_Control!$A$2:$H$392</definedName>
    <definedName name="Z_CA7B335D_D300_4977_8F9B_37AB8BBE6104_.wvu.FilterData" localSheetId="3" hidden="1">SL_Control!$A$2:$H$712</definedName>
    <definedName name="Z_CB499D53_81C5_4231_81BB_2944E9B88D05_.wvu.FilterData" localSheetId="3" hidden="1">SL_Control!$A$2:$H$589</definedName>
    <definedName name="Z_CBCC6AFB_0A3C_42D2_95BD_ED11F727D6A1_.wvu.FilterData" localSheetId="2" hidden="1">AN_Control!$A$2:$H$1196</definedName>
    <definedName name="Z_CBCC6AFB_0A3C_42D2_95BD_ED11F727D6A1_.wvu.FilterData" localSheetId="4" hidden="1">Bao_Cao!$A$2:$H$1196</definedName>
    <definedName name="Z_CBCC6AFB_0A3C_42D2_95BD_ED11F727D6A1_.wvu.FilterData" localSheetId="5" hidden="1">Bao_Cao_AT!$A$2:$H$1196</definedName>
    <definedName name="Z_CBCC6AFB_0A3C_42D2_95BD_ED11F727D6A1_.wvu.FilterData" localSheetId="6" hidden="1">Bao_Cao_VH!$A$2:$H$1196</definedName>
    <definedName name="Z_CBE1C395_E43D_43DD_B0AB_584BED1A0993_.wvu.FilterData" localSheetId="2" hidden="1">AN_Control!$A$2:$H$1975</definedName>
    <definedName name="Z_CBE1C395_E43D_43DD_B0AB_584BED1A0993_.wvu.FilterData" localSheetId="4" hidden="1">Bao_Cao!$A$2:$H$1975</definedName>
    <definedName name="Z_CBE1C395_E43D_43DD_B0AB_584BED1A0993_.wvu.FilterData" localSheetId="5" hidden="1">Bao_Cao_AT!$A$2:$H$1975</definedName>
    <definedName name="Z_CBE1C395_E43D_43DD_B0AB_584BED1A0993_.wvu.FilterData" localSheetId="6" hidden="1">Bao_Cao_VH!$A$2:$H$1975</definedName>
    <definedName name="Z_CC0B462B_2730_49AA_B16F_88AD853AA11C_.wvu.FilterData" localSheetId="2" hidden="1">AN_Control!$A$2:$H$5642</definedName>
    <definedName name="Z_CC0B462B_2730_49AA_B16F_88AD853AA11C_.wvu.FilterData" localSheetId="4" hidden="1">Bao_Cao!$A$2:$H$3882</definedName>
    <definedName name="Z_CC0B462B_2730_49AA_B16F_88AD853AA11C_.wvu.FilterData" localSheetId="5" hidden="1">Bao_Cao_AT!$A$2:$H$3882</definedName>
    <definedName name="Z_CC0B462B_2730_49AA_B16F_88AD853AA11C_.wvu.FilterData" localSheetId="6" hidden="1">Bao_Cao_VH!$A$2:$H$3882</definedName>
    <definedName name="Z_CC1A4605_60FA_486A_BFCA_7C079514AD01_.wvu.FilterData" localSheetId="2" hidden="1">AN_Control!$A$2:$H$3969</definedName>
    <definedName name="Z_CC1A4605_60FA_486A_BFCA_7C079514AD01_.wvu.FilterData" localSheetId="4" hidden="1">Bao_Cao!$A$2:$H$3882</definedName>
    <definedName name="Z_CC1A4605_60FA_486A_BFCA_7C079514AD01_.wvu.FilterData" localSheetId="5" hidden="1">Bao_Cao_AT!$A$2:$H$3882</definedName>
    <definedName name="Z_CC1A4605_60FA_486A_BFCA_7C079514AD01_.wvu.FilterData" localSheetId="6" hidden="1">Bao_Cao_VH!$A$2:$H$3882</definedName>
    <definedName name="Z_CC236B8A_E5C0_4EE6_A19D_659F5C6070AB_.wvu.FilterData" localSheetId="3" hidden="1">SL_Control!$A$2:$H$528</definedName>
    <definedName name="Z_CC2E6ED0_BCD1_4B98_9C38_3C3EBCD20963_.wvu.FilterData" localSheetId="3" hidden="1">SL_Control!$A$2:$H$146</definedName>
    <definedName name="Z_CC4C1C28_935F_49AC_8109_F86DED39E51C_.wvu.FilterData" localSheetId="2" hidden="1">AN_Control!$A$2:$H$4501</definedName>
    <definedName name="Z_CC4C1C28_935F_49AC_8109_F86DED39E51C_.wvu.FilterData" localSheetId="4" hidden="1">Bao_Cao!$A$2:$H$3882</definedName>
    <definedName name="Z_CC4C1C28_935F_49AC_8109_F86DED39E51C_.wvu.FilterData" localSheetId="5" hidden="1">Bao_Cao_AT!$A$2:$H$3882</definedName>
    <definedName name="Z_CC4C1C28_935F_49AC_8109_F86DED39E51C_.wvu.FilterData" localSheetId="6" hidden="1">Bao_Cao_VH!$A$2:$H$3882</definedName>
    <definedName name="Z_CC4C1C28_935F_49AC_8109_F86DED39E51C_.wvu.FilterData" localSheetId="3" hidden="1">SL_Control!$A$2:$H$1102</definedName>
    <definedName name="Z_CC64024C_FF9F_4050_B531_B4098FDE7A3C_.wvu.FilterData" localSheetId="2" hidden="1">AN_Control!$A$2:$H$3272</definedName>
    <definedName name="Z_CC64024C_FF9F_4050_B531_B4098FDE7A3C_.wvu.FilterData" localSheetId="4" hidden="1">Bao_Cao!$A$2:$H$3273</definedName>
    <definedName name="Z_CC64024C_FF9F_4050_B531_B4098FDE7A3C_.wvu.FilterData" localSheetId="5" hidden="1">Bao_Cao_AT!$A$2:$H$3273</definedName>
    <definedName name="Z_CC64024C_FF9F_4050_B531_B4098FDE7A3C_.wvu.FilterData" localSheetId="6" hidden="1">Bao_Cao_VH!$A$2:$H$3273</definedName>
    <definedName name="Z_CCC38C48_CE63_4202_9D0D_8BF20FF978BB_.wvu.FilterData" localSheetId="2" hidden="1">AN_Control!$A$2:$H$3187</definedName>
    <definedName name="Z_CCC38C48_CE63_4202_9D0D_8BF20FF978BB_.wvu.FilterData" localSheetId="4" hidden="1">Bao_Cao!$A$2:$H$3188</definedName>
    <definedName name="Z_CCC38C48_CE63_4202_9D0D_8BF20FF978BB_.wvu.FilterData" localSheetId="5" hidden="1">Bao_Cao_AT!$A$2:$H$3188</definedName>
    <definedName name="Z_CCC38C48_CE63_4202_9D0D_8BF20FF978BB_.wvu.FilterData" localSheetId="6" hidden="1">Bao_Cao_VH!$A$2:$H$3188</definedName>
    <definedName name="Z_CCC38C48_CE63_4202_9D0D_8BF20FF978BB_.wvu.FilterData" localSheetId="3" hidden="1">SL_Control!$A$2:$H$725</definedName>
    <definedName name="Z_CD833742_2CF7_43C6_9F9D_DAD801968E32_.wvu.FilterData" localSheetId="2" hidden="1">AN_Control!$A$2:$H$3519</definedName>
    <definedName name="Z_CD833742_2CF7_43C6_9F9D_DAD801968E32_.wvu.FilterData" localSheetId="4" hidden="1">Bao_Cao!$A$2:$H$3520</definedName>
    <definedName name="Z_CD833742_2CF7_43C6_9F9D_DAD801968E32_.wvu.FilterData" localSheetId="5" hidden="1">Bao_Cao_AT!$A$2:$H$3520</definedName>
    <definedName name="Z_CD833742_2CF7_43C6_9F9D_DAD801968E32_.wvu.FilterData" localSheetId="6" hidden="1">Bao_Cao_VH!$A$2:$H$3520</definedName>
    <definedName name="Z_CD978F6A_8463_4F80_9CC8_30278C0C977F_.wvu.FilterData" localSheetId="2" hidden="1">AN_Control!$A$2:$H$4846</definedName>
    <definedName name="Z_CE4BB998_8E16_496C_9333_D53F05340675_.wvu.FilterData" localSheetId="4" hidden="1">Bao_Cao!$A$2:$H$3882</definedName>
    <definedName name="Z_CE4BB998_8E16_496C_9333_D53F05340675_.wvu.FilterData" localSheetId="5" hidden="1">Bao_Cao_AT!$A$2:$H$3882</definedName>
    <definedName name="Z_CE4BB998_8E16_496C_9333_D53F05340675_.wvu.FilterData" localSheetId="6" hidden="1">Bao_Cao_VH!$A$2:$H$3882</definedName>
    <definedName name="Z_CEA6622A_DF0A_4BF9_8E77_F56871C09520_.wvu.FilterData" localSheetId="2" hidden="1">AN_Control!$A$2:$H$691</definedName>
    <definedName name="Z_CEA6622A_DF0A_4BF9_8E77_F56871C09520_.wvu.FilterData" localSheetId="4" hidden="1">Bao_Cao!$A$2:$H$691</definedName>
    <definedName name="Z_CEA6622A_DF0A_4BF9_8E77_F56871C09520_.wvu.FilterData" localSheetId="5" hidden="1">Bao_Cao_AT!$A$2:$H$691</definedName>
    <definedName name="Z_CEA6622A_DF0A_4BF9_8E77_F56871C09520_.wvu.FilterData" localSheetId="6" hidden="1">Bao_Cao_VH!$A$2:$H$691</definedName>
    <definedName name="Z_CF3E0F30_6C88_4304_95A8_845FFB06C923_.wvu.FilterData" localSheetId="2" hidden="1">AN_Control!$A$2:$H$2473</definedName>
    <definedName name="Z_CF3E0F30_6C88_4304_95A8_845FFB06C923_.wvu.FilterData" localSheetId="4" hidden="1">Bao_Cao!$A$2:$H$2474</definedName>
    <definedName name="Z_CF3E0F30_6C88_4304_95A8_845FFB06C923_.wvu.FilterData" localSheetId="5" hidden="1">Bao_Cao_AT!$A$2:$H$2474</definedName>
    <definedName name="Z_CF3E0F30_6C88_4304_95A8_845FFB06C923_.wvu.FilterData" localSheetId="6" hidden="1">Bao_Cao_VH!$A$2:$H$2474</definedName>
    <definedName name="Z_CF3E0F30_6C88_4304_95A8_845FFB06C923_.wvu.FilterData" localSheetId="3" hidden="1">SL_Control!$A$2:$H$574</definedName>
    <definedName name="Z_CF70EA18_6F99_4DAF_B48D_3551C63A29D1_.wvu.FilterData" localSheetId="2" hidden="1">AN_Control!$A$2:$H$1084</definedName>
    <definedName name="Z_CF70EA18_6F99_4DAF_B48D_3551C63A29D1_.wvu.FilterData" localSheetId="4" hidden="1">Bao_Cao!$A$2:$H$1084</definedName>
    <definedName name="Z_CF70EA18_6F99_4DAF_B48D_3551C63A29D1_.wvu.FilterData" localSheetId="5" hidden="1">Bao_Cao_AT!$A$2:$H$1084</definedName>
    <definedName name="Z_CF70EA18_6F99_4DAF_B48D_3551C63A29D1_.wvu.FilterData" localSheetId="6" hidden="1">Bao_Cao_VH!$A$2:$H$1084</definedName>
    <definedName name="Z_D076540C_8920_4776_AB58_54836F1C4185_.wvu.FilterData" localSheetId="2" hidden="1">AN_Control!$A$2:$H$701</definedName>
    <definedName name="Z_D076540C_8920_4776_AB58_54836F1C4185_.wvu.FilterData" localSheetId="4" hidden="1">Bao_Cao!$A$2:$H$701</definedName>
    <definedName name="Z_D076540C_8920_4776_AB58_54836F1C4185_.wvu.FilterData" localSheetId="5" hidden="1">Bao_Cao_AT!$A$2:$H$701</definedName>
    <definedName name="Z_D076540C_8920_4776_AB58_54836F1C4185_.wvu.FilterData" localSheetId="6" hidden="1">Bao_Cao_VH!$A$2:$H$701</definedName>
    <definedName name="Z_D0B2EA83_F778_4E3E_BEB2_C0ADF357BA55_.wvu.FilterData" localSheetId="4" hidden="1">Bao_Cao!$A$2:$H$3882</definedName>
    <definedName name="Z_D0B2EA83_F778_4E3E_BEB2_C0ADF357BA55_.wvu.FilterData" localSheetId="5" hidden="1">Bao_Cao_AT!$A$2:$H$3882</definedName>
    <definedName name="Z_D0B2EA83_F778_4E3E_BEB2_C0ADF357BA55_.wvu.FilterData" localSheetId="6" hidden="1">Bao_Cao_VH!$A$2:$H$3882</definedName>
    <definedName name="Z_D0B2EA83_F778_4E3E_BEB2_C0ADF357BA55_.wvu.FilterData" localSheetId="3" hidden="1">SL_Control!$A$2:$H$1210</definedName>
    <definedName name="Z_D0EBB7F6_2EC0_4B76_BCE4_328B0DFA9A55_.wvu.FilterData" localSheetId="4" hidden="1">Bao_Cao!$A$2:$H$3882</definedName>
    <definedName name="Z_D0EBB7F6_2EC0_4B76_BCE4_328B0DFA9A55_.wvu.FilterData" localSheetId="5" hidden="1">Bao_Cao_AT!$A$2:$H$3882</definedName>
    <definedName name="Z_D0EBB7F6_2EC0_4B76_BCE4_328B0DFA9A55_.wvu.FilterData" localSheetId="6" hidden="1">Bao_Cao_VH!$A$2:$H$3882</definedName>
    <definedName name="Z_D0EBB7F6_2EC0_4B76_BCE4_328B0DFA9A55_.wvu.FilterData" localSheetId="3" hidden="1">SL_Control!$A$2:$H$1399</definedName>
    <definedName name="Z_D10EBEC1_2FE3_40B7_8C26_0284D6919ED2_.wvu.FilterData" localSheetId="2" hidden="1">AN_Control!$A$2:$H$501</definedName>
    <definedName name="Z_D10EBEC1_2FE3_40B7_8C26_0284D6919ED2_.wvu.FilterData" localSheetId="4" hidden="1">Bao_Cao!$A$2:$H$501</definedName>
    <definedName name="Z_D10EBEC1_2FE3_40B7_8C26_0284D6919ED2_.wvu.FilterData" localSheetId="5" hidden="1">Bao_Cao_AT!$A$2:$H$501</definedName>
    <definedName name="Z_D10EBEC1_2FE3_40B7_8C26_0284D6919ED2_.wvu.FilterData" localSheetId="6" hidden="1">Bao_Cao_VH!$A$2:$H$501</definedName>
    <definedName name="Z_D146A8F8_1963_4900_B8DC_9CC82D0AB5BC_.wvu.FilterData" localSheetId="2" hidden="1">AN_Control!$A$2:$H$1819</definedName>
    <definedName name="Z_D146A8F8_1963_4900_B8DC_9CC82D0AB5BC_.wvu.FilterData" localSheetId="4" hidden="1">Bao_Cao!$A$2:$H$1819</definedName>
    <definedName name="Z_D146A8F8_1963_4900_B8DC_9CC82D0AB5BC_.wvu.FilterData" localSheetId="5" hidden="1">Bao_Cao_AT!$A$2:$H$1819</definedName>
    <definedName name="Z_D146A8F8_1963_4900_B8DC_9CC82D0AB5BC_.wvu.FilterData" localSheetId="6" hidden="1">Bao_Cao_VH!$A$2:$H$1819</definedName>
    <definedName name="Z_D146A8F8_1963_4900_B8DC_9CC82D0AB5BC_.wvu.FilterData" localSheetId="3" hidden="1">SL_Control!$A$2:$H$520</definedName>
    <definedName name="Z_D15EE331_36AC_4B09_A501_43A12056D1A6_.wvu.FilterData" localSheetId="2" hidden="1">AN_Control!$A$2:$H$1643</definedName>
    <definedName name="Z_D15EE331_36AC_4B09_A501_43A12056D1A6_.wvu.FilterData" localSheetId="4" hidden="1">Bao_Cao!$A$2:$H$1643</definedName>
    <definedName name="Z_D15EE331_36AC_4B09_A501_43A12056D1A6_.wvu.FilterData" localSheetId="5" hidden="1">Bao_Cao_AT!$A$2:$H$1643</definedName>
    <definedName name="Z_D15EE331_36AC_4B09_A501_43A12056D1A6_.wvu.FilterData" localSheetId="6" hidden="1">Bao_Cao_VH!$A$2:$H$1643</definedName>
    <definedName name="Z_D15EE331_36AC_4B09_A501_43A12056D1A6_.wvu.FilterData" localSheetId="3" hidden="1">SL_Control!$A$2:$H$430</definedName>
    <definedName name="Z_D2004BFC_5C45_4785_B09C_9A10889981FC_.wvu.FilterData" localSheetId="4" hidden="1">Bao_Cao!$A$2:$H$3882</definedName>
    <definedName name="Z_D2004BFC_5C45_4785_B09C_9A10889981FC_.wvu.FilterData" localSheetId="5" hidden="1">Bao_Cao_AT!$A$2:$H$3882</definedName>
    <definedName name="Z_D2004BFC_5C45_4785_B09C_9A10889981FC_.wvu.FilterData" localSheetId="6" hidden="1">Bao_Cao_VH!$A$2:$H$3882</definedName>
    <definedName name="Z_D2A8A530_4EB1_4E1B_9765_DE2853AA4C82_.wvu.FilterData" localSheetId="2" hidden="1">AN_Control!$A$2:$H$4035</definedName>
    <definedName name="Z_D3723935_25C5_4579_AAC4_B1BD357FD51A_.wvu.FilterData" localSheetId="2" hidden="1">AN_Control!$A$2:$H$1965</definedName>
    <definedName name="Z_D3723935_25C5_4579_AAC4_B1BD357FD51A_.wvu.FilterData" localSheetId="4" hidden="1">Bao_Cao!$A$2:$H$1965</definedName>
    <definedName name="Z_D3723935_25C5_4579_AAC4_B1BD357FD51A_.wvu.FilterData" localSheetId="5" hidden="1">Bao_Cao_AT!$A$2:$H$1965</definedName>
    <definedName name="Z_D3723935_25C5_4579_AAC4_B1BD357FD51A_.wvu.FilterData" localSheetId="6" hidden="1">Bao_Cao_VH!$A$2:$H$1965</definedName>
    <definedName name="Z_D3723935_25C5_4579_AAC4_B1BD357FD51A_.wvu.FilterData" localSheetId="3" hidden="1">SL_Control!$A$2:$H$520</definedName>
    <definedName name="Z_D3FC775F_8EE3_4261_A9C7_D1EB4624ABA7_.wvu.FilterData" localSheetId="2" hidden="1">AN_Control!$A$2:$H$1485</definedName>
    <definedName name="Z_D3FC775F_8EE3_4261_A9C7_D1EB4624ABA7_.wvu.FilterData" localSheetId="4" hidden="1">Bao_Cao!$A$2:$H$1485</definedName>
    <definedName name="Z_D3FC775F_8EE3_4261_A9C7_D1EB4624ABA7_.wvu.FilterData" localSheetId="5" hidden="1">Bao_Cao_AT!$A$2:$H$1485</definedName>
    <definedName name="Z_D3FC775F_8EE3_4261_A9C7_D1EB4624ABA7_.wvu.FilterData" localSheetId="6" hidden="1">Bao_Cao_VH!$A$2:$H$1485</definedName>
    <definedName name="Z_D3FC775F_8EE3_4261_A9C7_D1EB4624ABA7_.wvu.FilterData" localSheetId="3" hidden="1">SL_Control!$A$2:$H$392</definedName>
    <definedName name="Z_D45CE265_630F_4F64_A68C_EAA0015D1F8E_.wvu.FilterData" localSheetId="3" hidden="1">SL_Control!$A$2:$H$544</definedName>
    <definedName name="Z_D5E153D6_254C_412C_8F21_0079D129953A_.wvu.FilterData" localSheetId="2" hidden="1">AN_Control!$A$2:$H$5650</definedName>
    <definedName name="Z_D5E153D6_254C_412C_8F21_0079D129953A_.wvu.FilterData" localSheetId="4" hidden="1">Bao_Cao!$A$2:$H$3882</definedName>
    <definedName name="Z_D5E153D6_254C_412C_8F21_0079D129953A_.wvu.FilterData" localSheetId="5" hidden="1">Bao_Cao_AT!$A$2:$H$3882</definedName>
    <definedName name="Z_D5E153D6_254C_412C_8F21_0079D129953A_.wvu.FilterData" localSheetId="6" hidden="1">Bao_Cao_VH!$A$2:$H$3882</definedName>
    <definedName name="Z_D6576226_164D_403B_AB74_274E7B4AAF13_.wvu.FilterData" localSheetId="2" hidden="1">AN_Control!$A$2:$H$1213</definedName>
    <definedName name="Z_D6576226_164D_403B_AB74_274E7B4AAF13_.wvu.FilterData" localSheetId="4" hidden="1">Bao_Cao!$A$2:$H$1213</definedName>
    <definedName name="Z_D6576226_164D_403B_AB74_274E7B4AAF13_.wvu.FilterData" localSheetId="5" hidden="1">Bao_Cao_AT!$A$2:$H$1213</definedName>
    <definedName name="Z_D6576226_164D_403B_AB74_274E7B4AAF13_.wvu.FilterData" localSheetId="6" hidden="1">Bao_Cao_VH!$A$2:$H$1213</definedName>
    <definedName name="Z_D65BFEFF_F479_4E72_B52C_347BC831C600_.wvu.FilterData" localSheetId="4" hidden="1">Bao_Cao!$A$2:$H$3882</definedName>
    <definedName name="Z_D65BFEFF_F479_4E72_B52C_347BC831C600_.wvu.FilterData" localSheetId="5" hidden="1">Bao_Cao_AT!$A$2:$H$3882</definedName>
    <definedName name="Z_D65BFEFF_F479_4E72_B52C_347BC831C600_.wvu.FilterData" localSheetId="6" hidden="1">Bao_Cao_VH!$A$2:$H$3882</definedName>
    <definedName name="Z_D65BFEFF_F479_4E72_B52C_347BC831C600_.wvu.FilterData" localSheetId="3" hidden="1">SL_Control!$A$2:$H$1230</definedName>
    <definedName name="Z_D6BCA20B_0DC4_44BD_96CD_F042EDA0B021_.wvu.FilterData" localSheetId="2" hidden="1">AN_Control!$A$2:$H$5478</definedName>
    <definedName name="Z_D6BCA20B_0DC4_44BD_96CD_F042EDA0B021_.wvu.FilterData" localSheetId="4" hidden="1">Bao_Cao!$A$2:$H$3882</definedName>
    <definedName name="Z_D6BCA20B_0DC4_44BD_96CD_F042EDA0B021_.wvu.FilterData" localSheetId="5" hidden="1">Bao_Cao_AT!$A$2:$H$3882</definedName>
    <definedName name="Z_D6BCA20B_0DC4_44BD_96CD_F042EDA0B021_.wvu.FilterData" localSheetId="6" hidden="1">Bao_Cao_VH!$A$2:$H$3882</definedName>
    <definedName name="Z_D6BCA20B_0DC4_44BD_96CD_F042EDA0B021_.wvu.FilterData" localSheetId="3" hidden="1">SL_Control!$A$2:$H$1410</definedName>
    <definedName name="Z_D6F56E85_3399_43BC_8701_25A359494792_.wvu.FilterData" localSheetId="2" hidden="1">AN_Control!$A$2:$H$2188</definedName>
    <definedName name="Z_D6F56E85_3399_43BC_8701_25A359494792_.wvu.FilterData" localSheetId="4" hidden="1">Bao_Cao!$A$2:$H$2188</definedName>
    <definedName name="Z_D6F56E85_3399_43BC_8701_25A359494792_.wvu.FilterData" localSheetId="5" hidden="1">Bao_Cao_AT!$A$2:$H$2188</definedName>
    <definedName name="Z_D6F56E85_3399_43BC_8701_25A359494792_.wvu.FilterData" localSheetId="6" hidden="1">Bao_Cao_VH!$A$2:$H$2188</definedName>
    <definedName name="Z_D7057123_C8B9_410F_A4C6_8C49D2A87C49_.wvu.FilterData" localSheetId="2" hidden="1">AN_Control!$A$2:$H$3394</definedName>
    <definedName name="Z_D7057123_C8B9_410F_A4C6_8C49D2A87C49_.wvu.FilterData" localSheetId="4" hidden="1">Bao_Cao!$A$2:$H$3395</definedName>
    <definedName name="Z_D7057123_C8B9_410F_A4C6_8C49D2A87C49_.wvu.FilterData" localSheetId="5" hidden="1">Bao_Cao_AT!$A$2:$H$3395</definedName>
    <definedName name="Z_D7057123_C8B9_410F_A4C6_8C49D2A87C49_.wvu.FilterData" localSheetId="6" hidden="1">Bao_Cao_VH!$A$2:$H$3395</definedName>
    <definedName name="Z_D7057123_C8B9_410F_A4C6_8C49D2A87C49_.wvu.FilterData" localSheetId="3" hidden="1">SL_Control!$A$2:$H$771</definedName>
    <definedName name="Z_D759A265_5338_4F35_BE56_425EBF309627_.wvu.FilterData" localSheetId="2" hidden="1">AN_Control!$A$2:$H$585</definedName>
    <definedName name="Z_D759A265_5338_4F35_BE56_425EBF309627_.wvu.FilterData" localSheetId="4" hidden="1">Bao_Cao!$A$2:$H$585</definedName>
    <definedName name="Z_D759A265_5338_4F35_BE56_425EBF309627_.wvu.FilterData" localSheetId="5" hidden="1">Bao_Cao_AT!$A$2:$H$585</definedName>
    <definedName name="Z_D759A265_5338_4F35_BE56_425EBF309627_.wvu.FilterData" localSheetId="6" hidden="1">Bao_Cao_VH!$A$2:$H$585</definedName>
    <definedName name="Z_D7EF1529_FCF7_461A_9596_866FDC99C725_.wvu.FilterData" localSheetId="3" hidden="1">SL_Control!$A$2:$H$520</definedName>
    <definedName name="Z_D7FA9827_FA9A_4C7C_9BE7_E88958E26788_.wvu.FilterData" localSheetId="4" hidden="1">Bao_Cao!$A$2:$H$3882</definedName>
    <definedName name="Z_D7FA9827_FA9A_4C7C_9BE7_E88958E26788_.wvu.FilterData" localSheetId="5" hidden="1">Bao_Cao_AT!$A$2:$H$3882</definedName>
    <definedName name="Z_D7FA9827_FA9A_4C7C_9BE7_E88958E26788_.wvu.FilterData" localSheetId="6" hidden="1">Bao_Cao_VH!$A$2:$H$3882</definedName>
    <definedName name="Z_D7FA9827_FA9A_4C7C_9BE7_E88958E26788_.wvu.FilterData" localSheetId="3" hidden="1">SL_Control!$A$2:$H$1410</definedName>
    <definedName name="Z_D84FCBC2_7DC0_4C43_A40F_6574C564A581_.wvu.FilterData" localSheetId="4" hidden="1">Bao_Cao!$A$2:$H$3882</definedName>
    <definedName name="Z_D84FCBC2_7DC0_4C43_A40F_6574C564A581_.wvu.FilterData" localSheetId="5" hidden="1">Bao_Cao_AT!$A$2:$H$3882</definedName>
    <definedName name="Z_D84FCBC2_7DC0_4C43_A40F_6574C564A581_.wvu.FilterData" localSheetId="6" hidden="1">Bao_Cao_VH!$A$2:$H$3882</definedName>
    <definedName name="Z_D8E0D3CA_C238_4364_9BBE_63FD7E3BE2E8_.wvu.FilterData" localSheetId="2" hidden="1">AN_Control!$A$2:$H$1155</definedName>
    <definedName name="Z_D8E0D3CA_C238_4364_9BBE_63FD7E3BE2E8_.wvu.FilterData" localSheetId="4" hidden="1">Bao_Cao!$A$2:$H$1155</definedName>
    <definedName name="Z_D8E0D3CA_C238_4364_9BBE_63FD7E3BE2E8_.wvu.FilterData" localSheetId="5" hidden="1">Bao_Cao_AT!$A$2:$H$1155</definedName>
    <definedName name="Z_D8E0D3CA_C238_4364_9BBE_63FD7E3BE2E8_.wvu.FilterData" localSheetId="6" hidden="1">Bao_Cao_VH!$A$2:$H$1155</definedName>
    <definedName name="Z_D8ECFA93_9ED8_4639_B03D_837D41535212_.wvu.FilterData" localSheetId="4" hidden="1">Bao_Cao!$A$2:$H$3882</definedName>
    <definedName name="Z_D8ECFA93_9ED8_4639_B03D_837D41535212_.wvu.FilterData" localSheetId="5" hidden="1">Bao_Cao_AT!$A$2:$H$3882</definedName>
    <definedName name="Z_D8ECFA93_9ED8_4639_B03D_837D41535212_.wvu.FilterData" localSheetId="6" hidden="1">Bao_Cao_VH!$A$2:$H$3882</definedName>
    <definedName name="Z_D8ECFA93_9ED8_4639_B03D_837D41535212_.wvu.FilterData" localSheetId="3" hidden="1">SL_Control!$A$2:$H$1190</definedName>
    <definedName name="Z_D9681DB6_5A0D_477B_B282_CCFF6D0223DB_.wvu.FilterData" localSheetId="3" hidden="1">SL_Control!$A$2:$H$1024</definedName>
    <definedName name="Z_D98A04AE_2BE9_4AF1_83B3_372B928E890C_.wvu.FilterData" localSheetId="3" hidden="1">SL_Control!$A$2:$H$1204</definedName>
    <definedName name="Z_D9B70EEE_D278_4D8A_B3A3_B8AE9515DA0B_.wvu.FilterData" localSheetId="3" hidden="1">SL_Control!$A$2:$H$922</definedName>
    <definedName name="Z_DA153A5F_DFA8_47C3_A9B9_2685E8257211_.wvu.FilterData" localSheetId="2" hidden="1">AN_Control!$A$2:$H$1218</definedName>
    <definedName name="Z_DA153A5F_DFA8_47C3_A9B9_2685E8257211_.wvu.FilterData" localSheetId="4" hidden="1">Bao_Cao!$A$2:$H$1218</definedName>
    <definedName name="Z_DA153A5F_DFA8_47C3_A9B9_2685E8257211_.wvu.FilterData" localSheetId="5" hidden="1">Bao_Cao_AT!$A$2:$H$1218</definedName>
    <definedName name="Z_DA153A5F_DFA8_47C3_A9B9_2685E8257211_.wvu.FilterData" localSheetId="6" hidden="1">Bao_Cao_VH!$A$2:$H$1218</definedName>
    <definedName name="Z_DA153A5F_DFA8_47C3_A9B9_2685E8257211_.wvu.FilterData" localSheetId="3" hidden="1">SL_Control!$A$2:$H$333</definedName>
    <definedName name="Z_DA4933BA_9917_4BD3_BC9D_A84130081AD3_.wvu.FilterData" localSheetId="2" hidden="1">AN_Control!$A$2:$H$1194</definedName>
    <definedName name="Z_DA4933BA_9917_4BD3_BC9D_A84130081AD3_.wvu.FilterData" localSheetId="4" hidden="1">Bao_Cao!$A$2:$H$1194</definedName>
    <definedName name="Z_DA4933BA_9917_4BD3_BC9D_A84130081AD3_.wvu.FilterData" localSheetId="5" hidden="1">Bao_Cao_AT!$A$2:$H$1194</definedName>
    <definedName name="Z_DA4933BA_9917_4BD3_BC9D_A84130081AD3_.wvu.FilterData" localSheetId="6" hidden="1">Bao_Cao_VH!$A$2:$H$1194</definedName>
    <definedName name="Z_DAF1C6EF_EA2A_494A_B362_386BE18012A6_.wvu.FilterData" localSheetId="2" hidden="1">AN_Control!$A$2:$H$3758</definedName>
    <definedName name="Z_DAF1C6EF_EA2A_494A_B362_386BE18012A6_.wvu.FilterData" localSheetId="4" hidden="1">Bao_Cao!$A$2:$H$3760</definedName>
    <definedName name="Z_DAF1C6EF_EA2A_494A_B362_386BE18012A6_.wvu.FilterData" localSheetId="5" hidden="1">Bao_Cao_AT!$A$2:$H$3760</definedName>
    <definedName name="Z_DAF1C6EF_EA2A_494A_B362_386BE18012A6_.wvu.FilterData" localSheetId="6" hidden="1">Bao_Cao_VH!$A$2:$H$3760</definedName>
    <definedName name="Z_DAF1C6EF_EA2A_494A_B362_386BE18012A6_.wvu.FilterData" localSheetId="3" hidden="1">SL_Control!$A$2:$H$902</definedName>
    <definedName name="Z_DAF5E342_CBFC_4346_913F_C1E680181EB8_.wvu.FilterData" localSheetId="2" hidden="1">AN_Control!$A$2:$H$3559</definedName>
    <definedName name="Z_DAF5E342_CBFC_4346_913F_C1E680181EB8_.wvu.FilterData" localSheetId="4" hidden="1">Bao_Cao!$A$2:$H$3560</definedName>
    <definedName name="Z_DAF5E342_CBFC_4346_913F_C1E680181EB8_.wvu.FilterData" localSheetId="5" hidden="1">Bao_Cao_AT!$A$2:$H$3560</definedName>
    <definedName name="Z_DAF5E342_CBFC_4346_913F_C1E680181EB8_.wvu.FilterData" localSheetId="6" hidden="1">Bao_Cao_VH!$A$2:$H$3560</definedName>
    <definedName name="Z_DB1C672D_40B5_4B2E_8FDD_2DA48A11815E_.wvu.FilterData" localSheetId="3" hidden="1">SL_Control!$A$2:$H$749</definedName>
    <definedName name="Z_DB6073A3_17D0_4097_9CD4_7BB13ACDCD4E_.wvu.FilterData" localSheetId="3" hidden="1">SL_Control!$A$2:$H$520</definedName>
    <definedName name="Z_DC49B89B_0489_4AFC_816A_46410254D90D_.wvu.FilterData" localSheetId="2" hidden="1">AN_Control!$A$2:$H$1263</definedName>
    <definedName name="Z_DC49B89B_0489_4AFC_816A_46410254D90D_.wvu.FilterData" localSheetId="4" hidden="1">Bao_Cao!$A$2:$H$1263</definedName>
    <definedName name="Z_DC49B89B_0489_4AFC_816A_46410254D90D_.wvu.FilterData" localSheetId="5" hidden="1">Bao_Cao_AT!$A$2:$H$1263</definedName>
    <definedName name="Z_DC49B89B_0489_4AFC_816A_46410254D90D_.wvu.FilterData" localSheetId="6" hidden="1">Bao_Cao_VH!$A$2:$H$1263</definedName>
    <definedName name="Z_DC77B937_5F12_4AB2_8F34_ACD0C8B7C096_.wvu.FilterData" localSheetId="2" hidden="1">AN_Control!$A$2:$H$2875</definedName>
    <definedName name="Z_DC77B937_5F12_4AB2_8F34_ACD0C8B7C096_.wvu.FilterData" localSheetId="4" hidden="1">Bao_Cao!$A$2:$H$2876</definedName>
    <definedName name="Z_DC77B937_5F12_4AB2_8F34_ACD0C8B7C096_.wvu.FilterData" localSheetId="5" hidden="1">Bao_Cao_AT!$A$2:$H$2876</definedName>
    <definedName name="Z_DC77B937_5F12_4AB2_8F34_ACD0C8B7C096_.wvu.FilterData" localSheetId="6" hidden="1">Bao_Cao_VH!$A$2:$H$2876</definedName>
    <definedName name="Z_DC77B937_5F12_4AB2_8F34_ACD0C8B7C096_.wvu.FilterData" localSheetId="3" hidden="1">SL_Control!$A$2:$H$668</definedName>
    <definedName name="Z_DCA25E47_2F06_4E0D_9396_14A330D50BB3_.wvu.FilterData" localSheetId="4" hidden="1">Bao_Cao!$A$2:$H$3882</definedName>
    <definedName name="Z_DCA25E47_2F06_4E0D_9396_14A330D50BB3_.wvu.FilterData" localSheetId="5" hidden="1">Bao_Cao_AT!$A$2:$H$3882</definedName>
    <definedName name="Z_DCA25E47_2F06_4E0D_9396_14A330D50BB3_.wvu.FilterData" localSheetId="6" hidden="1">Bao_Cao_VH!$A$2:$H$3882</definedName>
    <definedName name="Z_DCA25E47_2F06_4E0D_9396_14A330D50BB3_.wvu.FilterData" localSheetId="3" hidden="1">SL_Control!$A$2:$H$1024</definedName>
    <definedName name="Z_DCF96BF0_A7FA_4661_834C_C605CB28F953_.wvu.FilterData" localSheetId="3" hidden="1">SL_Control!$A$2:$H$520</definedName>
    <definedName name="Z_DD5322C1_5AC4_4FB9_8C24_5E8E8C87E3EB_.wvu.FilterData" localSheetId="3" hidden="1">SL_Control!$A$2:$H$609</definedName>
    <definedName name="Z_DDD7CB1D_2E03_4B50_9FEB_32DE5B089305_.wvu.FilterData" localSheetId="2" hidden="1">AN_Control!$A$2:$H$5402</definedName>
    <definedName name="Z_DDD7CB1D_2E03_4B50_9FEB_32DE5B089305_.wvu.FilterData" localSheetId="4" hidden="1">Bao_Cao!$A$2:$H$3882</definedName>
    <definedName name="Z_DDD7CB1D_2E03_4B50_9FEB_32DE5B089305_.wvu.FilterData" localSheetId="5" hidden="1">Bao_Cao_AT!$A$2:$H$3882</definedName>
    <definedName name="Z_DDD7CB1D_2E03_4B50_9FEB_32DE5B089305_.wvu.FilterData" localSheetId="6" hidden="1">Bao_Cao_VH!$A$2:$H$3882</definedName>
    <definedName name="Z_DDD7CB1D_2E03_4B50_9FEB_32DE5B089305_.wvu.FilterData" localSheetId="3" hidden="1">SL_Control!$A$2:$H$1386</definedName>
    <definedName name="Z_DDFADC70_E725_43A3_BF06_64CE5F3AACC6_.wvu.FilterData" localSheetId="2" hidden="1">AN_Control!$A$2:$H$592</definedName>
    <definedName name="Z_DDFADC70_E725_43A3_BF06_64CE5F3AACC6_.wvu.FilterData" localSheetId="4" hidden="1">Bao_Cao!$A$2:$H$592</definedName>
    <definedName name="Z_DDFADC70_E725_43A3_BF06_64CE5F3AACC6_.wvu.FilterData" localSheetId="5" hidden="1">Bao_Cao_AT!$A$2:$H$592</definedName>
    <definedName name="Z_DDFADC70_E725_43A3_BF06_64CE5F3AACC6_.wvu.FilterData" localSheetId="6" hidden="1">Bao_Cao_VH!$A$2:$H$592</definedName>
    <definedName name="Z_DE72170F_7B51_4054_9DD9_4F1FA1C59D7F_.wvu.FilterData" localSheetId="2" hidden="1">AN_Control!$A$2:$H$491</definedName>
    <definedName name="Z_DE72170F_7B51_4054_9DD9_4F1FA1C59D7F_.wvu.FilterData" localSheetId="4" hidden="1">Bao_Cao!$A$2:$H$491</definedName>
    <definedName name="Z_DE72170F_7B51_4054_9DD9_4F1FA1C59D7F_.wvu.FilterData" localSheetId="5" hidden="1">Bao_Cao_AT!$A$2:$H$491</definedName>
    <definedName name="Z_DE72170F_7B51_4054_9DD9_4F1FA1C59D7F_.wvu.FilterData" localSheetId="6" hidden="1">Bao_Cao_VH!$A$2:$H$491</definedName>
    <definedName name="Z_DEB82770_A791_4E8F_9875_5CD357D4FADD_.wvu.FilterData" localSheetId="4" hidden="1">Bao_Cao!$A$2:$H$3882</definedName>
    <definedName name="Z_DEB82770_A791_4E8F_9875_5CD357D4FADD_.wvu.FilterData" localSheetId="5" hidden="1">Bao_Cao_AT!$A$2:$H$3882</definedName>
    <definedName name="Z_DEB82770_A791_4E8F_9875_5CD357D4FADD_.wvu.FilterData" localSheetId="6" hidden="1">Bao_Cao_VH!$A$2:$H$3882</definedName>
    <definedName name="Z_DEB82770_A791_4E8F_9875_5CD357D4FADD_.wvu.FilterData" localSheetId="3" hidden="1">SL_Control!$A$2:$H$1054</definedName>
    <definedName name="Z_DEB8F6ED_2DFE_45F1_A59F_43F5B4F2F3C8_.wvu.FilterData" localSheetId="3" hidden="1">SL_Control!$A$2:$H$927</definedName>
    <definedName name="Z_DF1A28E7_780F_4111_B8A5_06EA44D78153_.wvu.FilterData" localSheetId="3" hidden="1">SL_Control!$A$2:$H$758</definedName>
    <definedName name="Z_E115286E_3878_4893_AFD4_5F8BEC60A606_.wvu.FilterData" localSheetId="2" hidden="1">AN_Control!$A$2:$H$4674</definedName>
    <definedName name="Z_E175E454_3867_48FB_ADE4_033E9B90FB0A_.wvu.FilterData" localSheetId="3" hidden="1">SL_Control!$A$2:$H$311</definedName>
    <definedName name="Z_E19E0533_D041_4060_9B50_4A137D7C23E6_.wvu.FilterData" localSheetId="3" hidden="1">SL_Control!$A$2:$H$848</definedName>
    <definedName name="Z_E2827C2B_3C8C_4D5E_AAF6_3BA1011B7D95_.wvu.FilterData" localSheetId="2" hidden="1">AN_Control!$A$2:$H$4141</definedName>
    <definedName name="Z_E2827C2B_3C8C_4D5E_AAF6_3BA1011B7D95_.wvu.FilterData" localSheetId="4" hidden="1">Bao_Cao!$A$2:$H$3882</definedName>
    <definedName name="Z_E2827C2B_3C8C_4D5E_AAF6_3BA1011B7D95_.wvu.FilterData" localSheetId="5" hidden="1">Bao_Cao_AT!$A$2:$H$3882</definedName>
    <definedName name="Z_E2827C2B_3C8C_4D5E_AAF6_3BA1011B7D95_.wvu.FilterData" localSheetId="6" hidden="1">Bao_Cao_VH!$A$2:$H$3882</definedName>
    <definedName name="Z_E34335ED_BF60_427C_A855_C2D2B78A6856_.wvu.FilterData" localSheetId="2" hidden="1">AN_Control!$A$2:$H$1155</definedName>
    <definedName name="Z_E34335ED_BF60_427C_A855_C2D2B78A6856_.wvu.FilterData" localSheetId="4" hidden="1">Bao_Cao!$A$2:$H$1155</definedName>
    <definedName name="Z_E34335ED_BF60_427C_A855_C2D2B78A6856_.wvu.FilterData" localSheetId="5" hidden="1">Bao_Cao_AT!$A$2:$H$1155</definedName>
    <definedName name="Z_E34335ED_BF60_427C_A855_C2D2B78A6856_.wvu.FilterData" localSheetId="6" hidden="1">Bao_Cao_VH!$A$2:$H$1155</definedName>
    <definedName name="Z_E3B0F004_A9E0_410C_8BA3_9F6C3D91FE05_.wvu.FilterData" localSheetId="2" hidden="1">AN_Control!$A$2:$H$4515</definedName>
    <definedName name="Z_E3B0F004_A9E0_410C_8BA3_9F6C3D91FE05_.wvu.FilterData" localSheetId="4" hidden="1">Bao_Cao!$A$2:$H$3882</definedName>
    <definedName name="Z_E3B0F004_A9E0_410C_8BA3_9F6C3D91FE05_.wvu.FilterData" localSheetId="5" hidden="1">Bao_Cao_AT!$A$2:$H$3882</definedName>
    <definedName name="Z_E3B0F004_A9E0_410C_8BA3_9F6C3D91FE05_.wvu.FilterData" localSheetId="6" hidden="1">Bao_Cao_VH!$A$2:$H$3882</definedName>
    <definedName name="Z_E3B98ECA_6EE1_422F_9E2F_0183056EC3AD_.wvu.FilterData" localSheetId="2" hidden="1">AN_Control!$A$2:$H$315</definedName>
    <definedName name="Z_E3B98ECA_6EE1_422F_9E2F_0183056EC3AD_.wvu.FilterData" localSheetId="4" hidden="1">Bao_Cao!$A$2:$H$315</definedName>
    <definedName name="Z_E3B98ECA_6EE1_422F_9E2F_0183056EC3AD_.wvu.FilterData" localSheetId="5" hidden="1">Bao_Cao_AT!$A$2:$H$315</definedName>
    <definedName name="Z_E3B98ECA_6EE1_422F_9E2F_0183056EC3AD_.wvu.FilterData" localSheetId="6" hidden="1">Bao_Cao_VH!$A$2:$H$315</definedName>
    <definedName name="Z_E3EBBB7F_2E0D_471B_921C_7CA42930C557_.wvu.FilterData" localSheetId="2" hidden="1">AN_Control!$A$2:$H$1304</definedName>
    <definedName name="Z_E3EBBB7F_2E0D_471B_921C_7CA42930C557_.wvu.FilterData" localSheetId="4" hidden="1">Bao_Cao!$A$2:$H$1304</definedName>
    <definedName name="Z_E3EBBB7F_2E0D_471B_921C_7CA42930C557_.wvu.FilterData" localSheetId="5" hidden="1">Bao_Cao_AT!$A$2:$H$1304</definedName>
    <definedName name="Z_E3EBBB7F_2E0D_471B_921C_7CA42930C557_.wvu.FilterData" localSheetId="6" hidden="1">Bao_Cao_VH!$A$2:$H$1304</definedName>
    <definedName name="Z_E4A438C0_2ECA_4EB3_89A1_64C95EE927A6_.wvu.FilterData" localSheetId="2" hidden="1">AN_Control!$A$2:$H$2487</definedName>
    <definedName name="Z_E4A438C0_2ECA_4EB3_89A1_64C95EE927A6_.wvu.FilterData" localSheetId="4" hidden="1">Bao_Cao!$A$2:$H$2488</definedName>
    <definedName name="Z_E4A438C0_2ECA_4EB3_89A1_64C95EE927A6_.wvu.FilterData" localSheetId="5" hidden="1">Bao_Cao_AT!$A$2:$H$2488</definedName>
    <definedName name="Z_E4A438C0_2ECA_4EB3_89A1_64C95EE927A6_.wvu.FilterData" localSheetId="6" hidden="1">Bao_Cao_VH!$A$2:$H$2488</definedName>
    <definedName name="Z_E5333DF7_2652_4AB6_80AC_2716DBC086F3_.wvu.FilterData" localSheetId="2" hidden="1">AN_Control!$A$2:$H$1653</definedName>
    <definedName name="Z_E5333DF7_2652_4AB6_80AC_2716DBC086F3_.wvu.FilterData" localSheetId="4" hidden="1">Bao_Cao!$A$2:$H$1653</definedName>
    <definedName name="Z_E5333DF7_2652_4AB6_80AC_2716DBC086F3_.wvu.FilterData" localSheetId="5" hidden="1">Bao_Cao_AT!$A$2:$H$1653</definedName>
    <definedName name="Z_E5333DF7_2652_4AB6_80AC_2716DBC086F3_.wvu.FilterData" localSheetId="6" hidden="1">Bao_Cao_VH!$A$2:$H$1653</definedName>
    <definedName name="Z_E5333DF7_2652_4AB6_80AC_2716DBC086F3_.wvu.FilterData" localSheetId="3" hidden="1">SL_Control!$A$2:$H$430</definedName>
    <definedName name="Z_E548255E_1F15_4727_B5E0_568B3B081546_.wvu.FilterData" localSheetId="2" hidden="1">AN_Control!$A$2:$H$1194</definedName>
    <definedName name="Z_E548255E_1F15_4727_B5E0_568B3B081546_.wvu.FilterData" localSheetId="4" hidden="1">Bao_Cao!$A$2:$H$1194</definedName>
    <definedName name="Z_E548255E_1F15_4727_B5E0_568B3B081546_.wvu.FilterData" localSheetId="5" hidden="1">Bao_Cao_AT!$A$2:$H$1194</definedName>
    <definedName name="Z_E548255E_1F15_4727_B5E0_568B3B081546_.wvu.FilterData" localSheetId="6" hidden="1">Bao_Cao_VH!$A$2:$H$1194</definedName>
    <definedName name="Z_E548255E_1F15_4727_B5E0_568B3B081546_.wvu.FilterData" localSheetId="3" hidden="1">SL_Control!$A$2:$H$319</definedName>
    <definedName name="Z_E5645B95_D52E_4701_B8C8_6AC833352B38_.wvu.FilterData" localSheetId="3" hidden="1">SL_Control!$A$2:$H$200</definedName>
    <definedName name="Z_E5B6D391_53ED_47B3_A9C1_92D3926F3E59_.wvu.FilterData" localSheetId="2" hidden="1">AN_Control!$A$2:$H$503</definedName>
    <definedName name="Z_E5B6D391_53ED_47B3_A9C1_92D3926F3E59_.wvu.FilterData" localSheetId="4" hidden="1">Bao_Cao!$A$2:$H$503</definedName>
    <definedName name="Z_E5B6D391_53ED_47B3_A9C1_92D3926F3E59_.wvu.FilterData" localSheetId="5" hidden="1">Bao_Cao_AT!$A$2:$H$503</definedName>
    <definedName name="Z_E5B6D391_53ED_47B3_A9C1_92D3926F3E59_.wvu.FilterData" localSheetId="6" hidden="1">Bao_Cao_VH!$A$2:$H$503</definedName>
    <definedName name="Z_E5FEA175_BBA1_4DCE_9E40_60BA7C4F35BE_.wvu.FilterData" localSheetId="2" hidden="1">AN_Control!$A$2:$H$5553</definedName>
    <definedName name="Z_E5FEA175_BBA1_4DCE_9E40_60BA7C4F35BE_.wvu.FilterData" localSheetId="4" hidden="1">Bao_Cao!$A$2:$H$3882</definedName>
    <definedName name="Z_E5FEA175_BBA1_4DCE_9E40_60BA7C4F35BE_.wvu.FilterData" localSheetId="5" hidden="1">Bao_Cao_AT!$A$2:$H$3882</definedName>
    <definedName name="Z_E5FEA175_BBA1_4DCE_9E40_60BA7C4F35BE_.wvu.FilterData" localSheetId="6" hidden="1">Bao_Cao_VH!$A$2:$H$3882</definedName>
    <definedName name="Z_E6EDFE7A_EB8F_4380_9592_55826912E8C1_.wvu.FilterData" localSheetId="2" hidden="1">AN_Control!$A$2:$H$3640</definedName>
    <definedName name="Z_E6EDFE7A_EB8F_4380_9592_55826912E8C1_.wvu.FilterData" localSheetId="4" hidden="1">Bao_Cao!$A$2:$H$3641</definedName>
    <definedName name="Z_E6EDFE7A_EB8F_4380_9592_55826912E8C1_.wvu.FilterData" localSheetId="5" hidden="1">Bao_Cao_AT!$A$2:$H$3641</definedName>
    <definedName name="Z_E6EDFE7A_EB8F_4380_9592_55826912E8C1_.wvu.FilterData" localSheetId="6" hidden="1">Bao_Cao_VH!$A$2:$H$3641</definedName>
    <definedName name="Z_E758EC58_5D46_4275_84EC_C1258A619EE1_.wvu.FilterData" localSheetId="2" hidden="1">AN_Control!$A$2:$H$2754</definedName>
    <definedName name="Z_E758EC58_5D46_4275_84EC_C1258A619EE1_.wvu.FilterData" localSheetId="4" hidden="1">Bao_Cao!$A$2:$H$2755</definedName>
    <definedName name="Z_E758EC58_5D46_4275_84EC_C1258A619EE1_.wvu.FilterData" localSheetId="5" hidden="1">Bao_Cao_AT!$A$2:$H$2755</definedName>
    <definedName name="Z_E758EC58_5D46_4275_84EC_C1258A619EE1_.wvu.FilterData" localSheetId="6" hidden="1">Bao_Cao_VH!$A$2:$H$2755</definedName>
    <definedName name="Z_E758EC58_5D46_4275_84EC_C1258A619EE1_.wvu.FilterData" localSheetId="3" hidden="1">SL_Control!$A$2:$H$643</definedName>
    <definedName name="Z_E791FCE5_0CF6_4047_A47B_228F976B8BC0_.wvu.FilterData" localSheetId="2" hidden="1">AN_Control!$A$2:$H$4776</definedName>
    <definedName name="Z_E791FCE5_0CF6_4047_A47B_228F976B8BC0_.wvu.FilterData" localSheetId="4" hidden="1">Bao_Cao!$A$2:$H$3882</definedName>
    <definedName name="Z_E791FCE5_0CF6_4047_A47B_228F976B8BC0_.wvu.FilterData" localSheetId="5" hidden="1">Bao_Cao_AT!$A$2:$H$3882</definedName>
    <definedName name="Z_E791FCE5_0CF6_4047_A47B_228F976B8BC0_.wvu.FilterData" localSheetId="6" hidden="1">Bao_Cao_VH!$A$2:$H$3882</definedName>
    <definedName name="Z_E7B36DA3_5CF8_41CE_B0C6_AED78E13F61E_.wvu.FilterData" localSheetId="2" hidden="1">AN_Control!$A$2:$H$1213</definedName>
    <definedName name="Z_E7B36DA3_5CF8_41CE_B0C6_AED78E13F61E_.wvu.FilterData" localSheetId="4" hidden="1">Bao_Cao!$A$2:$H$1213</definedName>
    <definedName name="Z_E7B36DA3_5CF8_41CE_B0C6_AED78E13F61E_.wvu.FilterData" localSheetId="5" hidden="1">Bao_Cao_AT!$A$2:$H$1213</definedName>
    <definedName name="Z_E7B36DA3_5CF8_41CE_B0C6_AED78E13F61E_.wvu.FilterData" localSheetId="6" hidden="1">Bao_Cao_VH!$A$2:$H$1213</definedName>
    <definedName name="Z_E7B36DA3_5CF8_41CE_B0C6_AED78E13F61E_.wvu.FilterData" localSheetId="3" hidden="1">SL_Control!$A$2:$H$333</definedName>
    <definedName name="Z_E7DF78D6_58AC_4E96_A635_1D37CCA1DCD3_.wvu.FilterData" localSheetId="2" hidden="1">AN_Control!$A$2:$H$5502</definedName>
    <definedName name="Z_E7DF78D6_58AC_4E96_A635_1D37CCA1DCD3_.wvu.FilterData" localSheetId="4" hidden="1">Bao_Cao!$A$2:$H$3882</definedName>
    <definedName name="Z_E7DF78D6_58AC_4E96_A635_1D37CCA1DCD3_.wvu.FilterData" localSheetId="5" hidden="1">Bao_Cao_AT!$A$2:$H$3882</definedName>
    <definedName name="Z_E7DF78D6_58AC_4E96_A635_1D37CCA1DCD3_.wvu.FilterData" localSheetId="6" hidden="1">Bao_Cao_VH!$A$2:$H$3882</definedName>
    <definedName name="Z_E848E4DB_8220_4B46_8E28_B4170A61C324_.wvu.FilterData" localSheetId="2" hidden="1">AN_Control!$A$2:$H$3829</definedName>
    <definedName name="Z_E848E4DB_8220_4B46_8E28_B4170A61C324_.wvu.FilterData" localSheetId="4" hidden="1">Bao_Cao!$A$2:$H$3831</definedName>
    <definedName name="Z_E848E4DB_8220_4B46_8E28_B4170A61C324_.wvu.FilterData" localSheetId="5" hidden="1">Bao_Cao_AT!$A$2:$H$3831</definedName>
    <definedName name="Z_E848E4DB_8220_4B46_8E28_B4170A61C324_.wvu.FilterData" localSheetId="6" hidden="1">Bao_Cao_VH!$A$2:$H$3831</definedName>
    <definedName name="Z_E8BA7BB4_912C_42F3_A3EF_9B83C6129B81_.wvu.FilterData" localSheetId="2" hidden="1">AN_Control!$A$2:$H$4612</definedName>
    <definedName name="Z_E8BA7BB4_912C_42F3_A3EF_9B83C6129B81_.wvu.FilterData" localSheetId="4" hidden="1">Bao_Cao!$A$2:$H$3882</definedName>
    <definedName name="Z_E8BA7BB4_912C_42F3_A3EF_9B83C6129B81_.wvu.FilterData" localSheetId="5" hidden="1">Bao_Cao_AT!$A$2:$H$3882</definedName>
    <definedName name="Z_E8BA7BB4_912C_42F3_A3EF_9B83C6129B81_.wvu.FilterData" localSheetId="6" hidden="1">Bao_Cao_VH!$A$2:$H$3882</definedName>
    <definedName name="Z_E8BA7BB4_912C_42F3_A3EF_9B83C6129B81_.wvu.FilterData" localSheetId="3" hidden="1">SL_Control!$A$2:$H$1119</definedName>
    <definedName name="Z_E94CFBA8_9503_4B87_A6C5_DB8D92A0851D_.wvu.FilterData" localSheetId="3" hidden="1">SL_Control!$A$2:$H$882</definedName>
    <definedName name="Z_E96E354A_24F8_467C_B2CF_DE29FEDD76E4_.wvu.FilterData" localSheetId="3" hidden="1">SL_Control!$A$2:$H$831</definedName>
    <definedName name="Z_E996A7C1_80D7_4497_AF79_1121711CDA13_.wvu.FilterData" localSheetId="4" hidden="1">Bao_Cao!$A$2:$H$3882</definedName>
    <definedName name="Z_E996A7C1_80D7_4497_AF79_1121711CDA13_.wvu.FilterData" localSheetId="5" hidden="1">Bao_Cao_AT!$A$2:$H$3882</definedName>
    <definedName name="Z_E996A7C1_80D7_4497_AF79_1121711CDA13_.wvu.FilterData" localSheetId="6" hidden="1">Bao_Cao_VH!$A$2:$H$3882</definedName>
    <definedName name="Z_E996A7C1_80D7_4497_AF79_1121711CDA13_.wvu.FilterData" localSheetId="3" hidden="1">SL_Control!$A$2:$H$946</definedName>
    <definedName name="Z_E9A4B11C_08FB_4DFB_9ACC_3C3035F30FE7_.wvu.FilterData" localSheetId="2" hidden="1">AN_Control!$A$2:$H$827</definedName>
    <definedName name="Z_E9A4B11C_08FB_4DFB_9ACC_3C3035F30FE7_.wvu.FilterData" localSheetId="4" hidden="1">Bao_Cao!$A$2:$H$827</definedName>
    <definedName name="Z_E9A4B11C_08FB_4DFB_9ACC_3C3035F30FE7_.wvu.FilterData" localSheetId="5" hidden="1">Bao_Cao_AT!$A$2:$H$827</definedName>
    <definedName name="Z_E9A4B11C_08FB_4DFB_9ACC_3C3035F30FE7_.wvu.FilterData" localSheetId="6" hidden="1">Bao_Cao_VH!$A$2:$H$827</definedName>
    <definedName name="Z_E9C72081_1C57_4478_9C4A_EE6B68BF6062_.wvu.FilterData" localSheetId="2" hidden="1">AN_Control!$A$2:$H$4172</definedName>
    <definedName name="Z_E9C72081_1C57_4478_9C4A_EE6B68BF6062_.wvu.FilterData" localSheetId="4" hidden="1">Bao_Cao!$A$2:$H$3882</definedName>
    <definedName name="Z_E9C72081_1C57_4478_9C4A_EE6B68BF6062_.wvu.FilterData" localSheetId="5" hidden="1">Bao_Cao_AT!$A$2:$H$3882</definedName>
    <definedName name="Z_E9C72081_1C57_4478_9C4A_EE6B68BF6062_.wvu.FilterData" localSheetId="6" hidden="1">Bao_Cao_VH!$A$2:$H$3882</definedName>
    <definedName name="Z_E9C72081_1C57_4478_9C4A_EE6B68BF6062_.wvu.FilterData" localSheetId="3" hidden="1">SL_Control!$A$2:$H$1018</definedName>
    <definedName name="Z_E9DAB308_27F8_4784_871D_874F9725E316_.wvu.FilterData" localSheetId="2" hidden="1">AN_Control!$A$2:$H$3706</definedName>
    <definedName name="Z_E9DAB308_27F8_4784_871D_874F9725E316_.wvu.FilterData" localSheetId="4" hidden="1">Bao_Cao!$A$2:$H$3708</definedName>
    <definedName name="Z_E9DAB308_27F8_4784_871D_874F9725E316_.wvu.FilterData" localSheetId="5" hidden="1">Bao_Cao_AT!$A$2:$H$3708</definedName>
    <definedName name="Z_E9DAB308_27F8_4784_871D_874F9725E316_.wvu.FilterData" localSheetId="6" hidden="1">Bao_Cao_VH!$A$2:$H$3708</definedName>
    <definedName name="Z_E9EDD7EF_FABF_4366_B4B3_48016A55F170_.wvu.FilterData" localSheetId="2" hidden="1">AN_Control!$A$2:$H$866</definedName>
    <definedName name="Z_E9EDD7EF_FABF_4366_B4B3_48016A55F170_.wvu.FilterData" localSheetId="4" hidden="1">Bao_Cao!$A$2:$H$866</definedName>
    <definedName name="Z_E9EDD7EF_FABF_4366_B4B3_48016A55F170_.wvu.FilterData" localSheetId="5" hidden="1">Bao_Cao_AT!$A$2:$H$866</definedName>
    <definedName name="Z_E9EDD7EF_FABF_4366_B4B3_48016A55F170_.wvu.FilterData" localSheetId="6" hidden="1">Bao_Cao_VH!$A$2:$H$866</definedName>
    <definedName name="Z_EA137E53_08D5_491E_9BC0_BEC997DEA029_.wvu.FilterData" localSheetId="2" hidden="1">AN_Control!$A$2:$H$4950</definedName>
    <definedName name="Z_EA137E53_08D5_491E_9BC0_BEC997DEA029_.wvu.FilterData" localSheetId="4" hidden="1">Bao_Cao!$A$2:$H$3882</definedName>
    <definedName name="Z_EA137E53_08D5_491E_9BC0_BEC997DEA029_.wvu.FilterData" localSheetId="5" hidden="1">Bao_Cao_AT!$A$2:$H$3882</definedName>
    <definedName name="Z_EA137E53_08D5_491E_9BC0_BEC997DEA029_.wvu.FilterData" localSheetId="6" hidden="1">Bao_Cao_VH!$A$2:$H$3882</definedName>
    <definedName name="Z_EA137E53_08D5_491E_9BC0_BEC997DEA029_.wvu.FilterData" localSheetId="3" hidden="1">SL_Control!$A$2:$H$1211</definedName>
    <definedName name="Z_EA869FFD_BFB2_49FB_BC30_15A29E1E7ADC_.wvu.FilterData" localSheetId="2" hidden="1">AN_Control!$A$2:$H$2173</definedName>
    <definedName name="Z_EA869FFD_BFB2_49FB_BC30_15A29E1E7ADC_.wvu.FilterData" localSheetId="4" hidden="1">Bao_Cao!$A$2:$H$2173</definedName>
    <definedName name="Z_EA869FFD_BFB2_49FB_BC30_15A29E1E7ADC_.wvu.FilterData" localSheetId="5" hidden="1">Bao_Cao_AT!$A$2:$H$2173</definedName>
    <definedName name="Z_EA869FFD_BFB2_49FB_BC30_15A29E1E7ADC_.wvu.FilterData" localSheetId="6" hidden="1">Bao_Cao_VH!$A$2:$H$2173</definedName>
    <definedName name="Z_EA869FFD_BFB2_49FB_BC30_15A29E1E7ADC_.wvu.FilterData" localSheetId="3" hidden="1">SL_Control!$A$2:$H$536</definedName>
    <definedName name="Z_EAA52740_C444_40C1_B2E9_81011D408F21_.wvu.FilterData" localSheetId="2" hidden="1">AN_Control!$A$2:$H$5523</definedName>
    <definedName name="Z_EAA52740_C444_40C1_B2E9_81011D408F21_.wvu.FilterData" localSheetId="4" hidden="1">Bao_Cao!$A$2:$H$3882</definedName>
    <definedName name="Z_EAA52740_C444_40C1_B2E9_81011D408F21_.wvu.FilterData" localSheetId="5" hidden="1">Bao_Cao_AT!$A$2:$H$3882</definedName>
    <definedName name="Z_EAA52740_C444_40C1_B2E9_81011D408F21_.wvu.FilterData" localSheetId="6" hidden="1">Bao_Cao_VH!$A$2:$H$3882</definedName>
    <definedName name="Z_EAA96AAB_A9D6_4C81_BD44_30A9DDD33176_.wvu.FilterData" localSheetId="4" hidden="1">Bao_Cao!$A$2:$H$3882</definedName>
    <definedName name="Z_EAA96AAB_A9D6_4C81_BD44_30A9DDD33176_.wvu.FilterData" localSheetId="5" hidden="1">Bao_Cao_AT!$A$2:$H$3882</definedName>
    <definedName name="Z_EAA96AAB_A9D6_4C81_BD44_30A9DDD33176_.wvu.FilterData" localSheetId="6" hidden="1">Bao_Cao_VH!$A$2:$H$3882</definedName>
    <definedName name="Z_EAE5B05F_66C1_4596_AB75_3E1085A1E220_.wvu.FilterData" localSheetId="2" hidden="1">AN_Control!$A$2:$H$4815</definedName>
    <definedName name="Z_EAEC1871_3F74_4D91_8F12_FB27F67E92D4_.wvu.FilterData" localSheetId="2" hidden="1">AN_Control!$A$2:$H$4613</definedName>
    <definedName name="Z_EB5D03C1_5993_483D_8794_9A49D15E5EFD_.wvu.FilterData" localSheetId="2" hidden="1">AN_Control!$A$2:$H$1869</definedName>
    <definedName name="Z_EB5D03C1_5993_483D_8794_9A49D15E5EFD_.wvu.FilterData" localSheetId="4" hidden="1">Bao_Cao!$A$2:$H$1869</definedName>
    <definedName name="Z_EB5D03C1_5993_483D_8794_9A49D15E5EFD_.wvu.FilterData" localSheetId="5" hidden="1">Bao_Cao_AT!$A$2:$H$1869</definedName>
    <definedName name="Z_EB5D03C1_5993_483D_8794_9A49D15E5EFD_.wvu.FilterData" localSheetId="6" hidden="1">Bao_Cao_VH!$A$2:$H$1869</definedName>
    <definedName name="Z_EB5D03C1_5993_483D_8794_9A49D15E5EFD_.wvu.FilterData" localSheetId="3" hidden="1">SL_Control!$A$2:$H$520</definedName>
    <definedName name="Z_EB63E280_2594_498C_83E8_12475ECAAAA8_.wvu.FilterData" localSheetId="3" hidden="1">SL_Control!$A$2:$H$172</definedName>
    <definedName name="Z_EB83D9F0_94F5_43AA_B646_F3D3834680F5_.wvu.FilterData" localSheetId="3" hidden="1">SL_Control!$A$2:$H$748</definedName>
    <definedName name="Z_EBC66EFC_03DD_41E7_BE14_EFAD05BB0F90_.wvu.FilterData" localSheetId="2" hidden="1">AN_Control!$A$2:$H$5452</definedName>
    <definedName name="Z_EBC66EFC_03DD_41E7_BE14_EFAD05BB0F90_.wvu.FilterData" localSheetId="4" hidden="1">Bao_Cao!$A$2:$H$3882</definedName>
    <definedName name="Z_EBC66EFC_03DD_41E7_BE14_EFAD05BB0F90_.wvu.FilterData" localSheetId="5" hidden="1">Bao_Cao_AT!$A$2:$H$3882</definedName>
    <definedName name="Z_EBC66EFC_03DD_41E7_BE14_EFAD05BB0F90_.wvu.FilterData" localSheetId="6" hidden="1">Bao_Cao_VH!$A$2:$H$3882</definedName>
    <definedName name="Z_EBC66EFC_03DD_41E7_BE14_EFAD05BB0F90_.wvu.FilterData" localSheetId="3" hidden="1">SL_Control!$A$2:$H$1399</definedName>
    <definedName name="Z_ECB4B041_AEED_4338_90EB_9B5009855053_.wvu.FilterData" localSheetId="2" hidden="1">AN_Control!$A$2:$H$4325</definedName>
    <definedName name="Z_ECC18B57_7C62_4292_AFB1_FE18644F4FA8_.wvu.FilterData" localSheetId="2" hidden="1">AN_Control!$A$2:$H$1735</definedName>
    <definedName name="Z_ECC18B57_7C62_4292_AFB1_FE18644F4FA8_.wvu.FilterData" localSheetId="4" hidden="1">Bao_Cao!$A$2:$H$1735</definedName>
    <definedName name="Z_ECC18B57_7C62_4292_AFB1_FE18644F4FA8_.wvu.FilterData" localSheetId="5" hidden="1">Bao_Cao_AT!$A$2:$H$1735</definedName>
    <definedName name="Z_ECC18B57_7C62_4292_AFB1_FE18644F4FA8_.wvu.FilterData" localSheetId="6" hidden="1">Bao_Cao_VH!$A$2:$H$1735</definedName>
    <definedName name="Z_ED16C516_60C1_474A_B616_B0FEBD2B0271_.wvu.FilterData" localSheetId="2" hidden="1">AN_Control!$A$2:$H$4517</definedName>
    <definedName name="Z_ED16C516_60C1_474A_B616_B0FEBD2B0271_.wvu.FilterData" localSheetId="4" hidden="1">Bao_Cao!$A$2:$H$3882</definedName>
    <definedName name="Z_ED16C516_60C1_474A_B616_B0FEBD2B0271_.wvu.FilterData" localSheetId="5" hidden="1">Bao_Cao_AT!$A$2:$H$3882</definedName>
    <definedName name="Z_ED16C516_60C1_474A_B616_B0FEBD2B0271_.wvu.FilterData" localSheetId="6" hidden="1">Bao_Cao_VH!$A$2:$H$3882</definedName>
    <definedName name="Z_EE32F5BC_7ABA_4E7C_AEB0_9DEC16ABEFEC_.wvu.FilterData" localSheetId="3" hidden="1">SL_Control!$A$2:$H$1067</definedName>
    <definedName name="Z_EE4DB7DC_5D4C_4F69_930E_7B76F45EFB69_.wvu.FilterData" localSheetId="3" hidden="1">SL_Control!$A$2:$H$271</definedName>
    <definedName name="Z_EECBEA0C_70BE_432B_B653_7F5CF15D0883_.wvu.FilterData" localSheetId="2" hidden="1">AN_Control!$A$2:$H$698</definedName>
    <definedName name="Z_EECBEA0C_70BE_432B_B653_7F5CF15D0883_.wvu.FilterData" localSheetId="4" hidden="1">Bao_Cao!$A$2:$H$698</definedName>
    <definedName name="Z_EECBEA0C_70BE_432B_B653_7F5CF15D0883_.wvu.FilterData" localSheetId="5" hidden="1">Bao_Cao_AT!$A$2:$H$698</definedName>
    <definedName name="Z_EECBEA0C_70BE_432B_B653_7F5CF15D0883_.wvu.FilterData" localSheetId="6" hidden="1">Bao_Cao_VH!$A$2:$H$698</definedName>
    <definedName name="Z_EECBEA0C_70BE_432B_B653_7F5CF15D0883_.wvu.FilterData" localSheetId="3" hidden="1">SL_Control!$A$2:$H$178</definedName>
    <definedName name="Z_EF5781BC_CE2D_4C2E_9371_733ABC4B4AB8_.wvu.FilterData" localSheetId="2" hidden="1">AN_Control!$A$2:$H$1025</definedName>
    <definedName name="Z_EF5781BC_CE2D_4C2E_9371_733ABC4B4AB8_.wvu.FilterData" localSheetId="4" hidden="1">Bao_Cao!$A$2:$H$1025</definedName>
    <definedName name="Z_EF5781BC_CE2D_4C2E_9371_733ABC4B4AB8_.wvu.FilterData" localSheetId="5" hidden="1">Bao_Cao_AT!$A$2:$H$1025</definedName>
    <definedName name="Z_EF5781BC_CE2D_4C2E_9371_733ABC4B4AB8_.wvu.FilterData" localSheetId="6" hidden="1">Bao_Cao_VH!$A$2:$H$1025</definedName>
    <definedName name="Z_F030297A_1E50_4B45_94BC_1DF0AA206DAC_.wvu.FilterData" localSheetId="2" hidden="1">AN_Control!$A$2:$H$3875</definedName>
    <definedName name="Z_F030297A_1E50_4B45_94BC_1DF0AA206DAC_.wvu.FilterData" localSheetId="4" hidden="1">Bao_Cao!$A$2:$H$3877</definedName>
    <definedName name="Z_F030297A_1E50_4B45_94BC_1DF0AA206DAC_.wvu.FilterData" localSheetId="5" hidden="1">Bao_Cao_AT!$A$2:$H$3877</definedName>
    <definedName name="Z_F030297A_1E50_4B45_94BC_1DF0AA206DAC_.wvu.FilterData" localSheetId="6" hidden="1">Bao_Cao_VH!$A$2:$H$3877</definedName>
    <definedName name="Z_F030297A_1E50_4B45_94BC_1DF0AA206DAC_.wvu.FilterData" localSheetId="3" hidden="1">SL_Control!$A$2:$H$929</definedName>
    <definedName name="Z_F067EC86_8469_439A_93B4_C6FA6F1F4A5E_.wvu.FilterData" localSheetId="2" hidden="1">AN_Control!$A$2:$H$1474</definedName>
    <definedName name="Z_F067EC86_8469_439A_93B4_C6FA6F1F4A5E_.wvu.FilterData" localSheetId="4" hidden="1">Bao_Cao!$A$2:$H$1474</definedName>
    <definedName name="Z_F067EC86_8469_439A_93B4_C6FA6F1F4A5E_.wvu.FilterData" localSheetId="5" hidden="1">Bao_Cao_AT!$A$2:$H$1474</definedName>
    <definedName name="Z_F067EC86_8469_439A_93B4_C6FA6F1F4A5E_.wvu.FilterData" localSheetId="6" hidden="1">Bao_Cao_VH!$A$2:$H$1474</definedName>
    <definedName name="Z_F085354C_B630_4E33_97E1_F974EC38335D_.wvu.FilterData" localSheetId="2" hidden="1">AN_Control!$A$2:$H$3161</definedName>
    <definedName name="Z_F085354C_B630_4E33_97E1_F974EC38335D_.wvu.FilterData" localSheetId="4" hidden="1">Bao_Cao!$A$2:$H$3162</definedName>
    <definedName name="Z_F085354C_B630_4E33_97E1_F974EC38335D_.wvu.FilterData" localSheetId="5" hidden="1">Bao_Cao_AT!$A$2:$H$3162</definedName>
    <definedName name="Z_F085354C_B630_4E33_97E1_F974EC38335D_.wvu.FilterData" localSheetId="6" hidden="1">Bao_Cao_VH!$A$2:$H$3162</definedName>
    <definedName name="Z_F0C46055_6151_48AA_9F9E_89D73C0D3464_.wvu.FilterData" localSheetId="3" hidden="1">SL_Control!$A$2:$H$528</definedName>
    <definedName name="Z_F0E9E17A_0693_4A42_9CBD_AB24E136C1C7_.wvu.FilterData" localSheetId="2" hidden="1">AN_Control!$A$2:$H$4980</definedName>
    <definedName name="Z_F386BBF7_A990_45F5_86B0_3AEA29D9543A_.wvu.FilterData" localSheetId="2" hidden="1">AN_Control!$A$2:$H$1843</definedName>
    <definedName name="Z_F386BBF7_A990_45F5_86B0_3AEA29D9543A_.wvu.FilterData" localSheetId="4" hidden="1">Bao_Cao!$A$2:$H$1843</definedName>
    <definedName name="Z_F386BBF7_A990_45F5_86B0_3AEA29D9543A_.wvu.FilterData" localSheetId="5" hidden="1">Bao_Cao_AT!$A$2:$H$1843</definedName>
    <definedName name="Z_F386BBF7_A990_45F5_86B0_3AEA29D9543A_.wvu.FilterData" localSheetId="6" hidden="1">Bao_Cao_VH!$A$2:$H$1843</definedName>
    <definedName name="Z_F3FD2A62_A5AD_4A42_BC07_08B92C2530E7_.wvu.FilterData" localSheetId="3" hidden="1">SL_Control!$A$2:$H$1130</definedName>
    <definedName name="Z_F4221F56_A891_44CB_9F17_155166335922_.wvu.FilterData" localSheetId="4" hidden="1">Bao_Cao!$A$2:$H$3882</definedName>
    <definedName name="Z_F4221F56_A891_44CB_9F17_155166335922_.wvu.FilterData" localSheetId="5" hidden="1">Bao_Cao_AT!$A$2:$H$3882</definedName>
    <definedName name="Z_F4221F56_A891_44CB_9F17_155166335922_.wvu.FilterData" localSheetId="6" hidden="1">Bao_Cao_VH!$A$2:$H$3882</definedName>
    <definedName name="Z_F48B8928_9E70_4FA4_BAC7_B36462CADC86_.wvu.FilterData" localSheetId="2" hidden="1">AN_Control!$A$2:$H$4391</definedName>
    <definedName name="Z_F4EA6FD3_5ED4_48B6_84F8_7B727F12E387_.wvu.FilterData" localSheetId="2" hidden="1">AN_Control!$A$2:$H$5402</definedName>
    <definedName name="Z_F4EA6FD3_5ED4_48B6_84F8_7B727F12E387_.wvu.FilterData" localSheetId="4" hidden="1">Bao_Cao!$A$2:$H$3882</definedName>
    <definedName name="Z_F4EA6FD3_5ED4_48B6_84F8_7B727F12E387_.wvu.FilterData" localSheetId="5" hidden="1">Bao_Cao_AT!$A$2:$H$3882</definedName>
    <definedName name="Z_F4EA6FD3_5ED4_48B6_84F8_7B727F12E387_.wvu.FilterData" localSheetId="6" hidden="1">Bao_Cao_VH!$A$2:$H$3882</definedName>
    <definedName name="Z_F4EA6FD3_5ED4_48B6_84F8_7B727F12E387_.wvu.FilterData" localSheetId="3" hidden="1">SL_Control!$A$2:$H$1383</definedName>
    <definedName name="Z_F52CDD83_7D95_4B4C_BF3F_0F714E715D74_.wvu.FilterData" localSheetId="4" hidden="1">Bao_Cao!$A$2:$H$3882</definedName>
    <definedName name="Z_F52CDD83_7D95_4B4C_BF3F_0F714E715D74_.wvu.FilterData" localSheetId="5" hidden="1">Bao_Cao_AT!$A$2:$H$3882</definedName>
    <definedName name="Z_F52CDD83_7D95_4B4C_BF3F_0F714E715D74_.wvu.FilterData" localSheetId="6" hidden="1">Bao_Cao_VH!$A$2:$H$3882</definedName>
    <definedName name="Z_F52CDD83_7D95_4B4C_BF3F_0F714E715D74_.wvu.FilterData" localSheetId="3" hidden="1">SL_Control!$A$2:$H$1376</definedName>
    <definedName name="Z_F5852573_FD33_4EFF_A9F4_443D6A7EBD6D_.wvu.FilterData" localSheetId="2" hidden="1">AN_Control!$A$2:$H$4613</definedName>
    <definedName name="Z_F5852573_FD33_4EFF_A9F4_443D6A7EBD6D_.wvu.FilterData" localSheetId="4" hidden="1">Bao_Cao!$A$2:$H$3882</definedName>
    <definedName name="Z_F5852573_FD33_4EFF_A9F4_443D6A7EBD6D_.wvu.FilterData" localSheetId="5" hidden="1">Bao_Cao_AT!$A$2:$H$3882</definedName>
    <definedName name="Z_F5852573_FD33_4EFF_A9F4_443D6A7EBD6D_.wvu.FilterData" localSheetId="6" hidden="1">Bao_Cao_VH!$A$2:$H$3882</definedName>
    <definedName name="Z_F5BCF9C8_E104_4A19_A431_3F294C078989_.wvu.FilterData" localSheetId="2" hidden="1">AN_Control!$A$2:$H$1227</definedName>
    <definedName name="Z_F5BCF9C8_E104_4A19_A431_3F294C078989_.wvu.FilterData" localSheetId="4" hidden="1">Bao_Cao!$A$2:$H$1227</definedName>
    <definedName name="Z_F5BCF9C8_E104_4A19_A431_3F294C078989_.wvu.FilterData" localSheetId="5" hidden="1">Bao_Cao_AT!$A$2:$H$1227</definedName>
    <definedName name="Z_F5BCF9C8_E104_4A19_A431_3F294C078989_.wvu.FilterData" localSheetId="6" hidden="1">Bao_Cao_VH!$A$2:$H$1227</definedName>
    <definedName name="Z_F5BCF9C8_E104_4A19_A431_3F294C078989_.wvu.FilterData" localSheetId="3" hidden="1">SL_Control!$A$2:$H$339</definedName>
    <definedName name="Z_F5E7D857_8B71_4ED2_953F_31A9E439EAEF_.wvu.FilterData" localSheetId="2" hidden="1">AN_Control!$A$2:$H$4221</definedName>
    <definedName name="Z_F5E7D857_8B71_4ED2_953F_31A9E439EAEF_.wvu.FilterData" localSheetId="4" hidden="1">Bao_Cao!$A$2:$H$3882</definedName>
    <definedName name="Z_F5E7D857_8B71_4ED2_953F_31A9E439EAEF_.wvu.FilterData" localSheetId="5" hidden="1">Bao_Cao_AT!$A$2:$H$3882</definedName>
    <definedName name="Z_F5E7D857_8B71_4ED2_953F_31A9E439EAEF_.wvu.FilterData" localSheetId="6" hidden="1">Bao_Cao_VH!$A$2:$H$3882</definedName>
    <definedName name="Z_F62BE767_C6E6_4AB9_BBCA_76A643841791_.wvu.FilterData" localSheetId="4" hidden="1">Bao_Cao!$A$2:$H$3882</definedName>
    <definedName name="Z_F62BE767_C6E6_4AB9_BBCA_76A643841791_.wvu.FilterData" localSheetId="5" hidden="1">Bao_Cao_AT!$A$2:$H$3882</definedName>
    <definedName name="Z_F62BE767_C6E6_4AB9_BBCA_76A643841791_.wvu.FilterData" localSheetId="6" hidden="1">Bao_Cao_VH!$A$2:$H$3882</definedName>
    <definedName name="Z_F68C39CC_A32B_40BA_AD6A_C15E790CF76A_.wvu.FilterData" localSheetId="2" hidden="1">AN_Control!$A$2:$H$4268</definedName>
    <definedName name="Z_F68C39CC_A32B_40BA_AD6A_C15E790CF76A_.wvu.FilterData" localSheetId="4" hidden="1">Bao_Cao!$A$2:$H$3882</definedName>
    <definedName name="Z_F68C39CC_A32B_40BA_AD6A_C15E790CF76A_.wvu.FilterData" localSheetId="5" hidden="1">Bao_Cao_AT!$A$2:$H$3882</definedName>
    <definedName name="Z_F68C39CC_A32B_40BA_AD6A_C15E790CF76A_.wvu.FilterData" localSheetId="6" hidden="1">Bao_Cao_VH!$A$2:$H$3882</definedName>
    <definedName name="Z_F69CA0D4_1246_4DA5_9848_C1355F6AF53D_.wvu.FilterData" localSheetId="2" hidden="1">AN_Control!$A$2:$H$966</definedName>
    <definedName name="Z_F69CA0D4_1246_4DA5_9848_C1355F6AF53D_.wvu.FilterData" localSheetId="4" hidden="1">Bao_Cao!$A$2:$H$966</definedName>
    <definedName name="Z_F69CA0D4_1246_4DA5_9848_C1355F6AF53D_.wvu.FilterData" localSheetId="5" hidden="1">Bao_Cao_AT!$A$2:$H$966</definedName>
    <definedName name="Z_F69CA0D4_1246_4DA5_9848_C1355F6AF53D_.wvu.FilterData" localSheetId="6" hidden="1">Bao_Cao_VH!$A$2:$H$966</definedName>
    <definedName name="Z_F69CA0D4_1246_4DA5_9848_C1355F6AF53D_.wvu.FilterData" localSheetId="3" hidden="1">SL_Control!$A$2:$H$267</definedName>
    <definedName name="Z_F6A3D164_702A_4C5A_903B_827863F82918_.wvu.FilterData" localSheetId="2" hidden="1">AN_Control!$A$2:$H$3177</definedName>
    <definedName name="Z_F6A3D164_702A_4C5A_903B_827863F82918_.wvu.FilterData" localSheetId="4" hidden="1">Bao_Cao!$A$2:$H$3178</definedName>
    <definedName name="Z_F6A3D164_702A_4C5A_903B_827863F82918_.wvu.FilterData" localSheetId="5" hidden="1">Bao_Cao_AT!$A$2:$H$3178</definedName>
    <definedName name="Z_F6A3D164_702A_4C5A_903B_827863F82918_.wvu.FilterData" localSheetId="6" hidden="1">Bao_Cao_VH!$A$2:$H$3178</definedName>
    <definedName name="Z_F6A3D164_702A_4C5A_903B_827863F82918_.wvu.FilterData" localSheetId="3" hidden="1">SL_Control!$A$2:$H$725</definedName>
    <definedName name="Z_F6D49A35_0806_4EB7_ACAD_D2DA7E988F4D_.wvu.FilterData" localSheetId="2" hidden="1">AN_Control!$A$2:$H$3838</definedName>
    <definedName name="Z_F6D49A35_0806_4EB7_ACAD_D2DA7E988F4D_.wvu.FilterData" localSheetId="4" hidden="1">Bao_Cao!$A$2:$H$3840</definedName>
    <definedName name="Z_F6D49A35_0806_4EB7_ACAD_D2DA7E988F4D_.wvu.FilterData" localSheetId="5" hidden="1">Bao_Cao_AT!$A$2:$H$3840</definedName>
    <definedName name="Z_F6D49A35_0806_4EB7_ACAD_D2DA7E988F4D_.wvu.FilterData" localSheetId="6" hidden="1">Bao_Cao_VH!$A$2:$H$3840</definedName>
    <definedName name="Z_F72A8C2D_8B9B_459D_B51E_59BC8A347968_.wvu.FilterData" localSheetId="2" hidden="1">AN_Control!$A$2:$H$3849</definedName>
    <definedName name="Z_F72A8C2D_8B9B_459D_B51E_59BC8A347968_.wvu.FilterData" localSheetId="4" hidden="1">Bao_Cao!$A$2:$H$3851</definedName>
    <definedName name="Z_F72A8C2D_8B9B_459D_B51E_59BC8A347968_.wvu.FilterData" localSheetId="5" hidden="1">Bao_Cao_AT!$A$2:$H$3851</definedName>
    <definedName name="Z_F72A8C2D_8B9B_459D_B51E_59BC8A347968_.wvu.FilterData" localSheetId="6" hidden="1">Bao_Cao_VH!$A$2:$H$3851</definedName>
    <definedName name="Z_F72A8C2D_8B9B_459D_B51E_59BC8A347968_.wvu.FilterData" localSheetId="3" hidden="1">SL_Control!$A$2:$H$923</definedName>
    <definedName name="Z_F7C55E10_F7BC_4425_A670_3334E0FB81F7_.wvu.FilterData" localSheetId="2" hidden="1">AN_Control!$A$2:$H$2132</definedName>
    <definedName name="Z_F7C55E10_F7BC_4425_A670_3334E0FB81F7_.wvu.FilterData" localSheetId="4" hidden="1">Bao_Cao!$A$2:$H$2132</definedName>
    <definedName name="Z_F7C55E10_F7BC_4425_A670_3334E0FB81F7_.wvu.FilterData" localSheetId="5" hidden="1">Bao_Cao_AT!$A$2:$H$2132</definedName>
    <definedName name="Z_F7C55E10_F7BC_4425_A670_3334E0FB81F7_.wvu.FilterData" localSheetId="6" hidden="1">Bao_Cao_VH!$A$2:$H$2132</definedName>
    <definedName name="Z_F85EA6C4_7B09_471E_A9A3_C8F6D26FB971_.wvu.FilterData" localSheetId="2" hidden="1">AN_Control!$A$2:$H$5642</definedName>
    <definedName name="Z_F85EA6C4_7B09_471E_A9A3_C8F6D26FB971_.wvu.FilterData" localSheetId="4" hidden="1">Bao_Cao!$A$2:$H$3882</definedName>
    <definedName name="Z_F85EA6C4_7B09_471E_A9A3_C8F6D26FB971_.wvu.FilterData" localSheetId="5" hidden="1">Bao_Cao_AT!$A$2:$H$3882</definedName>
    <definedName name="Z_F85EA6C4_7B09_471E_A9A3_C8F6D26FB971_.wvu.FilterData" localSheetId="6" hidden="1">Bao_Cao_VH!$A$2:$H$3882</definedName>
    <definedName name="Z_F899AA38_9ED6_48FA_8F2A_03F3570090CC_.wvu.FilterData" localSheetId="2" hidden="1">AN_Control!$A$2:$H$4547</definedName>
    <definedName name="Z_F899AA38_9ED6_48FA_8F2A_03F3570090CC_.wvu.FilterData" localSheetId="4" hidden="1">Bao_Cao!$A$2:$H$3882</definedName>
    <definedName name="Z_F899AA38_9ED6_48FA_8F2A_03F3570090CC_.wvu.FilterData" localSheetId="5" hidden="1">Bao_Cao_AT!$A$2:$H$3882</definedName>
    <definedName name="Z_F899AA38_9ED6_48FA_8F2A_03F3570090CC_.wvu.FilterData" localSheetId="6" hidden="1">Bao_Cao_VH!$A$2:$H$3882</definedName>
    <definedName name="Z_F899AA38_9ED6_48FA_8F2A_03F3570090CC_.wvu.FilterData" localSheetId="3" hidden="1">SL_Control!$A$2:$H$1113</definedName>
    <definedName name="Z_F8B92474_8E97_4679_A6E1_F87BEA5457C6_.wvu.FilterData" localSheetId="2" hidden="1">AN_Control!$A$2:$H$1727</definedName>
    <definedName name="Z_F8B92474_8E97_4679_A6E1_F87BEA5457C6_.wvu.FilterData" localSheetId="4" hidden="1">Bao_Cao!$A$2:$H$1727</definedName>
    <definedName name="Z_F8B92474_8E97_4679_A6E1_F87BEA5457C6_.wvu.FilterData" localSheetId="5" hidden="1">Bao_Cao_AT!$A$2:$H$1727</definedName>
    <definedName name="Z_F8B92474_8E97_4679_A6E1_F87BEA5457C6_.wvu.FilterData" localSheetId="6" hidden="1">Bao_Cao_VH!$A$2:$H$1727</definedName>
    <definedName name="Z_F8EB5029_E74A_4E26_BE9A_CAF5FFB0F42C_.wvu.FilterData" localSheetId="3" hidden="1">SL_Control!$A$2:$H$281</definedName>
    <definedName name="Z_F91E8E15_C14C_4445_BBCC_8A0A07A6726E_.wvu.FilterData" localSheetId="3" hidden="1">SL_Control!$A$2:$H$265</definedName>
    <definedName name="Z_F947143C_6151_4BB3_B839_9A8E73AD9F50_.wvu.FilterData" localSheetId="2" hidden="1">AN_Control!$A$2:$H$4126</definedName>
    <definedName name="Z_F947143C_6151_4BB3_B839_9A8E73AD9F50_.wvu.FilterData" localSheetId="4" hidden="1">Bao_Cao!$A$2:$H$3882</definedName>
    <definedName name="Z_F947143C_6151_4BB3_B839_9A8E73AD9F50_.wvu.FilterData" localSheetId="5" hidden="1">Bao_Cao_AT!$A$2:$H$3882</definedName>
    <definedName name="Z_F947143C_6151_4BB3_B839_9A8E73AD9F50_.wvu.FilterData" localSheetId="6" hidden="1">Bao_Cao_VH!$A$2:$H$3882</definedName>
    <definedName name="Z_F947143C_6151_4BB3_B839_9A8E73AD9F50_.wvu.FilterData" localSheetId="3" hidden="1">SL_Control!$A$2:$H$994</definedName>
    <definedName name="Z_F97DBF5A_71A8_484B_A8BD_49F316286418_.wvu.FilterData" localSheetId="3" hidden="1">SL_Control!$A$2:$H$264</definedName>
    <definedName name="Z_FA091BF7_1A77_4500_817B_58BE87BFC347_.wvu.FilterData" localSheetId="3" hidden="1">SL_Control!$A$2:$H$146</definedName>
    <definedName name="Z_FA39E935_B2CC_4092_8512_9B9197416ADF_.wvu.FilterData" localSheetId="3" hidden="1">SL_Control!$A$2:$H$188</definedName>
    <definedName name="Z_FAA6C5C3_427E_49C1_9B00_03A3ED45B658_.wvu.FilterData" localSheetId="3" hidden="1">SL_Control!$A$2:$H$873</definedName>
    <definedName name="Z_FB2F27AA_962D_45BE_93A3_265CF0E54404_.wvu.FilterData" localSheetId="2" hidden="1">AN_Control!$A$2:$H$1843</definedName>
    <definedName name="Z_FB2F27AA_962D_45BE_93A3_265CF0E54404_.wvu.FilterData" localSheetId="4" hidden="1">Bao_Cao!$A$2:$H$1843</definedName>
    <definedName name="Z_FB2F27AA_962D_45BE_93A3_265CF0E54404_.wvu.FilterData" localSheetId="5" hidden="1">Bao_Cao_AT!$A$2:$H$1843</definedName>
    <definedName name="Z_FB2F27AA_962D_45BE_93A3_265CF0E54404_.wvu.FilterData" localSheetId="6" hidden="1">Bao_Cao_VH!$A$2:$H$1843</definedName>
    <definedName name="Z_FB2F27AA_962D_45BE_93A3_265CF0E54404_.wvu.FilterData" localSheetId="3" hidden="1">SL_Control!$A$2:$H$520</definedName>
    <definedName name="Z_FB63517F_B667_4DEB_ADF5_97D0BE80B09E_.wvu.FilterData" localSheetId="2" hidden="1">AN_Control!$A$2:$H$1072</definedName>
    <definedName name="Z_FB63517F_B667_4DEB_ADF5_97D0BE80B09E_.wvu.FilterData" localSheetId="4" hidden="1">Bao_Cao!$A$2:$H$1072</definedName>
    <definedName name="Z_FB63517F_B667_4DEB_ADF5_97D0BE80B09E_.wvu.FilterData" localSheetId="5" hidden="1">Bao_Cao_AT!$A$2:$H$1072</definedName>
    <definedName name="Z_FB63517F_B667_4DEB_ADF5_97D0BE80B09E_.wvu.FilterData" localSheetId="6" hidden="1">Bao_Cao_VH!$A$2:$H$1072</definedName>
    <definedName name="Z_FB71EFF8_4D06_4FC2_8380_D380D7B4D05B_.wvu.FilterData" localSheetId="2" hidden="1">AN_Control!$A$2:$H$1543</definedName>
    <definedName name="Z_FB71EFF8_4D06_4FC2_8380_D380D7B4D05B_.wvu.FilterData" localSheetId="4" hidden="1">Bao_Cao!$A$2:$H$1543</definedName>
    <definedName name="Z_FB71EFF8_4D06_4FC2_8380_D380D7B4D05B_.wvu.FilterData" localSheetId="5" hidden="1">Bao_Cao_AT!$A$2:$H$1543</definedName>
    <definedName name="Z_FB71EFF8_4D06_4FC2_8380_D380D7B4D05B_.wvu.FilterData" localSheetId="6" hidden="1">Bao_Cao_VH!$A$2:$H$1543</definedName>
    <definedName name="Z_FB71EFF8_4D06_4FC2_8380_D380D7B4D05B_.wvu.FilterData" localSheetId="3" hidden="1">SL_Control!$A$2:$H$398</definedName>
    <definedName name="Z_FB78BE68_BBF2_45C2_B237_DDBA46C5C8A3_.wvu.FilterData" localSheetId="4" hidden="1">Bao_Cao!$A$2:$H$3882</definedName>
    <definedName name="Z_FB78BE68_BBF2_45C2_B237_DDBA46C5C8A3_.wvu.FilterData" localSheetId="5" hidden="1">Bao_Cao_AT!$A$2:$H$3882</definedName>
    <definedName name="Z_FB78BE68_BBF2_45C2_B237_DDBA46C5C8A3_.wvu.FilterData" localSheetId="6" hidden="1">Bao_Cao_VH!$A$2:$H$3882</definedName>
    <definedName name="Z_FB78BE68_BBF2_45C2_B237_DDBA46C5C8A3_.wvu.FilterData" localSheetId="3" hidden="1">SL_Control!$A$2:$H$1047</definedName>
    <definedName name="Z_FB7DEDBB_EAB0_49B4_81B0_A6169F103F49_.wvu.FilterData" localSheetId="3" hidden="1">SL_Control!$A$2:$H$333</definedName>
    <definedName name="Z_FB811988_1CED_431F_98C7_6240EFF7C8C0_.wvu.FilterData" localSheetId="2" hidden="1">AN_Control!$A$2:$H$5371</definedName>
    <definedName name="Z_FB811988_1CED_431F_98C7_6240EFF7C8C0_.wvu.FilterData" localSheetId="4" hidden="1">Bao_Cao!$A$2:$H$3882</definedName>
    <definedName name="Z_FB811988_1CED_431F_98C7_6240EFF7C8C0_.wvu.FilterData" localSheetId="5" hidden="1">Bao_Cao_AT!$A$2:$H$3882</definedName>
    <definedName name="Z_FB811988_1CED_431F_98C7_6240EFF7C8C0_.wvu.FilterData" localSheetId="6" hidden="1">Bao_Cao_VH!$A$2:$H$3882</definedName>
    <definedName name="Z_FB81A87C_6977_4C42_91F9_F997D15A86BD_.wvu.FilterData" localSheetId="3" hidden="1">SL_Control!$A$2:$H$862</definedName>
    <definedName name="Z_FC325FD3_984B_4C85_816C_2F48CC81DD1B_.wvu.FilterData" localSheetId="2" hidden="1">AN_Control!$A$2:$H$1515</definedName>
    <definedName name="Z_FC325FD3_984B_4C85_816C_2F48CC81DD1B_.wvu.FilterData" localSheetId="4" hidden="1">Bao_Cao!$A$2:$H$1515</definedName>
    <definedName name="Z_FC325FD3_984B_4C85_816C_2F48CC81DD1B_.wvu.FilterData" localSheetId="5" hidden="1">Bao_Cao_AT!$A$2:$H$1515</definedName>
    <definedName name="Z_FC325FD3_984B_4C85_816C_2F48CC81DD1B_.wvu.FilterData" localSheetId="6" hidden="1">Bao_Cao_VH!$A$2:$H$1515</definedName>
    <definedName name="Z_FCC6384E_F601_4A2B_A2DB_229BE85DD79B_.wvu.FilterData" localSheetId="4" hidden="1">Bao_Cao!$A$2:$H$3882</definedName>
    <definedName name="Z_FCC6384E_F601_4A2B_A2DB_229BE85DD79B_.wvu.FilterData" localSheetId="5" hidden="1">Bao_Cao_AT!$A$2:$H$3882</definedName>
    <definedName name="Z_FCC6384E_F601_4A2B_A2DB_229BE85DD79B_.wvu.FilterData" localSheetId="6" hidden="1">Bao_Cao_VH!$A$2:$H$3882</definedName>
    <definedName name="Z_FD7BB404_787A_448C_87D9_683695063C4E_.wvu.FilterData" localSheetId="2" hidden="1">AN_Control!$A$2:$H$2730</definedName>
    <definedName name="Z_FD7BB404_787A_448C_87D9_683695063C4E_.wvu.FilterData" localSheetId="4" hidden="1">Bao_Cao!$A$2:$H$2731</definedName>
    <definedName name="Z_FD7BB404_787A_448C_87D9_683695063C4E_.wvu.FilterData" localSheetId="5" hidden="1">Bao_Cao_AT!$A$2:$H$2731</definedName>
    <definedName name="Z_FD7BB404_787A_448C_87D9_683695063C4E_.wvu.FilterData" localSheetId="6" hidden="1">Bao_Cao_VH!$A$2:$H$2731</definedName>
    <definedName name="Z_FD7BB404_787A_448C_87D9_683695063C4E_.wvu.FilterData" localSheetId="3" hidden="1">SL_Control!$A$2:$H$639</definedName>
    <definedName name="Z_FD97AE48_7ECD_4577_8E25_E2FE8FEA6BF1_.wvu.FilterData" localSheetId="2" hidden="1">AN_Control!$A$2:$H$5575</definedName>
    <definedName name="Z_FD97AE48_7ECD_4577_8E25_E2FE8FEA6BF1_.wvu.FilterData" localSheetId="4" hidden="1">Bao_Cao!$A$2:$H$3882</definedName>
    <definedName name="Z_FD97AE48_7ECD_4577_8E25_E2FE8FEA6BF1_.wvu.FilterData" localSheetId="5" hidden="1">Bao_Cao_AT!$A$2:$H$3882</definedName>
    <definedName name="Z_FD97AE48_7ECD_4577_8E25_E2FE8FEA6BF1_.wvu.FilterData" localSheetId="6" hidden="1">Bao_Cao_VH!$A$2:$H$3882</definedName>
    <definedName name="Z_FDAD2B5D_3DC7_41B5_A949_CE2809BA843D_.wvu.FilterData" localSheetId="2" hidden="1">AN_Control!$A$2:$H$4207</definedName>
    <definedName name="Z_FE1C86C7_85CD_478D_9965_74FD177727F7_.wvu.FilterData" localSheetId="2" hidden="1">AN_Control!$A$2:$H$4930</definedName>
    <definedName name="Z_FEE742A3_7F42_4784_B5A1_CF822C93F6DC_.wvu.FilterData" localSheetId="2" hidden="1">AN_Control!$A$2:$H$5597</definedName>
    <definedName name="Z_FEE742A3_7F42_4784_B5A1_CF822C93F6DC_.wvu.FilterData" localSheetId="4" hidden="1">Bao_Cao!$A$2:$H$3882</definedName>
    <definedName name="Z_FEE742A3_7F42_4784_B5A1_CF822C93F6DC_.wvu.FilterData" localSheetId="5" hidden="1">Bao_Cao_AT!$A$2:$H$3882</definedName>
    <definedName name="Z_FEE742A3_7F42_4784_B5A1_CF822C93F6DC_.wvu.FilterData" localSheetId="6" hidden="1">Bao_Cao_VH!$A$2:$H$3882</definedName>
    <definedName name="Z_FF38A8CF_5CAD_4E5D_80A0_99EF6447AA0D_.wvu.FilterData" localSheetId="2" hidden="1">AN_Control!$A$2:$H$2846</definedName>
    <definedName name="Z_FF38A8CF_5CAD_4E5D_80A0_99EF6447AA0D_.wvu.FilterData" localSheetId="4" hidden="1">Bao_Cao!$A$2:$H$2847</definedName>
    <definedName name="Z_FF38A8CF_5CAD_4E5D_80A0_99EF6447AA0D_.wvu.FilterData" localSheetId="5" hidden="1">Bao_Cao_AT!$A$2:$H$2847</definedName>
    <definedName name="Z_FF38A8CF_5CAD_4E5D_80A0_99EF6447AA0D_.wvu.FilterData" localSheetId="6" hidden="1">Bao_Cao_VH!$A$2:$H$2847</definedName>
    <definedName name="Z_FFBE80CD_1865_41CF_979B_C9D090BCEAB8_.wvu.FilterData" localSheetId="3" hidden="1">SL_Control!$A$2:$H$1376</definedName>
    <definedName name="Z_FFF9B7DD_8AEE_411A_ABC4_5B1D5537BCDC_.wvu.FilterData" localSheetId="2" hidden="1">AN_Control!$A$2:$H$4929</definedName>
    <definedName name="Z_FFF9B7DD_8AEE_411A_ABC4_5B1D5537BCDC_.wvu.FilterData" localSheetId="4" hidden="1">Bao_Cao!$A$2:$H$3882</definedName>
    <definedName name="Z_FFF9B7DD_8AEE_411A_ABC4_5B1D5537BCDC_.wvu.FilterData" localSheetId="5" hidden="1">Bao_Cao_AT!$A$2:$H$3882</definedName>
    <definedName name="Z_FFF9B7DD_8AEE_411A_ABC4_5B1D5537BCDC_.wvu.FilterData" localSheetId="6" hidden="1">Bao_Cao_VH!$A$2:$H$3882</definedName>
  </definedNames>
  <calcPr calcId="191029"/>
  <customWorkbookViews>
    <customWorkbookView name="hồng ân võ văn - Personal View" guid="{3088DA8C-CA5B-4D0B-B766-601A6252A1BC}" mergeInterval="0" personalView="1" maximized="1" xWindow="-8" yWindow="-8" windowWidth="1382" windowHeight="744" activeSheetId="3"/>
    <customWorkbookView name="Anhtuyet NGUYEN - Personal View" guid="{2C9D0022-6FEB-4503-9A3D-1134E9EB4ABD}" mergeInterval="0" personalView="1" maximized="1" xWindow="-8" yWindow="-8" windowWidth="1936" windowHeight="1056" activeSheetId="2"/>
    <customWorkbookView name="Myduyen QUACH - Personal View" guid="{13FE0DC8-EF6C-4CDA-BD49-DC570D2B6582}" mergeInterval="0" personalView="1" maximized="1" xWindow="-8" yWindow="-8" windowWidth="1936" windowHeight="1056" activeSheetId="3"/>
    <customWorkbookView name="Jackie DINH - Personal View" guid="{B4395361-3CED-435D-A8C1-8E5C741E5B5A}" mergeInterval="0" personalView="1" maximized="1" xWindow="-8" yWindow="-8" windowWidth="1936" windowHeight="1056" activeSheetId="1"/>
    <customWorkbookView name="Gary NGUYEN - Personal View" guid="{50E2BFBF-272C-4DEF-B188-80DD2782F903}" mergeInterval="0" personalView="1" maximized="1" xWindow="-8" yWindow="-8" windowWidth="1936" windowHeight="1056" activeSheetId="1"/>
    <customWorkbookView name="Hongan VO - Personal View" guid="{16C42120-8ADA-4135-A282-991D16C151FE}" mergeInterval="0" personalView="1" maximized="1" xWindow="-8" yWindow="-8" windowWidth="1872" windowHeight="1096" activeSheetId="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0" l="1"/>
  <c r="D18" i="10" s="1"/>
  <c r="I18" i="10"/>
  <c r="I19" i="10" s="1"/>
  <c r="D19" i="10" l="1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K3" i="6" l="1"/>
</calcChain>
</file>

<file path=xl/sharedStrings.xml><?xml version="1.0" encoding="utf-8"?>
<sst xmlns="http://schemas.openxmlformats.org/spreadsheetml/2006/main" count="4361" uniqueCount="1510">
  <si>
    <t>DATE IN</t>
  </si>
  <si>
    <t>RP OUT</t>
  </si>
  <si>
    <t>DATE OUT</t>
  </si>
  <si>
    <t>TYPIST</t>
  </si>
  <si>
    <t>VI TRI</t>
  </si>
  <si>
    <t xml:space="preserve">TEN CLIENT </t>
  </si>
  <si>
    <t>REMARK</t>
  </si>
  <si>
    <t>RP</t>
  </si>
  <si>
    <t>Q</t>
  </si>
  <si>
    <t>V</t>
  </si>
  <si>
    <t>Sample No.</t>
  </si>
  <si>
    <t>Service</t>
  </si>
  <si>
    <t>Sub. by</t>
  </si>
  <si>
    <t>Remark</t>
  </si>
  <si>
    <t>Total Code</t>
  </si>
  <si>
    <t>A</t>
  </si>
  <si>
    <t>X</t>
  </si>
  <si>
    <t>Pending code</t>
  </si>
  <si>
    <t>AN CONFIRM/ Remark</t>
  </si>
  <si>
    <t>CODE</t>
  </si>
  <si>
    <t>CONTACT</t>
  </si>
  <si>
    <t xml:space="preserve">DCD(AN) </t>
  </si>
  <si>
    <t>Thanh Hieu NGUYEN  &lt;thanhhieu.nguyen@bureauveritas.com&gt;</t>
  </si>
  <si>
    <t>Cc: 
Judy Ho
Hari Le</t>
  </si>
  <si>
    <t>VINH(JUDY)</t>
  </si>
  <si>
    <t>LDCS</t>
  </si>
  <si>
    <t>Zane HO &lt;zane.ho@bureauveritas.com&gt;</t>
  </si>
  <si>
    <t xml:space="preserve">LUONG(SURI) </t>
  </si>
  <si>
    <t>TA(AN)</t>
  </si>
  <si>
    <t>Nhi LE &lt;nhi.le@bureauveritas.com&gt;</t>
  </si>
  <si>
    <t>THUY DOAN</t>
  </si>
  <si>
    <t>Khuyen NGUYEN &lt;khuyen.nguyen@bureauveritas.com&gt;</t>
  </si>
  <si>
    <t>SURI</t>
  </si>
  <si>
    <t>Hao TRAN &lt;hao.tran@bureauveritas.com&gt;</t>
  </si>
  <si>
    <t>D</t>
  </si>
  <si>
    <t xml:space="preserve">PARTRIC(JUDY) </t>
  </si>
  <si>
    <t>Amy NGUYEN &lt;amy.nguyen@bureauveritas.com&gt;</t>
  </si>
  <si>
    <t>Thanh Huynh &lt;thanh.huynh@bureauveritas.com&gt;</t>
  </si>
  <si>
    <t>NHAN AN THEO CODE BAT DAU TU NGAY 12/3</t>
  </si>
  <si>
    <t>12/5 CRAYOLA CHẠY THEO CHƯƠNG TRÌNH MỚI</t>
  </si>
  <si>
    <t xml:space="preserve">9/6 COSTCO CHẠY THEO CHƯƠNG TRÌNH MỚI </t>
  </si>
  <si>
    <t>LỊCH NGHỈ TẾT</t>
  </si>
  <si>
    <t>Ngày nghỉ</t>
  </si>
  <si>
    <t xml:space="preserve">Dương lịch </t>
  </si>
  <si>
    <t>Âm lịch</t>
  </si>
  <si>
    <t xml:space="preserve">Chung </t>
  </si>
  <si>
    <t>Nghiêm</t>
  </si>
  <si>
    <t>Duyên</t>
  </si>
  <si>
    <t>Ân</t>
  </si>
  <si>
    <t>Date sub</t>
  </si>
  <si>
    <t>F</t>
  </si>
  <si>
    <t>P</t>
  </si>
  <si>
    <t xml:space="preserve">FAIL </t>
  </si>
  <si>
    <t>PRIORITY</t>
  </si>
  <si>
    <t>96230460670 F</t>
  </si>
  <si>
    <t>96230460670 P</t>
  </si>
  <si>
    <t>Breaking strength of textile fabrics: grab test</t>
  </si>
  <si>
    <t>ASTM D5034-21</t>
  </si>
  <si>
    <t>Seam strength</t>
  </si>
  <si>
    <t>ASTM D1683-17(R2018) Modified</t>
  </si>
  <si>
    <t>Tearing strength: tongue (single rip) procedure</t>
  </si>
  <si>
    <t>ASTM D2261-13 (R2017)e1</t>
  </si>
  <si>
    <t>Abrasion resistance of textile fabrics</t>
  </si>
  <si>
    <t>ASTM D4157-13 (R2017)</t>
  </si>
  <si>
    <t>Colorfastness to crocking</t>
  </si>
  <si>
    <t>AATCC 8-16</t>
  </si>
  <si>
    <t>Colorfastness to light</t>
  </si>
  <si>
    <t>AATCC 16.3-20</t>
  </si>
  <si>
    <t>BOBS-HL-PTCL-03000-USA-UPHOLSTERY FABRICS, LEATHER, VINYL, LINING, INDOOR AND OUTDOOR-V2 (2)</t>
  </si>
  <si>
    <t xml:space="preserve">Test name </t>
  </si>
  <si>
    <t xml:space="preserve">Test Method </t>
  </si>
  <si>
    <t xml:space="preserve">Protocol Number </t>
  </si>
  <si>
    <t>96230480568 F</t>
  </si>
  <si>
    <t>96230530654 F</t>
  </si>
  <si>
    <t>DSNY-TY-PTCL-08261.01-GBL-SOFT (STUFFED) TOYS PG02 (DDR DISNEY REQUIREMENT)-V31</t>
  </si>
  <si>
    <t>COLORFASTNESS TO SALIVA (DISNEY)</t>
  </si>
  <si>
    <t>AATCC 15-21e Modified</t>
  </si>
  <si>
    <t>96230510341 P</t>
  </si>
  <si>
    <t>Water repellency: spray test</t>
  </si>
  <si>
    <t>AATCC 22-17</t>
  </si>
  <si>
    <t>TRGT-HL-PTCL-03014-USA-OUTDOOR FURNITURE COVER GRILL COVER-V34</t>
  </si>
  <si>
    <t>Water resistance: rain test</t>
  </si>
  <si>
    <t>AATCC 35-18e2</t>
  </si>
  <si>
    <t>96230340219 P</t>
  </si>
  <si>
    <t>96230530656 F</t>
  </si>
  <si>
    <t>96230560566 F</t>
  </si>
  <si>
    <t>96230560542 F</t>
  </si>
  <si>
    <t>96230580105 F</t>
  </si>
  <si>
    <t>96230590058 F</t>
  </si>
  <si>
    <t>96230550217 L</t>
  </si>
  <si>
    <t>96230580649 F</t>
  </si>
  <si>
    <t>96230580263 F</t>
  </si>
  <si>
    <t>96230580205 F</t>
  </si>
  <si>
    <t>96230600470 F</t>
  </si>
  <si>
    <t>WMRT-HL-PTCL-05255-USA-FILE FOLDER PORTFOLIO REPORT COVERS RING BINDERS HMZ-V16</t>
  </si>
  <si>
    <t>TAPPI T414 om-12</t>
  </si>
  <si>
    <t>Tear strength</t>
  </si>
  <si>
    <t>96230580498 F</t>
  </si>
  <si>
    <t>96230610363 F</t>
  </si>
  <si>
    <t>DSNY-TY-PTCL-08261-SAU-SOFT (STUFFED) TOYS PG02-V6</t>
  </si>
  <si>
    <t>With reference to Technical Regulation to Textile Products / Client Requirement</t>
  </si>
  <si>
    <t>Fiber Content of Plush Toys</t>
  </si>
  <si>
    <t>96230550035 Y</t>
  </si>
  <si>
    <t>96230650149 F</t>
  </si>
  <si>
    <t>DIN 53160-1:2010-10</t>
  </si>
  <si>
    <t xml:space="preserve">COLORFASTNESS TO SALIVA AND PERSPIRATION (GER) </t>
  </si>
  <si>
    <t>DIN 53160-2:2010-10</t>
  </si>
  <si>
    <t>DSNY-TY-PTCL-08261-EUR-SOFT (STUFFED) TOYS PG02-V76</t>
  </si>
  <si>
    <t>COLORFASTNESS TO SALIVA - PACIFIERS (GER) EUR-T-0161 COLORFASTNESS TO SALIVA AND PERSPIRATION (GER)</t>
  </si>
  <si>
    <t>TRGT-HL-PTCL-05065-USA-BOOK PLANNER NOTEPAD NOTEBOOK JOURNAL-HMZ-V4</t>
  </si>
  <si>
    <t>Paper products - tensile strength</t>
  </si>
  <si>
    <t>TAPPI T494 om-13 (Mod</t>
  </si>
  <si>
    <t>96230650376 F</t>
  </si>
  <si>
    <t>96230660194 F</t>
  </si>
  <si>
    <t>96230630149 F</t>
  </si>
  <si>
    <t>96230630164 F</t>
  </si>
  <si>
    <t>CR&amp;B-HL-PTCL-03000-CAN-USA-UPHOLSTERY FABRICS, LEATHER, VINYL (INDOOR OUTDOOR)-HMZ-V15</t>
  </si>
  <si>
    <t>Abrasion resistance of fabric: rotary platform abrader method</t>
  </si>
  <si>
    <t>ASTM D3884-22</t>
  </si>
  <si>
    <t>Pilling resistance: elastomeric pad</t>
  </si>
  <si>
    <t>ASTM D3514-16(R2020)</t>
  </si>
  <si>
    <t>96230620341 Y</t>
  </si>
  <si>
    <t xml:space="preserve">DSNY-SL-PTCL-09210.01-GBL-FOOTWEAR PG24 (DDR DISNEY REQUIREMENT)-V30 </t>
  </si>
  <si>
    <t>CONSTRUCTIONAL REQUIREMENTS – SKID RESISTANCE – SOCKS, TIGHTS AND FOOTWEAR</t>
  </si>
  <si>
    <t>HG/T 3780-2005 Method 2</t>
  </si>
  <si>
    <t>96230670798 F</t>
  </si>
  <si>
    <t>96230670794 F</t>
  </si>
  <si>
    <t>96230660289 F</t>
  </si>
  <si>
    <t>96230670513 F</t>
  </si>
  <si>
    <t>96230610287 p</t>
  </si>
  <si>
    <t>Paper product - internal tearing resistance of paper - length and width</t>
  </si>
  <si>
    <t>TAPPI T414 om-12 (Mod)</t>
  </si>
  <si>
    <t>Bursting strength</t>
  </si>
  <si>
    <t>TAPPI T403 om-15 Modified</t>
  </si>
  <si>
    <t>96230520149 L</t>
  </si>
  <si>
    <t>96230690080 F</t>
  </si>
  <si>
    <t>96230680438 F</t>
  </si>
  <si>
    <t>96230690038 F</t>
  </si>
  <si>
    <t>96230680444 F</t>
  </si>
  <si>
    <t>96230690070 F</t>
  </si>
  <si>
    <t>96230690010 F</t>
  </si>
  <si>
    <t>96230630378 P</t>
  </si>
  <si>
    <t>Fiber content analysis</t>
  </si>
  <si>
    <t>AATCC 20-21 / AATCC 20A-21</t>
  </si>
  <si>
    <t>WOMA-HL-PTCL-03000-USA-UPHOLSTERY FABRIC LEATHER VINYL (INDOOR)-V55</t>
  </si>
  <si>
    <t xml:space="preserve">EMAIL SCAN </t>
  </si>
  <si>
    <t xml:space="preserve">SCAN IN </t>
  </si>
  <si>
    <t>RP SCAN</t>
  </si>
  <si>
    <t>STATUS RP</t>
  </si>
  <si>
    <t>Y</t>
  </si>
  <si>
    <t>W</t>
  </si>
  <si>
    <t>L</t>
  </si>
  <si>
    <t>M</t>
  </si>
  <si>
    <t>96230580325 P</t>
  </si>
  <si>
    <t>96230740104 F</t>
  </si>
  <si>
    <t>96230730081 F</t>
  </si>
  <si>
    <t>Q, V</t>
  </si>
  <si>
    <t>CSCO-HL-PTCL-03000-GBL-FABRIC (UPHOLSTERY NON UPHOLSTERY, INDOOR OUTDOOR, WOVEN KNIT)-V98</t>
  </si>
  <si>
    <t>CSCO-HL-PTCL-03598-GBL-LEATHER (ONLY USE TO TEST ON 100% LEATHER COMPONENTS ON FURNITURE) SUPPLEMENTAL-V54</t>
  </si>
  <si>
    <t>Abrasion resistance of fabric: flexing and abrasion method</t>
  </si>
  <si>
    <t>ASTM D3885-07a(R2019)</t>
  </si>
  <si>
    <t>96230740216 f</t>
  </si>
  <si>
    <t>96230740072 f</t>
  </si>
  <si>
    <t>96230740203 f</t>
  </si>
  <si>
    <t>STATUS</t>
  </si>
  <si>
    <t>SERVICE</t>
  </si>
  <si>
    <t>96230750182 F</t>
  </si>
  <si>
    <t>96230630268 p</t>
  </si>
  <si>
    <t>ASTM D1683-22 Modified</t>
  </si>
  <si>
    <t>KRGR-HL-PTCL-03057-USA-CHAIR AND STOOL-V57</t>
  </si>
  <si>
    <t>RP IN</t>
  </si>
  <si>
    <t>96230750177 F</t>
  </si>
  <si>
    <t>96230760038 F</t>
  </si>
  <si>
    <t>96230750344 f</t>
  </si>
  <si>
    <t>96230750340 f</t>
  </si>
  <si>
    <t>96230760630 f</t>
  </si>
  <si>
    <t>CEP (138)</t>
  </si>
  <si>
    <t>RUSH</t>
  </si>
  <si>
    <t>LUK 138</t>
  </si>
  <si>
    <t xml:space="preserve">W F </t>
  </si>
  <si>
    <t>18H15</t>
  </si>
  <si>
    <t>18H</t>
  </si>
  <si>
    <t>AN</t>
  </si>
  <si>
    <t>SL</t>
  </si>
  <si>
    <t>96230830161 F</t>
  </si>
  <si>
    <t>96230830001 F</t>
  </si>
  <si>
    <t>ITEM</t>
  </si>
  <si>
    <t xml:space="preserve">Item </t>
  </si>
  <si>
    <t xml:space="preserve">Location </t>
  </si>
  <si>
    <t xml:space="preserve">Style </t>
  </si>
  <si>
    <t>Vùng Item</t>
  </si>
  <si>
    <t>I001</t>
  </si>
  <si>
    <t>I002</t>
  </si>
  <si>
    <t>I003</t>
  </si>
  <si>
    <t>I004</t>
  </si>
  <si>
    <t>I005</t>
  </si>
  <si>
    <t>I006</t>
  </si>
  <si>
    <t>I007</t>
  </si>
  <si>
    <t>I008</t>
  </si>
  <si>
    <t>I009</t>
  </si>
  <si>
    <t>I010</t>
  </si>
  <si>
    <t>I100</t>
  </si>
  <si>
    <t>I011</t>
  </si>
  <si>
    <t>I012</t>
  </si>
  <si>
    <t>I013</t>
  </si>
  <si>
    <t>I014</t>
  </si>
  <si>
    <t>I015</t>
  </si>
  <si>
    <t>I016</t>
  </si>
  <si>
    <t>I017</t>
  </si>
  <si>
    <t>I018</t>
  </si>
  <si>
    <t>I019</t>
  </si>
  <si>
    <t>I020</t>
  </si>
  <si>
    <t>I021</t>
  </si>
  <si>
    <t>I022</t>
  </si>
  <si>
    <t>I023</t>
  </si>
  <si>
    <t>I024</t>
  </si>
  <si>
    <t>I025</t>
  </si>
  <si>
    <t>I026</t>
  </si>
  <si>
    <t>I027</t>
  </si>
  <si>
    <t>I028</t>
  </si>
  <si>
    <t>I029</t>
  </si>
  <si>
    <t>I030</t>
  </si>
  <si>
    <t>I031</t>
  </si>
  <si>
    <t>I032</t>
  </si>
  <si>
    <t>I033</t>
  </si>
  <si>
    <t>I034</t>
  </si>
  <si>
    <t>I035</t>
  </si>
  <si>
    <t>I036</t>
  </si>
  <si>
    <t>I037</t>
  </si>
  <si>
    <t>I038</t>
  </si>
  <si>
    <t>I039</t>
  </si>
  <si>
    <t>I040</t>
  </si>
  <si>
    <t>I041</t>
  </si>
  <si>
    <t>I042</t>
  </si>
  <si>
    <t>I043</t>
  </si>
  <si>
    <t>I044</t>
  </si>
  <si>
    <t>I045</t>
  </si>
  <si>
    <t>I046</t>
  </si>
  <si>
    <t>I047</t>
  </si>
  <si>
    <t>I048</t>
  </si>
  <si>
    <t>I049</t>
  </si>
  <si>
    <t>I050</t>
  </si>
  <si>
    <t>I051</t>
  </si>
  <si>
    <t>I052</t>
  </si>
  <si>
    <t>I053</t>
  </si>
  <si>
    <t>I054</t>
  </si>
  <si>
    <t>I055</t>
  </si>
  <si>
    <t>I056</t>
  </si>
  <si>
    <t>I057</t>
  </si>
  <si>
    <t>I058</t>
  </si>
  <si>
    <t>I059</t>
  </si>
  <si>
    <t>I060</t>
  </si>
  <si>
    <t>I061</t>
  </si>
  <si>
    <t>I062</t>
  </si>
  <si>
    <t>I063</t>
  </si>
  <si>
    <t>I064</t>
  </si>
  <si>
    <t>I065</t>
  </si>
  <si>
    <t>I066</t>
  </si>
  <si>
    <t>I067</t>
  </si>
  <si>
    <t>I068</t>
  </si>
  <si>
    <t>I069</t>
  </si>
  <si>
    <t>I070</t>
  </si>
  <si>
    <t>I071</t>
  </si>
  <si>
    <t>I072</t>
  </si>
  <si>
    <t>I073</t>
  </si>
  <si>
    <t>I074</t>
  </si>
  <si>
    <t>I075</t>
  </si>
  <si>
    <t>I076</t>
  </si>
  <si>
    <t>I077</t>
  </si>
  <si>
    <t>I078</t>
  </si>
  <si>
    <t>I079</t>
  </si>
  <si>
    <t>I080</t>
  </si>
  <si>
    <t>I081</t>
  </si>
  <si>
    <t>I082</t>
  </si>
  <si>
    <t>I083</t>
  </si>
  <si>
    <t>I084</t>
  </si>
  <si>
    <t>I085</t>
  </si>
  <si>
    <t>I086</t>
  </si>
  <si>
    <t>I087</t>
  </si>
  <si>
    <t>I088</t>
  </si>
  <si>
    <t>I089</t>
  </si>
  <si>
    <t>I090</t>
  </si>
  <si>
    <t>I091</t>
  </si>
  <si>
    <t>I092</t>
  </si>
  <si>
    <t>I093</t>
  </si>
  <si>
    <t>I094</t>
  </si>
  <si>
    <t>I095</t>
  </si>
  <si>
    <t>I096</t>
  </si>
  <si>
    <t>I097</t>
  </si>
  <si>
    <t>I098</t>
  </si>
  <si>
    <t>I099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</si>
  <si>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</si>
  <si>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</si>
  <si>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</si>
  <si>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</si>
  <si>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</si>
  <si>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</si>
  <si>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</si>
  <si>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</si>
  <si>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</si>
  <si>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</si>
  <si>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</si>
  <si>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</si>
  <si>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</si>
  <si>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</si>
  <si>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</si>
  <si>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</si>
  <si>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</si>
  <si>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</si>
  <si>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</si>
  <si>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</si>
  <si>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</si>
  <si>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</si>
  <si>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</si>
  <si>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</si>
  <si>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</si>
  <si>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</si>
  <si>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</si>
  <si>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</si>
  <si>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</si>
  <si>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</si>
  <si>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</si>
  <si>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</si>
  <si>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</si>
  <si>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</si>
  <si>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</si>
  <si>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</si>
  <si>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</si>
  <si>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</si>
  <si>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</si>
  <si>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</si>
  <si>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</si>
  <si>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</si>
  <si>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</si>
  <si>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</si>
  <si>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</si>
  <si>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</si>
  <si>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</si>
  <si>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</si>
  <si>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</si>
  <si>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</si>
  <si>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</si>
  <si>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</si>
  <si>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</si>
  <si>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</si>
  <si>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</si>
  <si>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</si>
  <si>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</si>
  <si>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</si>
  <si>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</si>
  <si>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</si>
  <si>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</si>
  <si>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</si>
  <si>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</si>
  <si>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</si>
  <si>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</si>
  <si>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</si>
  <si>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</si>
  <si>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</si>
  <si>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</si>
  <si>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</si>
  <si>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</si>
  <si>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</si>
  <si>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</si>
  <si>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</si>
  <si>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</si>
  <si>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</si>
  <si>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</si>
  <si>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</si>
  <si>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</si>
  <si>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</si>
  <si>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</si>
  <si>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</si>
  <si>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</si>
  <si>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</si>
  <si>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</si>
  <si>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</si>
  <si>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</si>
  <si>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</si>
  <si>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</si>
  <si>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</si>
  <si>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</si>
  <si>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</si>
  <si>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</si>
  <si>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</si>
  <si>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</si>
  <si>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</si>
  <si>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</si>
  <si>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</si>
  <si>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</si>
  <si>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</si>
  <si>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</si>
  <si>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</si>
  <si>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</si>
  <si>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</si>
  <si>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</si>
  <si>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</si>
  <si>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</si>
  <si>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</si>
  <si>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</si>
  <si>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</si>
  <si>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</si>
  <si>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</si>
  <si>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</si>
  <si>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</si>
  <si>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</si>
  <si>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</si>
  <si>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</si>
  <si>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</si>
  <si>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</si>
  <si>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</si>
  <si>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</si>
  <si>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</si>
  <si>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</si>
  <si>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</si>
  <si>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</si>
  <si>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</si>
  <si>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</si>
  <si>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</si>
  <si>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</si>
  <si>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</si>
  <si>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</si>
  <si>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</si>
  <si>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</si>
  <si>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</si>
  <si>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</si>
  <si>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</si>
  <si>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</si>
  <si>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</si>
  <si>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</si>
  <si>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</si>
  <si>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</si>
  <si>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</si>
  <si>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</si>
  <si>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</si>
  <si>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</si>
  <si>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</si>
  <si>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</si>
  <si>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</si>
  <si>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</si>
  <si>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</si>
  <si>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</si>
  <si>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</si>
  <si>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</si>
  <si>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</si>
  <si>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</si>
  <si>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</si>
  <si>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</si>
  <si>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</si>
  <si>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</si>
  <si>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</si>
  <si>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</si>
  <si>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</si>
  <si>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</si>
  <si>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</si>
  <si>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</si>
  <si>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</si>
  <si>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</si>
  <si>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</si>
  <si>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</si>
  <si>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</si>
  <si>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</si>
  <si>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</si>
  <si>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</si>
  <si>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</si>
  <si>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</si>
  <si>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</si>
  <si>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</si>
  <si>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</si>
  <si>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</si>
  <si>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</si>
  <si>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</si>
  <si>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</si>
  <si>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</si>
  <si>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</si>
  <si>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</si>
  <si>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</si>
  <si>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</si>
  <si>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</si>
  <si>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</si>
  <si>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</si>
  <si>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</si>
  <si>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</si>
  <si>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</si>
  <si>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</si>
  <si>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</si>
  <si>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</si>
  <si>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</si>
  <si>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</si>
  <si>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</si>
  <si>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</si>
  <si>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</si>
  <si>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</si>
  <si>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</si>
  <si>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</si>
  <si>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</si>
  <si>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</si>
  <si>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</si>
  <si>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</si>
  <si>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</si>
  <si>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</si>
  <si>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</si>
  <si>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</si>
  <si>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</si>
  <si>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</si>
  <si>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</si>
  <si>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</si>
  <si>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</si>
  <si>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</si>
  <si>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</si>
  <si>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</si>
  <si>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</si>
  <si>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</si>
  <si>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</si>
  <si>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</si>
  <si>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</si>
  <si>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</si>
  <si>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</si>
  <si>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</si>
  <si>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</si>
  <si>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</si>
  <si>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</si>
  <si>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</si>
  <si>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</si>
  <si>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</si>
  <si>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</si>
  <si>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</si>
  <si>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</si>
  <si>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</si>
  <si>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</si>
  <si>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I340</t>
  </si>
  <si>
    <t>I341</t>
  </si>
  <si>
    <t>I342</t>
  </si>
  <si>
    <t>I343</t>
  </si>
  <si>
    <t>I344</t>
  </si>
  <si>
    <t>I345</t>
  </si>
  <si>
    <t>I346</t>
  </si>
  <si>
    <t>I347</t>
  </si>
  <si>
    <t>I348</t>
  </si>
  <si>
    <t>I349</t>
  </si>
  <si>
    <t>I350</t>
  </si>
  <si>
    <t>I351</t>
  </si>
  <si>
    <t>I352</t>
  </si>
  <si>
    <t>I353</t>
  </si>
  <si>
    <t>I354</t>
  </si>
  <si>
    <t>I355</t>
  </si>
  <si>
    <t>I356</t>
  </si>
  <si>
    <t>I357</t>
  </si>
  <si>
    <t>I358</t>
  </si>
  <si>
    <t>I359</t>
  </si>
  <si>
    <t>I360</t>
  </si>
  <si>
    <t>I361</t>
  </si>
  <si>
    <t>I362</t>
  </si>
  <si>
    <t>I363</t>
  </si>
  <si>
    <t>I364</t>
  </si>
  <si>
    <t>I365</t>
  </si>
  <si>
    <t>I366</t>
  </si>
  <si>
    <t>I367</t>
  </si>
  <si>
    <t>I368</t>
  </si>
  <si>
    <t>I369</t>
  </si>
  <si>
    <t>I370</t>
  </si>
  <si>
    <t>I371</t>
  </si>
  <si>
    <t>I372</t>
  </si>
  <si>
    <t>I373</t>
  </si>
  <si>
    <t>I374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</si>
  <si>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</si>
  <si>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</si>
  <si>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</si>
  <si>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</si>
  <si>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</si>
  <si>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</si>
  <si>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</si>
  <si>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</si>
  <si>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</si>
  <si>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</si>
  <si>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</si>
  <si>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</si>
  <si>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</si>
  <si>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</si>
  <si>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</si>
  <si>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</si>
  <si>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I391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</si>
  <si>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</si>
  <si>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</si>
  <si>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</si>
  <si>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</si>
  <si>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</si>
  <si>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</si>
  <si>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</si>
  <si>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</si>
  <si>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</si>
  <si>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</si>
  <si>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</si>
  <si>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I403</t>
  </si>
  <si>
    <t>I404</t>
  </si>
  <si>
    <t>I405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</si>
  <si>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</si>
  <si>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</si>
  <si>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</si>
  <si>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</si>
  <si>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</si>
  <si>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</si>
  <si>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</si>
  <si>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</si>
  <si>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</si>
  <si>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</si>
  <si>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</si>
  <si>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</si>
  <si>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I418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</si>
  <si>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</si>
  <si>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</si>
  <si>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</si>
  <si>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</si>
  <si>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</si>
  <si>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</si>
  <si>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</si>
  <si>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</si>
  <si>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</si>
  <si>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</si>
  <si>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I429</t>
  </si>
  <si>
    <t>I430</t>
  </si>
  <si>
    <t>I431</t>
  </si>
  <si>
    <t>I432</t>
  </si>
  <si>
    <t>I433</t>
  </si>
  <si>
    <t>I434</t>
  </si>
  <si>
    <t>I435</t>
  </si>
  <si>
    <t>I436</t>
  </si>
  <si>
    <t>I437</t>
  </si>
  <si>
    <t>I438</t>
  </si>
  <si>
    <t>I439</t>
  </si>
  <si>
    <t>I440</t>
  </si>
  <si>
    <t>I441</t>
  </si>
  <si>
    <t>I442</t>
  </si>
  <si>
    <t>I443</t>
  </si>
  <si>
    <t>I444</t>
  </si>
  <si>
    <t>I445</t>
  </si>
  <si>
    <t>I446</t>
  </si>
  <si>
    <t>I447</t>
  </si>
  <si>
    <t>I448</t>
  </si>
  <si>
    <t>I449</t>
  </si>
  <si>
    <t>I450</t>
  </si>
  <si>
    <t>I451</t>
  </si>
  <si>
    <t>I452</t>
  </si>
  <si>
    <t>I453</t>
  </si>
  <si>
    <t>I454</t>
  </si>
  <si>
    <t>I455</t>
  </si>
  <si>
    <t>I456</t>
  </si>
  <si>
    <t>I457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</si>
  <si>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</si>
  <si>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</si>
  <si>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</si>
  <si>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</si>
  <si>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</si>
  <si>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</si>
  <si>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</si>
  <si>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</si>
  <si>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</si>
  <si>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</si>
  <si>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</si>
  <si>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</si>
  <si>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</si>
  <si>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</si>
  <si>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</si>
  <si>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</si>
  <si>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</si>
  <si>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</si>
  <si>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</si>
  <si>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</si>
  <si>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</si>
  <si>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</si>
  <si>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I480</t>
  </si>
  <si>
    <t>I481</t>
  </si>
  <si>
    <t>I482</t>
  </si>
  <si>
    <t>I483</t>
  </si>
  <si>
    <t>I484</t>
  </si>
  <si>
    <t>I485</t>
  </si>
  <si>
    <t>I486</t>
  </si>
  <si>
    <t>I487</t>
  </si>
  <si>
    <t>I488</t>
  </si>
  <si>
    <t>I489</t>
  </si>
  <si>
    <t>I490</t>
  </si>
  <si>
    <t>I491</t>
  </si>
  <si>
    <t>I492</t>
  </si>
  <si>
    <t>I493</t>
  </si>
  <si>
    <t>I494</t>
  </si>
  <si>
    <t>I495</t>
  </si>
  <si>
    <t>I496</t>
  </si>
  <si>
    <t>I497</t>
  </si>
  <si>
    <t>I498</t>
  </si>
  <si>
    <t>I499</t>
  </si>
  <si>
    <t>I500</t>
  </si>
  <si>
    <t>Vùng Kết Quả</t>
  </si>
  <si>
    <t>96223610308 Q</t>
  </si>
  <si>
    <t>MD</t>
  </si>
  <si>
    <t>MC</t>
  </si>
  <si>
    <t>96223560614 V</t>
  </si>
  <si>
    <t>ALDI SUD</t>
  </si>
  <si>
    <t>96223570283 V</t>
  </si>
  <si>
    <t>96223630345 Q</t>
  </si>
  <si>
    <t>96223540388 V</t>
  </si>
  <si>
    <t>JPMA</t>
  </si>
  <si>
    <t>96223580263 V</t>
  </si>
  <si>
    <t>96223600260 Q</t>
  </si>
  <si>
    <t>KEP CHUNG A</t>
  </si>
  <si>
    <t>COSTCO WHOLE</t>
  </si>
  <si>
    <t>96223600260 V</t>
  </si>
  <si>
    <t>96223600260 A</t>
  </si>
  <si>
    <t>DCD</t>
  </si>
  <si>
    <t>96223600258 V</t>
  </si>
  <si>
    <t>KEP CHUNG Q</t>
  </si>
  <si>
    <t>96223600258 A</t>
  </si>
  <si>
    <t>96223600258 Q</t>
  </si>
  <si>
    <t>96223600259 V</t>
  </si>
  <si>
    <t>96223600259 A</t>
  </si>
  <si>
    <t>96223600259 Q</t>
  </si>
  <si>
    <t>96223630309 V</t>
  </si>
  <si>
    <t>DISNEY</t>
  </si>
  <si>
    <t>96223640444 Q</t>
  </si>
  <si>
    <t>WORLD MARKET</t>
  </si>
  <si>
    <t>96223610314 Q</t>
  </si>
  <si>
    <t>96223610309 Q</t>
  </si>
  <si>
    <t>96223610305 Q</t>
  </si>
  <si>
    <t>96223620057 A</t>
  </si>
  <si>
    <t>TARGET</t>
  </si>
  <si>
    <t>96223120486 Q (5)</t>
  </si>
  <si>
    <t>HA</t>
  </si>
  <si>
    <t>KIRKLAND</t>
  </si>
  <si>
    <t>NO OL</t>
  </si>
  <si>
    <t>96223620464 V</t>
  </si>
  <si>
    <t>FAMILY</t>
  </si>
  <si>
    <t>96223610095 V</t>
  </si>
  <si>
    <t>EDDIE</t>
  </si>
  <si>
    <t>96223640528 Q</t>
  </si>
  <si>
    <t>MICHAELS</t>
  </si>
  <si>
    <t>NA</t>
  </si>
  <si>
    <t>96223500758 X</t>
  </si>
  <si>
    <t>CRAYOLA</t>
  </si>
  <si>
    <t>FAIL KO VIP</t>
  </si>
  <si>
    <t>96223550329 Q</t>
  </si>
  <si>
    <t>KEP CHUNG V</t>
  </si>
  <si>
    <t xml:space="preserve">MATTEL </t>
  </si>
  <si>
    <t>96223550329 V</t>
  </si>
  <si>
    <t>96223490429 V</t>
  </si>
  <si>
    <t>96223490422 Q</t>
  </si>
  <si>
    <t>96223490414 Q</t>
  </si>
  <si>
    <t>96223620540 Q</t>
  </si>
  <si>
    <t>GREEN</t>
  </si>
  <si>
    <t>96223620464 Q</t>
  </si>
  <si>
    <t>96223440210 Q</t>
  </si>
  <si>
    <t xml:space="preserve">AT HOME </t>
  </si>
  <si>
    <t>96223630309 Q</t>
  </si>
  <si>
    <t>96223330558 V (2)</t>
  </si>
  <si>
    <t>DCD-EE</t>
  </si>
  <si>
    <t>96223490618 V (2)</t>
  </si>
  <si>
    <t>C&amp;B</t>
  </si>
  <si>
    <t>96223630611 Q</t>
  </si>
  <si>
    <t>96223600314 V</t>
  </si>
  <si>
    <t>H&amp;M</t>
  </si>
  <si>
    <t>96223490387 Q</t>
  </si>
  <si>
    <t>FAIL CSE</t>
  </si>
  <si>
    <t>96223540391 V</t>
  </si>
  <si>
    <t>96223560511 Q</t>
  </si>
  <si>
    <t>96223560515 Q</t>
  </si>
  <si>
    <t>96223640447 Q</t>
  </si>
  <si>
    <t>96223630611 V</t>
  </si>
  <si>
    <t>96223610429 Q</t>
  </si>
  <si>
    <t>LOWES</t>
  </si>
  <si>
    <t>EE</t>
  </si>
  <si>
    <t>96223630552 Q</t>
  </si>
  <si>
    <t>WALMART</t>
  </si>
  <si>
    <t>96223600154 Q</t>
  </si>
  <si>
    <t>MATTEL</t>
  </si>
  <si>
    <t>96223600154 V</t>
  </si>
  <si>
    <t>96223470498 Q</t>
  </si>
  <si>
    <t>96223540391 Q</t>
  </si>
  <si>
    <t>96223630338 Q</t>
  </si>
  <si>
    <t>96223610356 Q</t>
  </si>
  <si>
    <t>96223630257 Q</t>
  </si>
  <si>
    <t xml:space="preserve">DOUBLE CHECK </t>
  </si>
  <si>
    <t>EMAIL</t>
  </si>
  <si>
    <t>REFER</t>
  </si>
  <si>
    <t>96223610095 Q</t>
  </si>
  <si>
    <t>96223640421 Q</t>
  </si>
  <si>
    <t xml:space="preserve">RP </t>
  </si>
  <si>
    <t>96223610085 V</t>
  </si>
  <si>
    <t>96223640235 Q</t>
  </si>
  <si>
    <t>96223610300 Q</t>
  </si>
  <si>
    <t>96223610307 Q</t>
  </si>
  <si>
    <t>96223640482 Q</t>
  </si>
  <si>
    <t>96223570167 Q</t>
  </si>
  <si>
    <t>ASI</t>
  </si>
  <si>
    <t>96223330290 Q (2)</t>
  </si>
  <si>
    <t>KEP CHUNG V2</t>
  </si>
  <si>
    <t>COSTCO PRE</t>
  </si>
  <si>
    <t>96223420278 V (2)</t>
  </si>
  <si>
    <t xml:space="preserve">KINGFISHER </t>
  </si>
  <si>
    <t>96223490429 Q</t>
  </si>
  <si>
    <t>96223650182 Q</t>
  </si>
  <si>
    <t>96223490384 Q</t>
  </si>
  <si>
    <t>96223490375 Q</t>
  </si>
  <si>
    <t>96223470503 V</t>
  </si>
  <si>
    <t>96223470503 Q</t>
  </si>
  <si>
    <t>96223560614 Q</t>
  </si>
  <si>
    <t>96223610498 Q</t>
  </si>
  <si>
    <t>MC-TY</t>
  </si>
  <si>
    <t>96223580263 Q</t>
  </si>
  <si>
    <t>96223610122 Q</t>
  </si>
  <si>
    <t>MC-SUBCONTRACT</t>
  </si>
  <si>
    <t>96223650184 Q</t>
  </si>
  <si>
    <t>96223650157 Q</t>
  </si>
  <si>
    <t>96223650402 V</t>
  </si>
  <si>
    <t>96223640483 Q</t>
  </si>
  <si>
    <t>96223630497 V</t>
  </si>
  <si>
    <t>96223640483 V</t>
  </si>
  <si>
    <t>96223640528 V</t>
  </si>
  <si>
    <t>96223640247 V</t>
  </si>
  <si>
    <t>96223640246 V</t>
  </si>
  <si>
    <t>96223640235 V</t>
  </si>
  <si>
    <t>96223640246 Q</t>
  </si>
  <si>
    <t>96223650369 Q</t>
  </si>
  <si>
    <t>96223620248 A</t>
  </si>
  <si>
    <t>96223620248 Q</t>
  </si>
  <si>
    <t>96230040128 Q</t>
  </si>
  <si>
    <t>ASHLEY</t>
  </si>
  <si>
    <t>NA - A,V</t>
  </si>
  <si>
    <t>96223600175 Q</t>
  </si>
  <si>
    <t>96223570049 Q</t>
  </si>
  <si>
    <t>MITCHELL</t>
  </si>
  <si>
    <t>96223470238 V</t>
  </si>
  <si>
    <t>96223470492 V</t>
  </si>
  <si>
    <t>96230040079 V</t>
  </si>
  <si>
    <t>96223640529 Q</t>
  </si>
  <si>
    <t>SAM'S</t>
  </si>
  <si>
    <t>96223650304 Q</t>
  </si>
  <si>
    <t>96223610079 Q</t>
  </si>
  <si>
    <t>96223350055 V (2)</t>
  </si>
  <si>
    <t>RETURN TO C HUONG TO RUN LDCS</t>
  </si>
  <si>
    <t>96223490384 V</t>
  </si>
  <si>
    <t>96223630610 V add test</t>
  </si>
  <si>
    <t>96223580069 Q (2)</t>
  </si>
  <si>
    <t>96223580069 V (2)</t>
  </si>
  <si>
    <t>96223640482 V</t>
  </si>
  <si>
    <t>96223610317 Q</t>
  </si>
  <si>
    <t>96230040079 Q</t>
  </si>
  <si>
    <t>TAO BANG WORD CF BY A GA</t>
  </si>
  <si>
    <t>96223330290 V (2)</t>
  </si>
  <si>
    <t>DCD-DYLAN-LOGOUT</t>
  </si>
  <si>
    <t>96223620272 V</t>
  </si>
  <si>
    <t>96223650402 A</t>
  </si>
  <si>
    <t>96223610317 V</t>
  </si>
  <si>
    <t>96223580319 Q</t>
  </si>
  <si>
    <t>96223580321 Q</t>
  </si>
  <si>
    <t>96223580322 Q</t>
  </si>
  <si>
    <t>96223580320 Q</t>
  </si>
  <si>
    <t>96230030118 Q</t>
  </si>
  <si>
    <t>96230050207 Q</t>
  </si>
  <si>
    <t>96222720056 Q (2)</t>
  </si>
  <si>
    <t>DCD-LUKE-LOGOUT</t>
  </si>
  <si>
    <t>96223330414 Q (4)</t>
  </si>
  <si>
    <t>96223610317 Q (2)</t>
  </si>
  <si>
    <t>96230030237 Q</t>
  </si>
  <si>
    <t>MISS NOTE</t>
  </si>
  <si>
    <t>96223610085 Q</t>
  </si>
  <si>
    <t>96223640668 V</t>
  </si>
  <si>
    <t>96223650298 Q</t>
  </si>
  <si>
    <t>96223640668 A</t>
  </si>
  <si>
    <t>96223580404 V</t>
  </si>
  <si>
    <t>AMAZON</t>
  </si>
  <si>
    <t>96223650182 V</t>
  </si>
  <si>
    <t>96223650157 V</t>
  </si>
  <si>
    <t>96223600314 Q</t>
  </si>
  <si>
    <t>96223650314 V</t>
  </si>
  <si>
    <t>BURROW</t>
  </si>
  <si>
    <t>96223490079 V (2)</t>
  </si>
  <si>
    <t>96223490079 Q (2)</t>
  </si>
  <si>
    <t>96223490079 A (2)</t>
  </si>
  <si>
    <t>RETURN TO RUN LDCS</t>
  </si>
  <si>
    <t>TECH MISS MOC LDCS</t>
  </si>
  <si>
    <t>96223350055 Q (2)</t>
  </si>
  <si>
    <t>96230030225 Q</t>
  </si>
  <si>
    <t>MARMAXX</t>
  </si>
  <si>
    <t>96230030228 Q</t>
  </si>
  <si>
    <t>96223610122 V</t>
  </si>
  <si>
    <t>FAIL KO VIP - CHI SCAN FILE PDF</t>
  </si>
  <si>
    <t>96223650308 Q</t>
  </si>
  <si>
    <t>96223650344 Q</t>
  </si>
  <si>
    <t>96223570535 Q</t>
  </si>
  <si>
    <t>WILLAM</t>
  </si>
  <si>
    <t>96223600157 V</t>
  </si>
  <si>
    <t>PETSMART</t>
  </si>
  <si>
    <t>96223650361 Q</t>
  </si>
  <si>
    <t>96223630357 Q</t>
  </si>
  <si>
    <t>96223630357 V</t>
  </si>
  <si>
    <t>96223650184 V</t>
  </si>
  <si>
    <t>96223610317 V (2)</t>
  </si>
  <si>
    <t>96223610183 V</t>
  </si>
  <si>
    <t>RETURN TO C LUONG MISS RESULT OF T224</t>
  </si>
  <si>
    <t>96223650347 Q</t>
  </si>
  <si>
    <t>96223650296 Q</t>
  </si>
  <si>
    <t>96223650326 Q</t>
  </si>
  <si>
    <t>96223650291 Q</t>
  </si>
  <si>
    <t>96223650373 Q</t>
  </si>
  <si>
    <t>96223650370 Q</t>
  </si>
  <si>
    <t>96223650348 Q</t>
  </si>
  <si>
    <t>96223650368 Q</t>
  </si>
  <si>
    <t>96223650292 Q</t>
  </si>
  <si>
    <t>96223650317 Q</t>
  </si>
  <si>
    <t>96223650294 Q</t>
  </si>
  <si>
    <t>96223650338 Q</t>
  </si>
  <si>
    <t xml:space="preserve">EMAIL </t>
  </si>
  <si>
    <t xml:space="preserve">MISS NOTE </t>
  </si>
  <si>
    <t>96223650301 q</t>
  </si>
  <si>
    <t>96220030222 Q</t>
  </si>
  <si>
    <t>96230030141 q</t>
  </si>
  <si>
    <t>96223470238 q</t>
  </si>
  <si>
    <t>96223620272 q</t>
  </si>
  <si>
    <t>96230030234 q</t>
  </si>
  <si>
    <t>96230050024 q</t>
  </si>
  <si>
    <t>96230050022 q</t>
  </si>
  <si>
    <t>96223630610 full</t>
  </si>
  <si>
    <t xml:space="preserve">CRAYOLA </t>
  </si>
  <si>
    <t>96223560566 v</t>
  </si>
  <si>
    <t>96223650371 q</t>
  </si>
  <si>
    <t>96223330414 (4) Q</t>
  </si>
  <si>
    <t>CRATE</t>
  </si>
  <si>
    <t>96223350055 (2) Q</t>
  </si>
  <si>
    <t>96223360579 (2) q</t>
  </si>
  <si>
    <t>96223360579 (2) v</t>
  </si>
  <si>
    <t>RETURN TO C AMY ADD THEM KQ PTHALATE 16 chat moi du</t>
  </si>
  <si>
    <t>96230040128 A</t>
  </si>
  <si>
    <t>96223650336 Q</t>
  </si>
  <si>
    <t>96222730844 Q</t>
  </si>
  <si>
    <t>96223630609 Q</t>
  </si>
  <si>
    <t>96223620248 V</t>
  </si>
  <si>
    <t>96223650402 Q</t>
  </si>
  <si>
    <t>96223600312 Q</t>
  </si>
  <si>
    <t>96223600311 Q</t>
  </si>
  <si>
    <t>96223600313 Q</t>
  </si>
  <si>
    <t>96223610506 V</t>
  </si>
  <si>
    <t>96223600089 V</t>
  </si>
  <si>
    <t>96223640652 Q</t>
  </si>
  <si>
    <t>96223640652 V</t>
  </si>
  <si>
    <t>96223640749 V</t>
  </si>
  <si>
    <t>96223640735 Q</t>
  </si>
  <si>
    <t>96223640735 V</t>
  </si>
  <si>
    <t>96230040099 V</t>
  </si>
  <si>
    <t>KEP CHUNG X</t>
  </si>
  <si>
    <t>96230040099 X</t>
  </si>
  <si>
    <t>96223630375 X</t>
  </si>
  <si>
    <t>96223640709 Q</t>
  </si>
  <si>
    <t>96223640654 Q</t>
  </si>
  <si>
    <t>96223630497 Q</t>
  </si>
  <si>
    <t>96223640668 Q</t>
  </si>
  <si>
    <t>96230050655 Q</t>
  </si>
  <si>
    <t>96223630420 Q</t>
  </si>
  <si>
    <t>96223640654 V</t>
  </si>
  <si>
    <t>TAO BANG WORD CF BY A DUC</t>
  </si>
  <si>
    <t>MC-DISNEY</t>
  </si>
  <si>
    <t>96223490079 (2)</t>
  </si>
  <si>
    <t>96230040273 Q</t>
  </si>
  <si>
    <t>96223630372 V</t>
  </si>
  <si>
    <t>MC-CRAYOLA</t>
  </si>
  <si>
    <t>96230030084 Q</t>
  </si>
  <si>
    <t>96230030077 Q</t>
  </si>
  <si>
    <t>96223410066 Q</t>
  </si>
  <si>
    <t>96230040507 Q</t>
  </si>
  <si>
    <t>CHI SCAN FILE PDF</t>
  </si>
  <si>
    <t>96223640709 V</t>
  </si>
  <si>
    <t>96223640726 V</t>
  </si>
  <si>
    <t>96230030271 Q</t>
  </si>
  <si>
    <t>96230040198 V</t>
  </si>
  <si>
    <t>96230040128 V</t>
  </si>
  <si>
    <t>96230050517 V</t>
  </si>
  <si>
    <t>96223630388 V</t>
  </si>
  <si>
    <t>96230040557 Q</t>
  </si>
  <si>
    <t>96230040557 V</t>
  </si>
  <si>
    <t>96223470328 V</t>
  </si>
  <si>
    <t>MC/JP</t>
  </si>
  <si>
    <t>96223630324 V</t>
  </si>
  <si>
    <t>96223630372 Q</t>
  </si>
  <si>
    <t>96223610183 Q</t>
  </si>
  <si>
    <t>96230030364 Q</t>
  </si>
  <si>
    <t>96230030105 Q</t>
  </si>
  <si>
    <t>96223360579 (2)</t>
  </si>
  <si>
    <t>96230040042 Q</t>
  </si>
  <si>
    <t>96230040533 Q</t>
  </si>
  <si>
    <t>96230050658 Q</t>
  </si>
  <si>
    <t>96230050657 Q</t>
  </si>
  <si>
    <t>96223600157 Q</t>
  </si>
  <si>
    <t>96223560566 Q</t>
  </si>
  <si>
    <t>96230040555 A</t>
  </si>
  <si>
    <t>96223650084 A</t>
  </si>
  <si>
    <t>96230040555 V</t>
  </si>
  <si>
    <t>96230040555 Q</t>
  </si>
  <si>
    <t>96230040091 V</t>
  </si>
  <si>
    <t>96223640548 Q</t>
  </si>
  <si>
    <t>96230060498 A</t>
  </si>
  <si>
    <t>EXPRESS</t>
  </si>
  <si>
    <t>96230060498 V</t>
  </si>
  <si>
    <t>96230060460 V</t>
  </si>
  <si>
    <t>96230060460 A</t>
  </si>
  <si>
    <t>96230060452 V</t>
  </si>
  <si>
    <t>AMERICAN EAGLE</t>
  </si>
  <si>
    <t>96223410066 V</t>
  </si>
  <si>
    <t>96223470492 Q</t>
  </si>
  <si>
    <t>96230040198 Q</t>
  </si>
  <si>
    <t>96223630375 Q</t>
  </si>
  <si>
    <t>96223500787 Q</t>
  </si>
  <si>
    <t>96230060207 A</t>
  </si>
  <si>
    <t>NA - Q,V</t>
  </si>
  <si>
    <t>DCD-BAODANG</t>
  </si>
  <si>
    <t>TRA THEM KQ T3</t>
  </si>
  <si>
    <t>96223560566 A</t>
  </si>
  <si>
    <t>MISS SCAN</t>
  </si>
  <si>
    <t>DANH THEM TESTLINE FLAM 6572 CF BY HAO TRAN</t>
  </si>
  <si>
    <t xml:space="preserve">DANH BV LAB </t>
  </si>
  <si>
    <t>96223370084 X</t>
  </si>
  <si>
    <t>96230060081 Q</t>
  </si>
  <si>
    <t>96230050324 Q</t>
  </si>
  <si>
    <t>96223600175 Q (2)</t>
  </si>
  <si>
    <t>96230040204 Q</t>
  </si>
  <si>
    <t>96230050551 V</t>
  </si>
  <si>
    <t>96223630337 Q</t>
  </si>
  <si>
    <t>NO RESULT</t>
  </si>
  <si>
    <t>96223650127 Q</t>
  </si>
  <si>
    <t>96230040272 Q</t>
  </si>
  <si>
    <t>96230050468 Q</t>
  </si>
  <si>
    <t>96230050335 Q</t>
  </si>
  <si>
    <t>96230050336 Q</t>
  </si>
  <si>
    <t>96230030084 q</t>
  </si>
  <si>
    <t>96230030077 q</t>
  </si>
  <si>
    <t>96230070198 A</t>
  </si>
  <si>
    <t>96230040099 Q</t>
  </si>
  <si>
    <t>96230040091 Q</t>
  </si>
  <si>
    <t>96230050573 Q</t>
  </si>
  <si>
    <t>96230050573 V</t>
  </si>
  <si>
    <t>96230040312 Q</t>
  </si>
  <si>
    <t>96230040312 V</t>
  </si>
  <si>
    <t>96230040426 V</t>
  </si>
  <si>
    <t>96230060233 V</t>
  </si>
  <si>
    <t>96230060612 V</t>
  </si>
  <si>
    <t>96230050551 Q</t>
  </si>
  <si>
    <t>96223550250 V (2)</t>
  </si>
  <si>
    <t>KEP CHUNG Q2</t>
  </si>
  <si>
    <t>96123630375 V</t>
  </si>
  <si>
    <t>TEST BANNED hazardous substances danh M pass tren BV lab</t>
  </si>
  <si>
    <t>96230070488 Q</t>
  </si>
  <si>
    <t>96230070489 Q</t>
  </si>
  <si>
    <t>96223650127 V</t>
  </si>
  <si>
    <t>96230070215 V</t>
  </si>
  <si>
    <t>96230050337 Q</t>
  </si>
  <si>
    <t>96230050358 Q</t>
  </si>
  <si>
    <t>96230070306 V</t>
  </si>
  <si>
    <t>JOHN LEWIS</t>
  </si>
  <si>
    <t xml:space="preserve">DISNEY </t>
  </si>
  <si>
    <t>DCD-TECH-LOGOUT</t>
  </si>
  <si>
    <t>AT HOME</t>
  </si>
  <si>
    <t>COSTCO</t>
  </si>
  <si>
    <t xml:space="preserve">COSTCO </t>
  </si>
  <si>
    <t>MC-KEEPCOOL</t>
  </si>
  <si>
    <t>MEIJER</t>
  </si>
  <si>
    <t xml:space="preserve">ASHLEY </t>
  </si>
  <si>
    <t>AMERICAN</t>
  </si>
  <si>
    <t>AT</t>
  </si>
  <si>
    <t>MISSNOTE</t>
  </si>
  <si>
    <t>CHICO</t>
  </si>
  <si>
    <t>RAYMOUR</t>
  </si>
  <si>
    <t xml:space="preserve"> </t>
  </si>
  <si>
    <t>WILLIAMS</t>
  </si>
  <si>
    <t>96222780312 F</t>
  </si>
  <si>
    <t>NGHIEM</t>
  </si>
  <si>
    <t>96223300105 F</t>
  </si>
  <si>
    <t>96223300103 F</t>
  </si>
  <si>
    <t>96223300092 F</t>
  </si>
  <si>
    <t>96223330351 F</t>
  </si>
  <si>
    <t>96223390166 F</t>
  </si>
  <si>
    <t>96223390165 F</t>
  </si>
  <si>
    <t>96223470064 P</t>
  </si>
  <si>
    <t>96223470063 P</t>
  </si>
  <si>
    <t>96223400273 F</t>
  </si>
  <si>
    <t>96223400229 F</t>
  </si>
  <si>
    <t>96222070376 F(4)</t>
  </si>
  <si>
    <t>96223470465 L</t>
  </si>
  <si>
    <t>96223470465 W</t>
  </si>
  <si>
    <t>96223470465 F</t>
  </si>
  <si>
    <t>96223470406 F</t>
  </si>
  <si>
    <t>96223470465 P</t>
  </si>
  <si>
    <t>96223540218 F</t>
  </si>
  <si>
    <t>96223360159 F</t>
  </si>
  <si>
    <t>96223540366 P</t>
  </si>
  <si>
    <t>96223470126 P</t>
  </si>
  <si>
    <t>96223600259 P</t>
  </si>
  <si>
    <t>done</t>
  </si>
  <si>
    <t>96223560566 P</t>
  </si>
  <si>
    <t>96223510297 P</t>
  </si>
  <si>
    <t>CD</t>
  </si>
  <si>
    <t>96223640421 L</t>
  </si>
  <si>
    <t>96223650073 P</t>
  </si>
  <si>
    <t>96223630309 W</t>
  </si>
  <si>
    <t>96223580373 P</t>
  </si>
  <si>
    <t>CRATE &amp; BARREL</t>
  </si>
  <si>
    <t>96223600260 P</t>
  </si>
  <si>
    <t>96223600258 P</t>
  </si>
  <si>
    <t>96223600260 L(2)</t>
  </si>
  <si>
    <t>96223600259 L(2)</t>
  </si>
  <si>
    <t>96223630250 P</t>
  </si>
  <si>
    <t>96223630250 F(2)</t>
  </si>
  <si>
    <t>96223620248 M</t>
  </si>
  <si>
    <t>96223600258 L(2)</t>
  </si>
  <si>
    <t>96223620248 L</t>
  </si>
  <si>
    <t>96223630250 W (2)</t>
  </si>
  <si>
    <t>96223610085 F</t>
  </si>
  <si>
    <t>EDDIE BAUER</t>
  </si>
  <si>
    <t>đã báo fail</t>
  </si>
  <si>
    <t>96223610079 F</t>
  </si>
  <si>
    <t>96223610095 F</t>
  </si>
  <si>
    <t>96223630257 F</t>
  </si>
  <si>
    <t>TUYET/NGHIEM</t>
  </si>
  <si>
    <t>LOWE'S</t>
  </si>
  <si>
    <t>96223640421 F</t>
  </si>
  <si>
    <t>Rp</t>
  </si>
  <si>
    <t>96223430702 P(2)</t>
  </si>
  <si>
    <t>đã báo fail lần 2</t>
  </si>
  <si>
    <t>96230040180 P</t>
  </si>
  <si>
    <t>96223670554 P(2)</t>
  </si>
  <si>
    <t xml:space="preserve">96223560566 F </t>
  </si>
  <si>
    <t>96223560566 L</t>
  </si>
  <si>
    <t>96223620248 P</t>
  </si>
  <si>
    <t>96223610095 P</t>
  </si>
  <si>
    <t>96223610079 P</t>
  </si>
  <si>
    <t>96223640642 M</t>
  </si>
  <si>
    <t>96223620248 F</t>
  </si>
  <si>
    <t>96223560518 F</t>
  </si>
  <si>
    <t>96223640642 P</t>
  </si>
  <si>
    <t>96223640578 F</t>
  </si>
  <si>
    <t>96223640642 L</t>
  </si>
  <si>
    <t>96223640074 L</t>
  </si>
  <si>
    <t>96230030024 W</t>
  </si>
  <si>
    <t>96230030032 W</t>
  </si>
  <si>
    <t>96223640548 P</t>
  </si>
  <si>
    <t>SAM'S CLUB</t>
  </si>
  <si>
    <t>96223640639 M</t>
  </si>
  <si>
    <t>96223640529 P</t>
  </si>
  <si>
    <t>96223650402 F</t>
  </si>
  <si>
    <t>96230040555 F</t>
  </si>
  <si>
    <t>96223640642 F</t>
  </si>
  <si>
    <t>96230050316 Y</t>
  </si>
  <si>
    <t>96230060487 P</t>
  </si>
  <si>
    <t>tech tự lấy result tự rating</t>
  </si>
  <si>
    <t>96223650084 L</t>
  </si>
  <si>
    <t>96223640074 P</t>
  </si>
  <si>
    <t>96223650283 P</t>
  </si>
  <si>
    <t>96223470216 P(2)</t>
  </si>
  <si>
    <t>96230030032 F</t>
  </si>
  <si>
    <t>96230030024 F</t>
  </si>
  <si>
    <t>96230030037 W</t>
  </si>
  <si>
    <t>96230040555 W</t>
  </si>
  <si>
    <t xml:space="preserve">done </t>
  </si>
  <si>
    <t>96230040128 F</t>
  </si>
  <si>
    <t>96223650084 F</t>
  </si>
  <si>
    <t>96223640074 F</t>
  </si>
  <si>
    <t>96223640760 F</t>
  </si>
  <si>
    <t>96230030024 P</t>
  </si>
  <si>
    <t>96230030032 P</t>
  </si>
  <si>
    <t>96223650084 P</t>
  </si>
  <si>
    <t>96230030037 P</t>
  </si>
  <si>
    <t>96230050494 M</t>
  </si>
  <si>
    <t>96230040426 P</t>
  </si>
  <si>
    <t>96230040042 P</t>
  </si>
  <si>
    <t>96223640529 F</t>
  </si>
  <si>
    <t>96230050468 F</t>
  </si>
  <si>
    <t>96223640548 F</t>
  </si>
  <si>
    <t>96230040042 F</t>
  </si>
  <si>
    <t>96230040211 F</t>
  </si>
  <si>
    <t>Code P, Y trả Hao k cần nhập kq</t>
  </si>
  <si>
    <t>96223650283 F</t>
  </si>
  <si>
    <t>96223640639 L</t>
  </si>
  <si>
    <t>96223160187 L (3)</t>
  </si>
  <si>
    <t>96222670554  Y(2)</t>
  </si>
  <si>
    <t>96230030037 F</t>
  </si>
  <si>
    <t>96230050517 F</t>
  </si>
  <si>
    <t>96230090167 M</t>
  </si>
  <si>
    <t>96230040204 P</t>
  </si>
  <si>
    <t>96230050494 F</t>
  </si>
  <si>
    <t>96223610533 F</t>
  </si>
  <si>
    <t>96230050530 F</t>
  </si>
  <si>
    <t>96230090118 F</t>
  </si>
  <si>
    <t>96230070301 w</t>
  </si>
  <si>
    <t>96230060082 F</t>
  </si>
  <si>
    <t>96230060080 F</t>
  </si>
  <si>
    <t>96230070155 P</t>
  </si>
  <si>
    <t>96230050494 p</t>
  </si>
  <si>
    <t>96230050021 p</t>
  </si>
  <si>
    <t>96230070301 F</t>
  </si>
  <si>
    <t>96230060562 F</t>
  </si>
  <si>
    <t>96230090116 F</t>
  </si>
  <si>
    <t>96230070198 F</t>
  </si>
  <si>
    <t>96230060233 L</t>
  </si>
  <si>
    <t>96230070126 F</t>
  </si>
  <si>
    <t>96230040204 F</t>
  </si>
  <si>
    <t>96230100239 F</t>
  </si>
  <si>
    <t>96230100237 F</t>
  </si>
  <si>
    <t>96223650284 F</t>
  </si>
  <si>
    <t>96230060243 P</t>
  </si>
  <si>
    <t>96230100237 P</t>
  </si>
  <si>
    <t>96230100239 P</t>
  </si>
  <si>
    <t>96230060249 P</t>
  </si>
  <si>
    <t>96230070155 M</t>
  </si>
  <si>
    <t>96230050021 F</t>
  </si>
  <si>
    <t>96230070581 F</t>
  </si>
  <si>
    <t>96230100371 P</t>
  </si>
  <si>
    <t>96230070155 F</t>
  </si>
  <si>
    <t>96230060233 P</t>
  </si>
  <si>
    <t>96230060246 P</t>
  </si>
  <si>
    <t>96223470453 y</t>
  </si>
  <si>
    <t>96223430702 P (3)</t>
  </si>
  <si>
    <t>retest pass</t>
  </si>
  <si>
    <t>96230060237 P</t>
  </si>
  <si>
    <t>96230070155 L</t>
  </si>
  <si>
    <t>96230060237 F</t>
  </si>
  <si>
    <t>96230090042 F</t>
  </si>
  <si>
    <t>96230060233 F</t>
  </si>
  <si>
    <t>96230060249 F</t>
  </si>
  <si>
    <t>96230060246 F</t>
  </si>
  <si>
    <t>96230060243 F</t>
  </si>
  <si>
    <t>rp</t>
  </si>
  <si>
    <t>96230090099 P</t>
  </si>
  <si>
    <t>96223650402 W</t>
  </si>
  <si>
    <t>đã báo pass</t>
  </si>
  <si>
    <t>96230110178 P</t>
  </si>
  <si>
    <t>96230100510 P</t>
  </si>
  <si>
    <t>96230100512 P</t>
  </si>
  <si>
    <t>96230100512 F</t>
  </si>
  <si>
    <t>96230100510 F</t>
  </si>
  <si>
    <t>96230090397 F</t>
  </si>
  <si>
    <t>96230090449 F</t>
  </si>
  <si>
    <t>96230110532 M</t>
  </si>
  <si>
    <t>96230070155 W</t>
  </si>
  <si>
    <t>96230140235 F</t>
  </si>
  <si>
    <t>96230140235 L</t>
  </si>
  <si>
    <t>DATA</t>
  </si>
  <si>
    <t>96230110416 F</t>
  </si>
  <si>
    <t>96230110588 F</t>
  </si>
  <si>
    <t xml:space="preserve">CANCEL KO LAM </t>
  </si>
  <si>
    <t>96230120063 F</t>
  </si>
  <si>
    <t>96230130126 F</t>
  </si>
  <si>
    <t>96230110454 W</t>
  </si>
  <si>
    <t xml:space="preserve">SONG </t>
  </si>
  <si>
    <t xml:space="preserve">A SONG REVIEW KQ </t>
  </si>
  <si>
    <t>96230070578 L</t>
  </si>
  <si>
    <t>96230110588 L</t>
  </si>
  <si>
    <t>96223640436 L</t>
  </si>
  <si>
    <t>96230130606 F</t>
  </si>
  <si>
    <t>96223490528 F</t>
  </si>
  <si>
    <t>96223640436 F</t>
  </si>
  <si>
    <t>96230110588 P</t>
  </si>
  <si>
    <t>96230110532 F</t>
  </si>
  <si>
    <t>96223610104 F</t>
  </si>
  <si>
    <t>96230120088 F</t>
  </si>
  <si>
    <t>96230060487 (2) p</t>
  </si>
  <si>
    <t>DYLAN</t>
  </si>
  <si>
    <t>96230140235 P</t>
  </si>
  <si>
    <t>96230140405 F</t>
  </si>
  <si>
    <t>96230130038 F</t>
  </si>
  <si>
    <t>96230070423 P</t>
  </si>
  <si>
    <t>96230120088 Y</t>
  </si>
  <si>
    <t>96230120088 p</t>
  </si>
  <si>
    <t>96230160296 f</t>
  </si>
  <si>
    <t>96223640436 p</t>
  </si>
  <si>
    <t>96230130038 p</t>
  </si>
  <si>
    <t>96223490528 P</t>
  </si>
  <si>
    <t>96230140465 F</t>
  </si>
  <si>
    <t>96230130038 (2)  L</t>
  </si>
  <si>
    <t>96230160297 F</t>
  </si>
  <si>
    <t>96230140465 W</t>
  </si>
  <si>
    <t>BAO RATING KO LAM</t>
  </si>
  <si>
    <t>96230110178 L</t>
  </si>
  <si>
    <t>test còn lại tech dien (Target real..)</t>
  </si>
  <si>
    <t>96230140405 P</t>
  </si>
  <si>
    <t>96230170339 w</t>
  </si>
  <si>
    <t>96230170259 w</t>
  </si>
  <si>
    <t>96230130436 P</t>
  </si>
  <si>
    <t>96230170394 F</t>
  </si>
  <si>
    <t>96230170392 F</t>
  </si>
  <si>
    <t>96230180375 F</t>
  </si>
  <si>
    <t>NO DDE</t>
  </si>
  <si>
    <t>96230180382 F</t>
  </si>
  <si>
    <t>96230180373 F</t>
  </si>
  <si>
    <t>96230180372 F</t>
  </si>
  <si>
    <t>96230160269 F</t>
  </si>
  <si>
    <t>96230180395 F</t>
  </si>
  <si>
    <t>96230130126 P</t>
  </si>
  <si>
    <t>96230190231 P</t>
  </si>
  <si>
    <t>96230190249 P</t>
  </si>
  <si>
    <t>96230180401 F</t>
  </si>
  <si>
    <t>96230170580 F</t>
  </si>
  <si>
    <t>96230160204 f</t>
  </si>
  <si>
    <t>96230160204 l</t>
  </si>
  <si>
    <t>96230190231 F</t>
  </si>
  <si>
    <t>MISSNOTE -DONE 1/31</t>
  </si>
  <si>
    <t>96230190249 f</t>
  </si>
  <si>
    <t>96230180345 f</t>
  </si>
  <si>
    <t>96230180389 f</t>
  </si>
  <si>
    <t>96230300082 f</t>
  </si>
  <si>
    <t>96230170259 f</t>
  </si>
  <si>
    <t>96230300061 P</t>
  </si>
  <si>
    <t>96230180294 L</t>
  </si>
  <si>
    <t>96230280007 P</t>
  </si>
  <si>
    <t>96230180103 P</t>
  </si>
  <si>
    <t>96230190218 P</t>
  </si>
  <si>
    <t>96230060516 F</t>
  </si>
  <si>
    <t>96230160204 P</t>
  </si>
  <si>
    <t>96230190216 P</t>
  </si>
  <si>
    <t>96230280007 F</t>
  </si>
  <si>
    <t>96230190192 P</t>
  </si>
  <si>
    <t>96230180345 W</t>
  </si>
  <si>
    <t>PASS</t>
  </si>
  <si>
    <t>96230170458 p</t>
  </si>
  <si>
    <t>SAMSON</t>
  </si>
  <si>
    <t xml:space="preserve">KO LAM KQ </t>
  </si>
  <si>
    <t>96230180294 P</t>
  </si>
  <si>
    <t>96230110532 p</t>
  </si>
  <si>
    <t>96230170259 p</t>
  </si>
  <si>
    <t>MISSNOTE-DONE 2/1</t>
  </si>
  <si>
    <t>96230300082 (2) F</t>
  </si>
  <si>
    <t>Kq F2 thay cho F1</t>
  </si>
  <si>
    <t>96230090179 M</t>
  </si>
  <si>
    <t>96230140395 w</t>
  </si>
  <si>
    <t>96230130348 w</t>
  </si>
  <si>
    <t>96230130346 w</t>
  </si>
  <si>
    <t>96230170382 y</t>
  </si>
  <si>
    <t>ALDI</t>
  </si>
  <si>
    <t>96230190218 L</t>
  </si>
  <si>
    <t>NO DDE - LAB RATE DATA</t>
  </si>
  <si>
    <t>96230130348 P</t>
  </si>
  <si>
    <t>96230170458 F</t>
  </si>
  <si>
    <t>96230130346 P</t>
  </si>
  <si>
    <t xml:space="preserve">ASTM D4704-13(2017) ko sub </t>
  </si>
  <si>
    <t>96230190216 L</t>
  </si>
  <si>
    <t>96230190192 L</t>
  </si>
  <si>
    <t>96230130346 F</t>
  </si>
  <si>
    <t>96230130348 F</t>
  </si>
  <si>
    <t>96223610533 P</t>
  </si>
  <si>
    <t>96230130348 L</t>
  </si>
  <si>
    <t>96230190039 L</t>
  </si>
  <si>
    <t>96230090179 L</t>
  </si>
  <si>
    <t>96230190192 F</t>
  </si>
  <si>
    <t>MISSNOTE-DONE 3/2</t>
  </si>
  <si>
    <t>96230190218 F</t>
  </si>
  <si>
    <t>96230190216 F</t>
  </si>
  <si>
    <t>96230180103 F</t>
  </si>
  <si>
    <t>96223610533(2) P</t>
  </si>
  <si>
    <t>96230190039 F</t>
  </si>
  <si>
    <t>96230320395 F</t>
  </si>
  <si>
    <t>96230090179 F</t>
  </si>
  <si>
    <t>96230140395 F</t>
  </si>
  <si>
    <t>1000h for rpt 96230370178 </t>
  </si>
  <si>
    <t>96230330368 F</t>
  </si>
  <si>
    <t>96230320284 P</t>
  </si>
  <si>
    <t>96230190231 Y</t>
  </si>
  <si>
    <t>96230190249 Y</t>
  </si>
  <si>
    <t>96230280007 Y</t>
  </si>
  <si>
    <t>96230300021 P</t>
  </si>
  <si>
    <t>VU</t>
  </si>
  <si>
    <t>Trả tech check kq thiếu vs lab</t>
  </si>
  <si>
    <t>96230190039 P</t>
  </si>
  <si>
    <t>96230090179 P</t>
  </si>
  <si>
    <t xml:space="preserve">UPDATE LAI TEST D3882 NA THANH FAIL </t>
  </si>
  <si>
    <t>96223640436(2) P</t>
  </si>
  <si>
    <t>96230320395 P</t>
  </si>
  <si>
    <t>96230330368 P</t>
  </si>
  <si>
    <t>96230330527 Y</t>
  </si>
  <si>
    <t>96230350048 F</t>
  </si>
  <si>
    <t>P,L</t>
  </si>
  <si>
    <t>96230350048 L</t>
  </si>
  <si>
    <t>CANCEL P,L CONFIRM BY VB</t>
  </si>
  <si>
    <t>96230330527 P</t>
  </si>
  <si>
    <t>96230330520 F</t>
  </si>
  <si>
    <t>96230320412 F</t>
  </si>
  <si>
    <t>96230320451 F</t>
  </si>
  <si>
    <t>96230300021 F</t>
  </si>
  <si>
    <t>96230130346 L</t>
  </si>
  <si>
    <t>Fail CSE</t>
  </si>
  <si>
    <t>96230340237 P</t>
  </si>
  <si>
    <t>96230340258 P</t>
  </si>
  <si>
    <t>96230340249 P</t>
  </si>
  <si>
    <t>96230340253 P</t>
  </si>
  <si>
    <t>96230330527 F</t>
  </si>
  <si>
    <t>96230040211 Y</t>
  </si>
  <si>
    <t>Trả tech</t>
  </si>
  <si>
    <t>96230350048 P</t>
  </si>
  <si>
    <t>Đã chuyển cho LO</t>
  </si>
  <si>
    <t>96230310058 F</t>
  </si>
  <si>
    <t>96230330518 F</t>
  </si>
  <si>
    <t>96230350359 F</t>
  </si>
  <si>
    <t>96230320451 P</t>
  </si>
  <si>
    <t>96230340253 F</t>
  </si>
  <si>
    <t>96230340237 F</t>
  </si>
  <si>
    <t>96230340258 F</t>
  </si>
  <si>
    <t>96230340249 F</t>
  </si>
  <si>
    <t>96230350178 F</t>
  </si>
  <si>
    <t>96230330325 Y</t>
  </si>
  <si>
    <t xml:space="preserve">RECORD DATA CONFIRM BY HUYEN </t>
  </si>
  <si>
    <t>96230370172 Y</t>
  </si>
  <si>
    <t>96230090180 M</t>
  </si>
  <si>
    <t>96230310058 L</t>
  </si>
  <si>
    <t>XUAN CONFIRM KO DIEN PTC</t>
  </si>
  <si>
    <t>96230370312 L</t>
  </si>
  <si>
    <t xml:space="preserve">RECORD KQ, RATING TECH CHECK </t>
  </si>
  <si>
    <t>96230370309 L</t>
  </si>
  <si>
    <t>96230370308 L</t>
  </si>
  <si>
    <t>DC</t>
  </si>
  <si>
    <t>96230380281 F</t>
  </si>
  <si>
    <t>LUKE</t>
  </si>
  <si>
    <t>JUN</t>
  </si>
  <si>
    <t>US1</t>
  </si>
  <si>
    <t>nguyenvu nguyen</t>
  </si>
  <si>
    <t>CODE X</t>
  </si>
  <si>
    <t>rsl\17. MICRO\1. Test result</t>
  </si>
  <si>
    <t>cercle phan</t>
  </si>
  <si>
    <t>G:\Quality\RG\AN RESULT\AN\Analytical (AN)</t>
  </si>
  <si>
    <t>samsan tran</t>
  </si>
  <si>
    <t>US2</t>
  </si>
  <si>
    <t>bao dang</t>
  </si>
  <si>
    <t>hao tran</t>
  </si>
  <si>
    <t>congminh nguyen</t>
  </si>
  <si>
    <t>vb/thanhphong bui</t>
  </si>
  <si>
    <t>huyen/ngochuyen huynh</t>
  </si>
  <si>
    <t>jp</t>
  </si>
  <si>
    <t>duy/vuduy le</t>
  </si>
  <si>
    <t>quang/dinhquang pham</t>
  </si>
  <si>
    <t>hoang/minhhoang tran</t>
  </si>
  <si>
    <t>TY</t>
  </si>
  <si>
    <t>xuan</t>
  </si>
  <si>
    <t>ngoc/kimngoc huong</t>
  </si>
  <si>
    <t>MP/maris</t>
  </si>
  <si>
    <t>vy</t>
  </si>
  <si>
    <t>USD</t>
  </si>
  <si>
    <t>ballack</t>
  </si>
  <si>
    <t>quin</t>
  </si>
  <si>
    <t>EU</t>
  </si>
  <si>
    <t>fantom</t>
  </si>
  <si>
    <t>brian</t>
  </si>
  <si>
    <t>scan</t>
  </si>
  <si>
    <t>\\10.141.14.92\Scan_HL\New US</t>
  </si>
  <si>
    <t>I007+</t>
  </si>
  <si>
    <t>I008+</t>
  </si>
  <si>
    <t>I009+</t>
  </si>
  <si>
    <t>I010+</t>
  </si>
  <si>
    <t>I011+</t>
  </si>
  <si>
    <t>I012+</t>
  </si>
  <si>
    <t>I016+</t>
  </si>
  <si>
    <t>I017+</t>
  </si>
  <si>
    <t>I021+</t>
  </si>
  <si>
    <t>I014+</t>
  </si>
  <si>
    <t>I015+</t>
  </si>
  <si>
    <t>I018+</t>
  </si>
  <si>
    <t>I019+</t>
  </si>
  <si>
    <t>I020+</t>
  </si>
  <si>
    <t xml:space="preserve">Ko có limit </t>
  </si>
  <si>
    <t>issue PASS</t>
  </si>
  <si>
    <t>Điền thiếu kq</t>
  </si>
  <si>
    <t>ND/PASS</t>
  </si>
  <si>
    <t>TEMPLATE</t>
  </si>
  <si>
    <t>JUDY HO</t>
  </si>
  <si>
    <t>crayola</t>
  </si>
  <si>
    <t>G:\Quality\RG\AN RESULT\AN\3. FORM\HOA\FORM MAU KH\CRAYOLA</t>
  </si>
  <si>
    <t>I013+</t>
  </si>
  <si>
    <t>I001+</t>
  </si>
  <si>
    <t>I002+</t>
  </si>
  <si>
    <t>I003+</t>
  </si>
  <si>
    <t>I004+</t>
  </si>
  <si>
    <t>I005+</t>
  </si>
  <si>
    <t>I006+</t>
  </si>
  <si>
    <t>https://xmind.works/</t>
  </si>
  <si>
    <t>user</t>
  </si>
  <si>
    <t>anresulttemplate@gmail.com</t>
  </si>
  <si>
    <t>Haicotien</t>
  </si>
  <si>
    <t>Thông tin nhân viên</t>
  </si>
  <si>
    <r>
      <t xml:space="preserve">Danh sác sheet, chọn </t>
    </r>
    <r>
      <rPr>
        <b/>
        <sz val="11"/>
        <color rgb="FFFF0000"/>
        <rFont val="Arial"/>
        <family val="2"/>
        <scheme val="minor"/>
      </rPr>
      <t>Không</t>
    </r>
    <r>
      <rPr>
        <sz val="11"/>
        <color theme="1"/>
        <rFont val="Arial"/>
        <family val="2"/>
        <scheme val="minor"/>
      </rPr>
      <t xml:space="preserve"> để không cho truy cập, chọn </t>
    </r>
    <r>
      <rPr>
        <b/>
        <sz val="11"/>
        <color theme="4"/>
        <rFont val="Arial"/>
        <family val="2"/>
        <scheme val="minor"/>
      </rPr>
      <t>Có</t>
    </r>
    <r>
      <rPr>
        <sz val="11"/>
        <color theme="1"/>
        <rFont val="Arial"/>
        <family val="2"/>
        <scheme val="minor"/>
      </rPr>
      <t xml:space="preserve"> hoặc để trống là Cho phép</t>
    </r>
  </si>
  <si>
    <t>STT</t>
  </si>
  <si>
    <t>admin</t>
  </si>
  <si>
    <t>NV</t>
  </si>
  <si>
    <t>AN_Control</t>
  </si>
  <si>
    <t>Phan_Quyen</t>
  </si>
  <si>
    <t>SL_Control</t>
  </si>
  <si>
    <t>Bao_Cao</t>
  </si>
  <si>
    <t>Item</t>
  </si>
  <si>
    <t>Item_Ngang</t>
  </si>
  <si>
    <t>Check_Code</t>
  </si>
  <si>
    <t>SL Not DDE</t>
  </si>
  <si>
    <t>Contact</t>
  </si>
  <si>
    <t>Có</t>
  </si>
  <si>
    <t>Không</t>
  </si>
  <si>
    <t xml:space="preserve">Tên đăng nhập </t>
  </si>
  <si>
    <t xml:space="preserve">Chức vụ </t>
  </si>
  <si>
    <t xml:space="preserve">Mật khẩu </t>
  </si>
  <si>
    <t>Bao_Cao_AT</t>
  </si>
  <si>
    <t>Bao_Cao_VH</t>
  </si>
  <si>
    <t xml:space="preserve">Mật khẩu: </t>
  </si>
  <si>
    <t>Tên đăng nhập:</t>
  </si>
  <si>
    <t>Kiem tra:</t>
  </si>
  <si>
    <t>Nhan vien:</t>
  </si>
  <si>
    <t>Ten sheet:</t>
  </si>
  <si>
    <t>Trang Chủ</t>
  </si>
  <si>
    <t>Done Delete</t>
  </si>
  <si>
    <t>avis.vo</t>
  </si>
  <si>
    <t>123456</t>
  </si>
  <si>
    <t>anhtuyet</t>
  </si>
  <si>
    <t>vanhuyen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</si>
</sst>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m/d/yy\ h:mm\ AM/PM;@"/>
    <numFmt numFmtId="166" formatCode="m/d;@"/>
  </numFmts>
  <fonts count="19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0"/>
      <name val="Arial"/>
      <family val="2"/>
      <scheme val="minor"/>
    </font>
    <font>
      <sz val="11"/>
      <name val="Arial"/>
      <family val="2"/>
      <scheme val="minor"/>
    </font>
    <font>
      <sz val="9"/>
      <color rgb="FF000000"/>
      <name val="Arial"/>
      <family val="2"/>
    </font>
    <font>
      <b/>
      <sz val="11"/>
      <color rgb="FFFF0000"/>
      <name val="Arial"/>
      <family val="2"/>
      <scheme val="minor"/>
    </font>
    <font>
      <sz val="11"/>
      <color rgb="FF000000"/>
      <name val="Arial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mbria"/>
      <family val="1"/>
    </font>
    <font>
      <sz val="11"/>
      <color rgb="FFFF0000"/>
      <name val="Arial"/>
      <family val="2"/>
      <scheme val="minor"/>
    </font>
    <font>
      <sz val="8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sz val="11"/>
      <color theme="4"/>
      <name val="Arial"/>
      <family val="2"/>
      <scheme val="minor"/>
    </font>
    <font>
      <b/>
      <sz val="11"/>
      <color theme="0" tint="-4.9989318521683403E-2"/>
      <name val="Arial"/>
      <family val="2"/>
      <scheme val="minor"/>
    </font>
    <font>
      <b/>
      <sz val="11"/>
      <color theme="1" tint="4.9989318521683403E-2"/>
      <name val="Arial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thin">
        <color auto="1"/>
      </bottom>
      <diagonal/>
    </border>
    <border>
      <left style="medium">
        <color theme="5"/>
      </left>
      <right style="medium">
        <color theme="5"/>
      </right>
      <top style="thin">
        <color auto="1"/>
      </top>
      <bottom style="thin">
        <color auto="1"/>
      </bottom>
      <diagonal/>
    </border>
    <border>
      <left style="medium">
        <color theme="5"/>
      </left>
      <right style="medium">
        <color theme="5"/>
      </right>
      <top style="thin">
        <color indexed="64"/>
      </top>
      <bottom/>
      <diagonal/>
    </border>
    <border>
      <left style="medium">
        <color theme="5"/>
      </left>
      <right style="medium">
        <color theme="5"/>
      </right>
      <top style="thin">
        <color theme="3"/>
      </top>
      <bottom style="thin">
        <color auto="1"/>
      </bottom>
      <diagonal/>
    </border>
    <border>
      <left style="medium">
        <color theme="5"/>
      </left>
      <right style="medium">
        <color theme="5"/>
      </right>
      <top style="thin">
        <color auto="1"/>
      </top>
      <bottom style="medium">
        <color theme="5"/>
      </bottom>
      <diagonal/>
    </border>
    <border>
      <left style="medium">
        <color theme="5"/>
      </left>
      <right/>
      <top style="thin">
        <color indexed="64"/>
      </top>
      <bottom style="thin">
        <color auto="1"/>
      </bottom>
      <diagonal/>
    </border>
    <border>
      <left style="thin">
        <color theme="5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1" xfId="0" applyBorder="1"/>
    <xf numFmtId="14" fontId="0" fillId="0" borderId="0" xfId="0" applyNumberFormat="1"/>
    <xf numFmtId="0" fontId="2" fillId="4" borderId="0" xfId="0" applyFont="1" applyFill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6" borderId="1" xfId="0" applyFill="1" applyBorder="1" applyAlignment="1">
      <alignment vertical="top"/>
    </xf>
    <xf numFmtId="0" fontId="4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16" fontId="0" fillId="0" borderId="0" xfId="0" applyNumberFormat="1"/>
    <xf numFmtId="0" fontId="3" fillId="7" borderId="3" xfId="1" applyFont="1" applyFill="1" applyBorder="1" applyAlignment="1">
      <alignment horizontal="center"/>
    </xf>
    <xf numFmtId="0" fontId="3" fillId="7" borderId="4" xfId="1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 vertical="center"/>
    </xf>
    <xf numFmtId="0" fontId="0" fillId="9" borderId="5" xfId="0" applyFill="1" applyBorder="1" applyAlignment="1">
      <alignment vertical="top" wrapText="1"/>
    </xf>
    <xf numFmtId="0" fontId="0" fillId="0" borderId="5" xfId="0" applyBorder="1"/>
    <xf numFmtId="0" fontId="1" fillId="10" borderId="6" xfId="1" applyFill="1" applyBorder="1" applyAlignment="1">
      <alignment horizontal="center"/>
    </xf>
    <xf numFmtId="0" fontId="1" fillId="8" borderId="7" xfId="1" applyFill="1" applyBorder="1"/>
    <xf numFmtId="0" fontId="3" fillId="8" borderId="6" xfId="0" applyFont="1" applyFill="1" applyBorder="1" applyAlignment="1">
      <alignment horizontal="center" vertical="center"/>
    </xf>
    <xf numFmtId="0" fontId="0" fillId="9" borderId="1" xfId="0" applyFill="1" applyBorder="1" applyAlignment="1">
      <alignment vertical="top" wrapText="1"/>
    </xf>
    <xf numFmtId="0" fontId="0" fillId="9" borderId="1" xfId="0" applyFill="1" applyBorder="1"/>
    <xf numFmtId="0" fontId="1" fillId="10" borderId="8" xfId="1" applyFill="1" applyBorder="1" applyAlignment="1">
      <alignment horizontal="center"/>
    </xf>
    <xf numFmtId="0" fontId="1" fillId="8" borderId="9" xfId="1" applyFill="1" applyBorder="1"/>
    <xf numFmtId="0" fontId="0" fillId="9" borderId="10" xfId="0" applyFill="1" applyBorder="1"/>
    <xf numFmtId="0" fontId="0" fillId="0" borderId="11" xfId="0" applyBorder="1"/>
    <xf numFmtId="0" fontId="0" fillId="12" borderId="12" xfId="0" applyFill="1" applyBorder="1" applyAlignment="1">
      <alignment horizontal="center" vertical="top"/>
    </xf>
    <xf numFmtId="0" fontId="0" fillId="12" borderId="13" xfId="0" applyFill="1" applyBorder="1" applyAlignment="1">
      <alignment horizontal="center" vertical="top"/>
    </xf>
    <xf numFmtId="0" fontId="0" fillId="0" borderId="12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164" fontId="0" fillId="13" borderId="12" xfId="0" applyNumberFormat="1" applyFill="1" applyBorder="1"/>
    <xf numFmtId="164" fontId="0" fillId="5" borderId="12" xfId="0" applyNumberFormat="1" applyFill="1" applyBorder="1"/>
    <xf numFmtId="164" fontId="0" fillId="13" borderId="0" xfId="0" applyNumberFormat="1" applyFill="1"/>
    <xf numFmtId="0" fontId="3" fillId="12" borderId="11" xfId="0" applyFont="1" applyFill="1" applyBorder="1"/>
    <xf numFmtId="164" fontId="0" fillId="0" borderId="14" xfId="0" applyNumberFormat="1" applyBorder="1"/>
    <xf numFmtId="164" fontId="0" fillId="14" borderId="12" xfId="0" applyNumberFormat="1" applyFill="1" applyBorder="1"/>
    <xf numFmtId="164" fontId="0" fillId="0" borderId="12" xfId="0" applyNumberFormat="1" applyBorder="1"/>
    <xf numFmtId="0" fontId="3" fillId="12" borderId="15" xfId="0" applyFont="1" applyFill="1" applyBorder="1"/>
    <xf numFmtId="164" fontId="0" fillId="0" borderId="16" xfId="0" applyNumberFormat="1" applyBorder="1"/>
    <xf numFmtId="164" fontId="0" fillId="14" borderId="16" xfId="0" applyNumberFormat="1" applyFill="1" applyBorder="1"/>
    <xf numFmtId="164" fontId="0" fillId="0" borderId="0" xfId="0" applyNumberFormat="1"/>
    <xf numFmtId="0" fontId="3" fillId="12" borderId="18" xfId="0" applyFont="1" applyFill="1" applyBorder="1"/>
    <xf numFmtId="164" fontId="0" fillId="14" borderId="14" xfId="0" applyNumberFormat="1" applyFill="1" applyBorder="1"/>
    <xf numFmtId="164" fontId="0" fillId="0" borderId="19" xfId="0" applyNumberFormat="1" applyBorder="1"/>
    <xf numFmtId="164" fontId="0" fillId="5" borderId="13" xfId="0" applyNumberFormat="1" applyFill="1" applyBorder="1" applyAlignment="1">
      <alignment horizontal="center"/>
    </xf>
    <xf numFmtId="164" fontId="0" fillId="14" borderId="13" xfId="0" applyNumberFormat="1" applyFill="1" applyBorder="1" applyAlignment="1">
      <alignment horizontal="center"/>
    </xf>
    <xf numFmtId="164" fontId="0" fillId="14" borderId="17" xfId="0" applyNumberFormat="1" applyFill="1" applyBorder="1" applyAlignment="1">
      <alignment horizontal="center"/>
    </xf>
    <xf numFmtId="164" fontId="0" fillId="14" borderId="20" xfId="0" applyNumberFormat="1" applyFill="1" applyBorder="1" applyAlignment="1">
      <alignment horizontal="center"/>
    </xf>
    <xf numFmtId="14" fontId="5" fillId="4" borderId="2" xfId="0" applyNumberFormat="1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1" fontId="5" fillId="4" borderId="2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8" fillId="0" borderId="0" xfId="0" applyFont="1"/>
    <xf numFmtId="0" fontId="9" fillId="5" borderId="0" xfId="0" applyFont="1" applyFill="1"/>
    <xf numFmtId="0" fontId="10" fillId="0" borderId="0" xfId="0" applyFont="1" applyAlignment="1">
      <alignment vertical="center"/>
    </xf>
    <xf numFmtId="49" fontId="0" fillId="0" borderId="0" xfId="0" applyNumberFormat="1"/>
    <xf numFmtId="49" fontId="2" fillId="4" borderId="0" xfId="0" applyNumberFormat="1" applyFont="1" applyFill="1" applyAlignment="1">
      <alignment horizontal="center" vertical="center"/>
    </xf>
    <xf numFmtId="0" fontId="3" fillId="0" borderId="0" xfId="0" applyFont="1"/>
    <xf numFmtId="0" fontId="11" fillId="0" borderId="26" xfId="0" applyFont="1" applyBorder="1" applyAlignment="1">
      <alignment horizontal="center" vertical="center"/>
    </xf>
    <xf numFmtId="0" fontId="10" fillId="0" borderId="0" xfId="0" applyFont="1"/>
    <xf numFmtId="165" fontId="9" fillId="5" borderId="0" xfId="0" applyNumberFormat="1" applyFont="1" applyFill="1"/>
    <xf numFmtId="49" fontId="9" fillId="5" borderId="0" xfId="0" applyNumberFormat="1" applyFont="1" applyFill="1"/>
    <xf numFmtId="0" fontId="11" fillId="0" borderId="2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0" fillId="0" borderId="0" xfId="0" quotePrefix="1"/>
    <xf numFmtId="0" fontId="0" fillId="0" borderId="0" xfId="0" applyProtection="1">
      <protection locked="0"/>
    </xf>
    <xf numFmtId="0" fontId="8" fillId="0" borderId="1" xfId="0" applyFont="1" applyBorder="1"/>
    <xf numFmtId="0" fontId="12" fillId="15" borderId="1" xfId="0" applyFont="1" applyFill="1" applyBorder="1" applyAlignment="1">
      <alignment horizontal="center" vertical="center"/>
    </xf>
    <xf numFmtId="49" fontId="9" fillId="0" borderId="0" xfId="0" applyNumberFormat="1" applyFont="1"/>
    <xf numFmtId="0" fontId="11" fillId="0" borderId="0" xfId="0" applyFont="1" applyAlignment="1">
      <alignment vertical="center"/>
    </xf>
    <xf numFmtId="0" fontId="0" fillId="0" borderId="1" xfId="0" applyBorder="1" applyAlignment="1">
      <alignment wrapText="1"/>
    </xf>
    <xf numFmtId="0" fontId="0" fillId="0" borderId="25" xfId="0" applyBorder="1"/>
    <xf numFmtId="0" fontId="13" fillId="5" borderId="0" xfId="0" applyFont="1" applyFill="1"/>
    <xf numFmtId="22" fontId="0" fillId="0" borderId="0" xfId="0" applyNumberFormat="1"/>
    <xf numFmtId="166" fontId="0" fillId="0" borderId="1" xfId="0" applyNumberFormat="1" applyBorder="1" applyAlignment="1">
      <alignment horizontal="left" vertical="center"/>
    </xf>
    <xf numFmtId="0" fontId="0" fillId="5" borderId="1" xfId="0" applyFill="1" applyBorder="1"/>
    <xf numFmtId="0" fontId="0" fillId="6" borderId="1" xfId="0" applyFill="1" applyBorder="1" applyAlignment="1">
      <alignment horizontal="center"/>
    </xf>
    <xf numFmtId="0" fontId="1" fillId="0" borderId="0" xfId="0" applyFont="1" applyProtection="1">
      <protection locked="0"/>
    </xf>
    <xf numFmtId="0" fontId="0" fillId="0" borderId="29" xfId="0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2" fillId="16" borderId="1" xfId="0" applyFont="1" applyFill="1" applyBorder="1" applyAlignment="1">
      <alignment horizontal="center" vertical="center"/>
    </xf>
    <xf numFmtId="0" fontId="2" fillId="16" borderId="24" xfId="0" applyFont="1" applyFill="1" applyBorder="1" applyAlignment="1">
      <alignment horizontal="center" vertical="center"/>
    </xf>
    <xf numFmtId="0" fontId="7" fillId="0" borderId="0" xfId="0" applyFont="1" applyAlignment="1">
      <alignment horizontal="centerContinuous" vertical="center"/>
    </xf>
    <xf numFmtId="0" fontId="2" fillId="1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5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11" fillId="0" borderId="28" xfId="0" applyFont="1" applyBorder="1" applyAlignment="1">
      <alignment vertical="center"/>
    </xf>
    <xf numFmtId="0" fontId="0" fillId="17" borderId="0" xfId="0" applyFill="1"/>
    <xf numFmtId="0" fontId="1" fillId="0" borderId="0" xfId="0" applyFont="1"/>
    <xf numFmtId="18" fontId="0" fillId="0" borderId="0" xfId="0" applyNumberFormat="1"/>
    <xf numFmtId="0" fontId="0" fillId="0" borderId="0" xfId="0" applyAlignment="1">
      <alignment horizontal="center" vertical="center"/>
    </xf>
    <xf numFmtId="0" fontId="6" fillId="17" borderId="0" xfId="0" applyFont="1" applyFill="1"/>
    <xf numFmtId="0" fontId="2" fillId="18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5" borderId="1" xfId="0" applyFont="1" applyFill="1" applyBorder="1"/>
    <xf numFmtId="0" fontId="0" fillId="22" borderId="1" xfId="0" applyFill="1" applyBorder="1"/>
    <xf numFmtId="0" fontId="15" fillId="0" borderId="0" xfId="2"/>
    <xf numFmtId="0" fontId="0" fillId="23" borderId="1" xfId="0" applyFill="1" applyBorder="1"/>
    <xf numFmtId="0" fontId="0" fillId="24" borderId="0" xfId="0" applyFill="1"/>
    <xf numFmtId="0" fontId="0" fillId="0" borderId="0" xfId="0" applyAlignment="1">
      <alignment vertical="top" wrapText="1"/>
    </xf>
    <xf numFmtId="0" fontId="0" fillId="10" borderId="35" xfId="0" applyFill="1" applyBorder="1" applyAlignment="1">
      <alignment horizontal="center"/>
    </xf>
    <xf numFmtId="0" fontId="0" fillId="8" borderId="36" xfId="0" applyFill="1" applyBorder="1"/>
    <xf numFmtId="0" fontId="0" fillId="0" borderId="37" xfId="0" applyBorder="1"/>
    <xf numFmtId="0" fontId="17" fillId="24" borderId="37" xfId="0" applyFont="1" applyFill="1" applyBorder="1"/>
    <xf numFmtId="49" fontId="0" fillId="0" borderId="37" xfId="0" applyNumberFormat="1" applyBorder="1"/>
    <xf numFmtId="49" fontId="17" fillId="24" borderId="37" xfId="0" applyNumberFormat="1" applyFont="1" applyFill="1" applyBorder="1"/>
    <xf numFmtId="0" fontId="17" fillId="24" borderId="34" xfId="0" applyFont="1" applyFill="1" applyBorder="1"/>
    <xf numFmtId="0" fontId="0" fillId="0" borderId="34" xfId="0" applyBorder="1"/>
    <xf numFmtId="0" fontId="0" fillId="0" borderId="33" xfId="0" applyBorder="1"/>
    <xf numFmtId="49" fontId="17" fillId="24" borderId="33" xfId="0" applyNumberFormat="1" applyFont="1" applyFill="1" applyBorder="1"/>
    <xf numFmtId="0" fontId="3" fillId="0" borderId="38" xfId="0" applyFont="1" applyBorder="1"/>
    <xf numFmtId="0" fontId="17" fillId="24" borderId="39" xfId="0" applyFont="1" applyFill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17" fillId="24" borderId="44" xfId="0" applyFont="1" applyFill="1" applyBorder="1" applyAlignment="1">
      <alignment horizontal="center"/>
    </xf>
    <xf numFmtId="0" fontId="17" fillId="24" borderId="0" xfId="0" applyFont="1" applyFill="1" applyAlignment="1">
      <alignment horizontal="center"/>
    </xf>
    <xf numFmtId="0" fontId="3" fillId="5" borderId="37" xfId="0" applyFont="1" applyFill="1" applyBorder="1" applyAlignment="1">
      <alignment horizontal="center"/>
    </xf>
    <xf numFmtId="0" fontId="18" fillId="7" borderId="34" xfId="0" applyFont="1" applyFill="1" applyBorder="1" applyAlignment="1">
      <alignment horizontal="center"/>
    </xf>
    <xf numFmtId="0" fontId="18" fillId="7" borderId="32" xfId="0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2" fillId="20" borderId="30" xfId="0" applyFont="1" applyFill="1" applyBorder="1" applyAlignment="1">
      <alignment horizontal="center" vertical="center"/>
    </xf>
    <xf numFmtId="0" fontId="2" fillId="20" borderId="31" xfId="0" applyFont="1" applyFill="1" applyBorder="1" applyAlignment="1">
      <alignment horizontal="center" vertical="center"/>
    </xf>
    <xf numFmtId="0" fontId="2" fillId="20" borderId="32" xfId="0" applyFont="1" applyFill="1" applyBorder="1" applyAlignment="1">
      <alignment horizontal="center" vertical="center"/>
    </xf>
    <xf numFmtId="0" fontId="2" fillId="20" borderId="33" xfId="0" applyFont="1" applyFill="1" applyBorder="1" applyAlignment="1">
      <alignment horizontal="center" vertical="center"/>
    </xf>
    <xf numFmtId="0" fontId="2" fillId="21" borderId="34" xfId="0" applyFont="1" applyFill="1" applyBorder="1" applyAlignment="1">
      <alignment horizontal="center" vertical="center"/>
    </xf>
    <xf numFmtId="0" fontId="2" fillId="21" borderId="32" xfId="0" applyFont="1" applyFill="1" applyBorder="1" applyAlignment="1">
      <alignment horizontal="center" vertical="center"/>
    </xf>
    <xf numFmtId="0" fontId="2" fillId="21" borderId="33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0" fontId="3" fillId="11" borderId="22" xfId="0" applyFont="1" applyFill="1" applyBorder="1" applyAlignment="1">
      <alignment horizontal="center" vertical="center"/>
    </xf>
    <xf numFmtId="0" fontId="3" fillId="11" borderId="23" xfId="0" applyFont="1" applyFill="1" applyBorder="1" applyAlignment="1">
      <alignment horizontal="center" vertical="center"/>
    </xf>
  </cellXfs>
  <cellStyles count="3">
    <cellStyle name="20% - Accent2" xfId="1" builtinId="34"/>
    <cellStyle name="Hyperlink" xfId="2" builtinId="8"/>
    <cellStyle name="Normal" xfId="0" builtinId="0"/>
  </cellStyles>
  <dxfs count="89"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E956F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E956F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E956F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E956F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E956F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E956F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5C4600"/>
      <color rgb="FFFF00FF"/>
      <color rgb="FFFF99FF"/>
      <color rgb="FFE956F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L_Control!A2"/><Relationship Id="rId7" Type="http://schemas.openxmlformats.org/officeDocument/2006/relationships/hyperlink" Target="#Bao_Cao!A1"/><Relationship Id="rId2" Type="http://schemas.openxmlformats.org/officeDocument/2006/relationships/hyperlink" Target="#Item!T2"/><Relationship Id="rId1" Type="http://schemas.openxmlformats.org/officeDocument/2006/relationships/hyperlink" Target="#Check_Code!A2"/><Relationship Id="rId6" Type="http://schemas.openxmlformats.org/officeDocument/2006/relationships/hyperlink" Target="#Bao_Cao_VH!A1"/><Relationship Id="rId5" Type="http://schemas.openxmlformats.org/officeDocument/2006/relationships/hyperlink" Target="#Bao_Cao_AT!A1"/><Relationship Id="rId4" Type="http://schemas.openxmlformats.org/officeDocument/2006/relationships/hyperlink" Target="#SERVICE!A2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Bao_Cao_VH!A1"/><Relationship Id="rId3" Type="http://schemas.openxmlformats.org/officeDocument/2006/relationships/hyperlink" Target="#Check_Code!A2"/><Relationship Id="rId7" Type="http://schemas.openxmlformats.org/officeDocument/2006/relationships/hyperlink" Target="#Bao_Cao_AT!A1"/><Relationship Id="rId2" Type="http://schemas.openxmlformats.org/officeDocument/2006/relationships/hyperlink" Target="#SL_Control!A1"/><Relationship Id="rId1" Type="http://schemas.openxmlformats.org/officeDocument/2006/relationships/hyperlink" Target="#AN_Control!A1"/><Relationship Id="rId6" Type="http://schemas.openxmlformats.org/officeDocument/2006/relationships/hyperlink" Target="#SERVICE!A2"/><Relationship Id="rId5" Type="http://schemas.openxmlformats.org/officeDocument/2006/relationships/hyperlink" Target="#AN_Control!A2"/><Relationship Id="rId4" Type="http://schemas.openxmlformats.org/officeDocument/2006/relationships/hyperlink" Target="#Item!T2"/><Relationship Id="rId9" Type="http://schemas.openxmlformats.org/officeDocument/2006/relationships/hyperlink" Target="#Bao_Ca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N_Control!A2"/><Relationship Id="rId3" Type="http://schemas.openxmlformats.org/officeDocument/2006/relationships/hyperlink" Target="../../../NEW%20OL%20LIST/Subcontract%20checklist%20-%20SL%202023.xlsm" TargetMode="External"/><Relationship Id="rId7" Type="http://schemas.openxmlformats.org/officeDocument/2006/relationships/hyperlink" Target="file:///G:\Quality\RG\AN%20RESULT\AN\4.%20B&#7842;NG%20M&#7850;U\FORM-2023.docx" TargetMode="External"/><Relationship Id="rId2" Type="http://schemas.openxmlformats.org/officeDocument/2006/relationships/hyperlink" Target="file:///G:\NEW%20OL%20LIST\Subcontract%20checklist%20-AN%202023.XLSM" TargetMode="External"/><Relationship Id="rId1" Type="http://schemas.openxmlformats.org/officeDocument/2006/relationships/hyperlink" Target="../../../NEW%20OL%20LIST/HL%20DCD%200509.xlsb" TargetMode="External"/><Relationship Id="rId6" Type="http://schemas.openxmlformats.org/officeDocument/2006/relationships/hyperlink" Target="file:///B:\3.%20Report\1.%20REPORT%202023\2.%20PURE%20RSL%20REPORT\LDCS%20REPORT\2023" TargetMode="External"/><Relationship Id="rId11" Type="http://schemas.openxmlformats.org/officeDocument/2006/relationships/hyperlink" Target="#Item!T2"/><Relationship Id="rId5" Type="http://schemas.openxmlformats.org/officeDocument/2006/relationships/hyperlink" Target="RG%20TEAM%20-2023.xlsm" TargetMode="External"/><Relationship Id="rId10" Type="http://schemas.openxmlformats.org/officeDocument/2006/relationships/hyperlink" Target="#Check_Code!A2"/><Relationship Id="rId4" Type="http://schemas.openxmlformats.org/officeDocument/2006/relationships/hyperlink" Target="../AN%20RESULT/AN/4.%20B&#7842;NG%20M&#7850;U/CONTROL.xlsm" TargetMode="External"/><Relationship Id="rId9" Type="http://schemas.openxmlformats.org/officeDocument/2006/relationships/hyperlink" Target="#SL_Control!A2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N_Control!A2"/><Relationship Id="rId3" Type="http://schemas.openxmlformats.org/officeDocument/2006/relationships/hyperlink" Target="../../../NEW%20OL%20LIST/Subcontract%20checklist%20-%20SL%202023.xlsm" TargetMode="External"/><Relationship Id="rId7" Type="http://schemas.openxmlformats.org/officeDocument/2006/relationships/hyperlink" Target="file:///G:\Quality\RG\AN%20RESULT\AN\4.%20B&#7842;NG%20M&#7850;U\FORM-2023.docx" TargetMode="External"/><Relationship Id="rId2" Type="http://schemas.openxmlformats.org/officeDocument/2006/relationships/hyperlink" Target="file:///G:\NEW%20OL%20LIST\Subcontract%20checklist%20-AN%202023.XLSM" TargetMode="External"/><Relationship Id="rId1" Type="http://schemas.openxmlformats.org/officeDocument/2006/relationships/hyperlink" Target="../../../NEW%20OL%20LIST/HL%20DCD%200509.xlsb" TargetMode="External"/><Relationship Id="rId6" Type="http://schemas.openxmlformats.org/officeDocument/2006/relationships/hyperlink" Target="file:///B:\3.%20Report\1.%20REPORT%202023\2.%20PURE%20RSL%20REPORT\LDCS%20REPORT\2023" TargetMode="External"/><Relationship Id="rId11" Type="http://schemas.openxmlformats.org/officeDocument/2006/relationships/hyperlink" Target="#Item!T2"/><Relationship Id="rId5" Type="http://schemas.openxmlformats.org/officeDocument/2006/relationships/hyperlink" Target="RG%20TEAM%20-2023.xlsm" TargetMode="External"/><Relationship Id="rId10" Type="http://schemas.openxmlformats.org/officeDocument/2006/relationships/hyperlink" Target="#Check_Code!A2"/><Relationship Id="rId4" Type="http://schemas.openxmlformats.org/officeDocument/2006/relationships/hyperlink" Target="../AN%20RESULT/AN/4.%20B&#7842;NG%20M&#7850;U/CONTROL.xlsm" TargetMode="External"/><Relationship Id="rId9" Type="http://schemas.openxmlformats.org/officeDocument/2006/relationships/hyperlink" Target="#SL_Control!A2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N_Control!A2"/><Relationship Id="rId3" Type="http://schemas.openxmlformats.org/officeDocument/2006/relationships/hyperlink" Target="../../../NEW%20OL%20LIST/Subcontract%20checklist%20-%20SL%202023.xlsm" TargetMode="External"/><Relationship Id="rId7" Type="http://schemas.openxmlformats.org/officeDocument/2006/relationships/hyperlink" Target="file:///G:\Quality\RG\AN%20RESULT\AN\4.%20B&#7842;NG%20M&#7850;U\FORM-2023.docx" TargetMode="External"/><Relationship Id="rId2" Type="http://schemas.openxmlformats.org/officeDocument/2006/relationships/hyperlink" Target="file:///G:\NEW%20OL%20LIST\Subcontract%20checklist%20-AN%202023.XLSM" TargetMode="External"/><Relationship Id="rId1" Type="http://schemas.openxmlformats.org/officeDocument/2006/relationships/hyperlink" Target="../../../NEW%20OL%20LIST/HL%20DCD%200509.xlsb" TargetMode="External"/><Relationship Id="rId6" Type="http://schemas.openxmlformats.org/officeDocument/2006/relationships/hyperlink" Target="file:///B:\3.%20Report\1.%20REPORT%202023\2.%20PURE%20RSL%20REPORT\LDCS%20REPORT\2023" TargetMode="External"/><Relationship Id="rId11" Type="http://schemas.openxmlformats.org/officeDocument/2006/relationships/hyperlink" Target="#Item!T2"/><Relationship Id="rId5" Type="http://schemas.openxmlformats.org/officeDocument/2006/relationships/hyperlink" Target="RG%20TEAM%20-2023.xlsm" TargetMode="External"/><Relationship Id="rId10" Type="http://schemas.openxmlformats.org/officeDocument/2006/relationships/hyperlink" Target="#Check_Code!A2"/><Relationship Id="rId4" Type="http://schemas.openxmlformats.org/officeDocument/2006/relationships/hyperlink" Target="../AN%20RESULT/AN/4.%20B&#7842;NG%20M&#7850;U/CONTROL.xlsm" TargetMode="External"/><Relationship Id="rId9" Type="http://schemas.openxmlformats.org/officeDocument/2006/relationships/hyperlink" Target="#SL_Control!A2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Bao_Cao_VH!A1"/><Relationship Id="rId3" Type="http://schemas.openxmlformats.org/officeDocument/2006/relationships/hyperlink" Target="#SL_Control!A4"/><Relationship Id="rId7" Type="http://schemas.openxmlformats.org/officeDocument/2006/relationships/hyperlink" Target="file:///G:\Quality\RG\AN%20RESULT\AN\FORM-2023.docx" TargetMode="External"/><Relationship Id="rId2" Type="http://schemas.openxmlformats.org/officeDocument/2006/relationships/hyperlink" Target="#AN_Control!A3"/><Relationship Id="rId1" Type="http://schemas.openxmlformats.org/officeDocument/2006/relationships/hyperlink" Target="#Item_Ngang!A3"/><Relationship Id="rId6" Type="http://schemas.openxmlformats.org/officeDocument/2006/relationships/hyperlink" Target="file:///B:\2.%20TA\2023\1.%20SAMPLE%20BREAKDOWN%20TEMPLATE\HL%202023" TargetMode="External"/><Relationship Id="rId5" Type="http://schemas.openxmlformats.org/officeDocument/2006/relationships/hyperlink" Target="../AN%20RESULT/AN/4.%20B&#7842;NG%20M&#7850;U/FORM-2023.docx" TargetMode="External"/><Relationship Id="rId4" Type="http://schemas.openxmlformats.org/officeDocument/2006/relationships/hyperlink" Target="#Bao_Cao_AT!A1"/><Relationship Id="rId9" Type="http://schemas.openxmlformats.org/officeDocument/2006/relationships/hyperlink" Target="#Bao_Ca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ao_Cao_VH!A1"/><Relationship Id="rId2" Type="http://schemas.openxmlformats.org/officeDocument/2006/relationships/hyperlink" Target="#Bao_Cao_AT!A1"/><Relationship Id="rId1" Type="http://schemas.openxmlformats.org/officeDocument/2006/relationships/hyperlink" Target="#Item!T2"/><Relationship Id="rId4" Type="http://schemas.openxmlformats.org/officeDocument/2006/relationships/hyperlink" Target="#Bao_Cao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SL_Control!A3"/><Relationship Id="rId1" Type="http://schemas.openxmlformats.org/officeDocument/2006/relationships/hyperlink" Target="#AN_Control!A3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ao_Cao_VH!A1"/><Relationship Id="rId2" Type="http://schemas.openxmlformats.org/officeDocument/2006/relationships/hyperlink" Target="#SL_Control!A2"/><Relationship Id="rId1" Type="http://schemas.openxmlformats.org/officeDocument/2006/relationships/hyperlink" Target="#AN_Control!A2"/><Relationship Id="rId5" Type="http://schemas.openxmlformats.org/officeDocument/2006/relationships/hyperlink" Target="#Bao_Cao!A1"/><Relationship Id="rId4" Type="http://schemas.openxmlformats.org/officeDocument/2006/relationships/hyperlink" Target="#Bao_Cao_A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680357</xdr:colOff>
      <xdr:row>1</xdr:row>
      <xdr:rowOff>29158</xdr:rowOff>
    </xdr:from>
    <xdr:to>
      <xdr:col>2</xdr:col>
      <xdr:colOff>680357</xdr:colOff>
      <xdr:row>3</xdr:row>
      <xdr:rowOff>34128</xdr:rowOff>
    </xdr:to>
    <xdr:sp macro="[0]!ThoatTaiKhoan" textlink="">
      <xdr:nvSpPr>
        <xdr:cNvPr id="2" name="Rectangle 1">
          <a:extLst>
            <a:ext uri="{FF2B5EF4-FFF2-40B4-BE49-F238E27FC236}">
              <a16:creationId xmlns:a16="http://schemas.microsoft.com/office/drawing/2014/main" id="{0C7F3973-9F9A-48F2-8E43-ADC26109E2DB}"/>
            </a:ext>
          </a:extLst>
        </xdr:cNvPr>
        <xdr:cNvSpPr/>
      </xdr:nvSpPr>
      <xdr:spPr>
        <a:xfrm>
          <a:off x="680357" y="223546"/>
          <a:ext cx="1380153" cy="374306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Thoát</a:t>
          </a:r>
          <a:r>
            <a:rPr lang="en-US" sz="1100" b="1" baseline="0">
              <a:solidFill>
                <a:schemeClr val="bg1"/>
              </a:solidFill>
            </a:rPr>
            <a:t> Tài khoản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28575</xdr:rowOff>
    </xdr:from>
    <xdr:to>
      <xdr:col>1</xdr:col>
      <xdr:colOff>974034</xdr:colOff>
      <xdr:row>2</xdr:row>
      <xdr:rowOff>33545</xdr:rowOff>
    </xdr:to>
    <xdr:sp macro="[0]!capnhasheet" textlink="">
      <xdr:nvSpPr>
        <xdr:cNvPr id="2" name="Rectangle 1">
          <a:extLst>
            <a:ext uri="{FF2B5EF4-FFF2-40B4-BE49-F238E27FC236}">
              <a16:creationId xmlns:a16="http://schemas.microsoft.com/office/drawing/2014/main" id="{A0CAE0B0-42E9-4CD9-9D7B-8CC2D4193F3F}"/>
            </a:ext>
          </a:extLst>
        </xdr:cNvPr>
        <xdr:cNvSpPr/>
      </xdr:nvSpPr>
      <xdr:spPr>
        <a:xfrm>
          <a:off x="38100" y="28575"/>
          <a:ext cx="1269309" cy="366920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Cap</a:t>
          </a:r>
          <a:r>
            <a:rPr lang="en-US" sz="1100" b="1" baseline="0">
              <a:solidFill>
                <a:schemeClr val="bg1"/>
              </a:solidFill>
            </a:rPr>
            <a:t> Nhat Sheet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34783</xdr:colOff>
      <xdr:row>0</xdr:row>
      <xdr:rowOff>20292</xdr:rowOff>
    </xdr:from>
    <xdr:to>
      <xdr:col>5</xdr:col>
      <xdr:colOff>615808</xdr:colOff>
      <xdr:row>1</xdr:row>
      <xdr:rowOff>0</xdr:rowOff>
    </xdr:to>
    <xdr:sp macro="[0]!Update_Format" textlink="">
      <xdr:nvSpPr>
        <xdr:cNvPr id="6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87FB68-2834-4F67-8DC6-52F22EDB88ED}"/>
            </a:ext>
          </a:extLst>
        </xdr:cNvPr>
        <xdr:cNvSpPr/>
      </xdr:nvSpPr>
      <xdr:spPr>
        <a:xfrm>
          <a:off x="5269392" y="20292"/>
          <a:ext cx="1276764" cy="551208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CHECK CODE</a:t>
          </a:r>
        </a:p>
      </xdr:txBody>
    </xdr:sp>
    <xdr:clientData/>
  </xdr:twoCellAnchor>
  <xdr:twoCellAnchor>
    <xdr:from>
      <xdr:col>5</xdr:col>
      <xdr:colOff>637754</xdr:colOff>
      <xdr:row>0</xdr:row>
      <xdr:rowOff>16563</xdr:rowOff>
    </xdr:from>
    <xdr:to>
      <xdr:col>5</xdr:col>
      <xdr:colOff>1838733</xdr:colOff>
      <xdr:row>1</xdr:row>
      <xdr:rowOff>8282</xdr:rowOff>
    </xdr:to>
    <xdr:sp macro="[0]!Update_Format" textlink="">
      <xdr:nvSpPr>
        <xdr:cNvPr id="9" name="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4738B6F-8C7B-45EE-B301-3FD18858B08D}"/>
            </a:ext>
          </a:extLst>
        </xdr:cNvPr>
        <xdr:cNvSpPr/>
      </xdr:nvSpPr>
      <xdr:spPr>
        <a:xfrm>
          <a:off x="6568102" y="16563"/>
          <a:ext cx="1200979" cy="62948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ITEM</a:t>
          </a:r>
        </a:p>
      </xdr:txBody>
    </xdr:sp>
    <xdr:clientData/>
  </xdr:twoCellAnchor>
  <xdr:twoCellAnchor>
    <xdr:from>
      <xdr:col>1</xdr:col>
      <xdr:colOff>1</xdr:colOff>
      <xdr:row>0</xdr:row>
      <xdr:rowOff>16566</xdr:rowOff>
    </xdr:from>
    <xdr:to>
      <xdr:col>2</xdr:col>
      <xdr:colOff>8284</xdr:colOff>
      <xdr:row>1</xdr:row>
      <xdr:rowOff>8282</xdr:rowOff>
    </xdr:to>
    <xdr:sp macro="[0]!clear_filter" textlink="">
      <xdr:nvSpPr>
        <xdr:cNvPr id="13" name="Rectangl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BA7896-C6D3-41B4-8A18-FB3878501B79}"/>
            </a:ext>
          </a:extLst>
        </xdr:cNvPr>
        <xdr:cNvSpPr/>
      </xdr:nvSpPr>
      <xdr:spPr>
        <a:xfrm>
          <a:off x="1333501" y="16566"/>
          <a:ext cx="1358348" cy="695738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SL CONTROL</a:t>
          </a:r>
        </a:p>
      </xdr:txBody>
    </xdr:sp>
    <xdr:clientData/>
  </xdr:twoCellAnchor>
  <xdr:twoCellAnchor>
    <xdr:from>
      <xdr:col>2</xdr:col>
      <xdr:colOff>24848</xdr:colOff>
      <xdr:row>0</xdr:row>
      <xdr:rowOff>16566</xdr:rowOff>
    </xdr:from>
    <xdr:to>
      <xdr:col>3</xdr:col>
      <xdr:colOff>16565</xdr:colOff>
      <xdr:row>1</xdr:row>
      <xdr:rowOff>16565</xdr:rowOff>
    </xdr:to>
    <xdr:sp macro="[0]!clear_filter" textlink="">
      <xdr:nvSpPr>
        <xdr:cNvPr id="15" name="Rectangle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C0D9FE-239A-43D0-BFC1-61622FA82B48}"/>
            </a:ext>
          </a:extLst>
        </xdr:cNvPr>
        <xdr:cNvSpPr/>
      </xdr:nvSpPr>
      <xdr:spPr>
        <a:xfrm>
          <a:off x="2517913" y="16566"/>
          <a:ext cx="1383195" cy="629477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SERVICES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1324840</xdr:colOff>
      <xdr:row>1</xdr:row>
      <xdr:rowOff>8658</xdr:rowOff>
    </xdr:to>
    <xdr:sp macro="[0]!clear_filter" textlink="">
      <xdr:nvSpPr>
        <xdr:cNvPr id="2" name="Rectangle 1">
          <a:extLst>
            <a:ext uri="{FF2B5EF4-FFF2-40B4-BE49-F238E27FC236}">
              <a16:creationId xmlns:a16="http://schemas.microsoft.com/office/drawing/2014/main" id="{E22418F4-CA5B-4E3C-B017-B5007C34FB0D}"/>
            </a:ext>
          </a:extLst>
        </xdr:cNvPr>
        <xdr:cNvSpPr/>
      </xdr:nvSpPr>
      <xdr:spPr>
        <a:xfrm>
          <a:off x="0" y="0"/>
          <a:ext cx="1324840" cy="450272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CLEAR FILTER</a:t>
          </a:r>
        </a:p>
      </xdr:txBody>
    </xdr:sp>
    <xdr:clientData/>
  </xdr:twoCellAnchor>
  <xdr:twoCellAnchor>
    <xdr:from>
      <xdr:col>3</xdr:col>
      <xdr:colOff>16565</xdr:colOff>
      <xdr:row>0</xdr:row>
      <xdr:rowOff>24846</xdr:rowOff>
    </xdr:from>
    <xdr:to>
      <xdr:col>4</xdr:col>
      <xdr:colOff>24847</xdr:colOff>
      <xdr:row>1</xdr:row>
      <xdr:rowOff>4554</xdr:rowOff>
    </xdr:to>
    <xdr:sp macro="[0]!clear_filter" textlink="">
      <xdr:nvSpPr>
        <xdr:cNvPr id="3" name="BaoCaoAT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350988-74BD-476B-AEBC-A84CA74AB1E4}"/>
            </a:ext>
          </a:extLst>
        </xdr:cNvPr>
        <xdr:cNvSpPr/>
      </xdr:nvSpPr>
      <xdr:spPr>
        <a:xfrm>
          <a:off x="3983935" y="24846"/>
          <a:ext cx="1358347" cy="352425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BAO CAO</a:t>
          </a:r>
        </a:p>
      </xdr:txBody>
    </xdr:sp>
    <xdr:clientData/>
  </xdr:twoCellAnchor>
  <xdr:twoCellAnchor>
    <xdr:from>
      <xdr:col>3</xdr:col>
      <xdr:colOff>24848</xdr:colOff>
      <xdr:row>0</xdr:row>
      <xdr:rowOff>16566</xdr:rowOff>
    </xdr:from>
    <xdr:to>
      <xdr:col>4</xdr:col>
      <xdr:colOff>33130</xdr:colOff>
      <xdr:row>0</xdr:row>
      <xdr:rowOff>368991</xdr:rowOff>
    </xdr:to>
    <xdr:sp macro="[0]!clear_filter" textlink="">
      <xdr:nvSpPr>
        <xdr:cNvPr id="4" name="BaoCaoVH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BCE8042-2998-4A62-B633-2B2105D6E239}"/>
            </a:ext>
          </a:extLst>
        </xdr:cNvPr>
        <xdr:cNvSpPr/>
      </xdr:nvSpPr>
      <xdr:spPr>
        <a:xfrm>
          <a:off x="3992218" y="16566"/>
          <a:ext cx="1358347" cy="352425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BAO CAO</a:t>
          </a:r>
        </a:p>
      </xdr:txBody>
    </xdr:sp>
    <xdr:clientData/>
  </xdr:twoCellAnchor>
  <xdr:twoCellAnchor>
    <xdr:from>
      <xdr:col>3</xdr:col>
      <xdr:colOff>16564</xdr:colOff>
      <xdr:row>0</xdr:row>
      <xdr:rowOff>16566</xdr:rowOff>
    </xdr:from>
    <xdr:to>
      <xdr:col>4</xdr:col>
      <xdr:colOff>24846</xdr:colOff>
      <xdr:row>0</xdr:row>
      <xdr:rowOff>368991</xdr:rowOff>
    </xdr:to>
    <xdr:sp macro="[0]!clear_filter" textlink="">
      <xdr:nvSpPr>
        <xdr:cNvPr id="7" name="BaoCa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3699E8-5C38-4F60-A6CC-410D308F76EA}"/>
            </a:ext>
          </a:extLst>
        </xdr:cNvPr>
        <xdr:cNvSpPr/>
      </xdr:nvSpPr>
      <xdr:spPr>
        <a:xfrm>
          <a:off x="3983934" y="16566"/>
          <a:ext cx="1358347" cy="352425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BAO CAO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4396</xdr:colOff>
      <xdr:row>0</xdr:row>
      <xdr:rowOff>13921</xdr:rowOff>
    </xdr:from>
    <xdr:to>
      <xdr:col>2</xdr:col>
      <xdr:colOff>0</xdr:colOff>
      <xdr:row>1</xdr:row>
      <xdr:rowOff>7327</xdr:rowOff>
    </xdr:to>
    <xdr:sp macro="[0]!clear_filter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02A153-3EA0-4CFC-8134-20D27DC246FC}"/>
            </a:ext>
          </a:extLst>
        </xdr:cNvPr>
        <xdr:cNvSpPr/>
      </xdr:nvSpPr>
      <xdr:spPr>
        <a:xfrm>
          <a:off x="1249973" y="13921"/>
          <a:ext cx="1189892" cy="462329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AN CONTROL</a:t>
          </a:r>
        </a:p>
      </xdr:txBody>
    </xdr:sp>
    <xdr:clientData/>
  </xdr:twoCellAnchor>
  <xdr:twoCellAnchor>
    <xdr:from>
      <xdr:col>2</xdr:col>
      <xdr:colOff>9051</xdr:colOff>
      <xdr:row>0</xdr:row>
      <xdr:rowOff>9524</xdr:rowOff>
    </xdr:from>
    <xdr:to>
      <xdr:col>3</xdr:col>
      <xdr:colOff>16378</xdr:colOff>
      <xdr:row>1</xdr:row>
      <xdr:rowOff>5603</xdr:rowOff>
    </xdr:to>
    <xdr:sp macro="[0]!clear_filter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43D03BD-823C-403B-872B-6FB7DCEE80E8}"/>
            </a:ext>
          </a:extLst>
        </xdr:cNvPr>
        <xdr:cNvSpPr/>
      </xdr:nvSpPr>
      <xdr:spPr>
        <a:xfrm>
          <a:off x="2451933" y="9524"/>
          <a:ext cx="1284798" cy="461123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SERVICES</a:t>
          </a:r>
        </a:p>
      </xdr:txBody>
    </xdr:sp>
    <xdr:clientData/>
  </xdr:twoCellAnchor>
  <xdr:twoCellAnchor>
    <xdr:from>
      <xdr:col>4</xdr:col>
      <xdr:colOff>20414</xdr:colOff>
      <xdr:row>0</xdr:row>
      <xdr:rowOff>0</xdr:rowOff>
    </xdr:from>
    <xdr:to>
      <xdr:col>5</xdr:col>
      <xdr:colOff>7327</xdr:colOff>
      <xdr:row>1</xdr:row>
      <xdr:rowOff>0</xdr:rowOff>
    </xdr:to>
    <xdr:sp macro="[0]!Update_Format" textlink="">
      <xdr:nvSpPr>
        <xdr:cNvPr id="16" name="Rectangle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7EA2DA-1D1E-4C0D-BAE3-E5E650420941}"/>
            </a:ext>
          </a:extLst>
        </xdr:cNvPr>
        <xdr:cNvSpPr/>
      </xdr:nvSpPr>
      <xdr:spPr>
        <a:xfrm>
          <a:off x="5149260" y="0"/>
          <a:ext cx="2053105" cy="68873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CHECK CODE</a:t>
          </a:r>
        </a:p>
      </xdr:txBody>
    </xdr:sp>
    <xdr:clientData/>
  </xdr:twoCellAnchor>
  <xdr:twoCellAnchor>
    <xdr:from>
      <xdr:col>0</xdr:col>
      <xdr:colOff>0</xdr:colOff>
      <xdr:row>0</xdr:row>
      <xdr:rowOff>19050</xdr:rowOff>
    </xdr:from>
    <xdr:to>
      <xdr:col>1</xdr:col>
      <xdr:colOff>9525</xdr:colOff>
      <xdr:row>0</xdr:row>
      <xdr:rowOff>443344</xdr:rowOff>
    </xdr:to>
    <xdr:sp macro="[0]!clear_filter" textlink="">
      <xdr:nvSpPr>
        <xdr:cNvPr id="3" name="Rectangle 2">
          <a:extLst>
            <a:ext uri="{FF2B5EF4-FFF2-40B4-BE49-F238E27FC236}">
              <a16:creationId xmlns:a16="http://schemas.microsoft.com/office/drawing/2014/main" id="{06552E10-0C0C-4E67-B3CD-70D8803D4879}"/>
            </a:ext>
          </a:extLst>
        </xdr:cNvPr>
        <xdr:cNvSpPr/>
      </xdr:nvSpPr>
      <xdr:spPr>
        <a:xfrm>
          <a:off x="0" y="19050"/>
          <a:ext cx="1257300" cy="424294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CLEAR FILTER</a:t>
          </a:r>
        </a:p>
      </xdr:txBody>
    </xdr:sp>
    <xdr:clientData/>
  </xdr:twoCellAnchor>
  <xdr:twoCellAnchor>
    <xdr:from>
      <xdr:col>5</xdr:col>
      <xdr:colOff>19050</xdr:colOff>
      <xdr:row>0</xdr:row>
      <xdr:rowOff>16563</xdr:rowOff>
    </xdr:from>
    <xdr:to>
      <xdr:col>6</xdr:col>
      <xdr:colOff>408</xdr:colOff>
      <xdr:row>1</xdr:row>
      <xdr:rowOff>8282</xdr:rowOff>
    </xdr:to>
    <xdr:sp macro="[0]!Update_Format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87E41E-15A6-4B62-B6E4-DC7E999E7C93}"/>
            </a:ext>
          </a:extLst>
        </xdr:cNvPr>
        <xdr:cNvSpPr/>
      </xdr:nvSpPr>
      <xdr:spPr>
        <a:xfrm>
          <a:off x="6067425" y="16563"/>
          <a:ext cx="1362483" cy="43939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ITEM</a:t>
          </a:r>
        </a:p>
      </xdr:txBody>
    </xdr:sp>
    <xdr:clientData/>
  </xdr:twoCellAnchor>
  <xdr:twoCellAnchor>
    <xdr:from>
      <xdr:col>1</xdr:col>
      <xdr:colOff>1</xdr:colOff>
      <xdr:row>0</xdr:row>
      <xdr:rowOff>16566</xdr:rowOff>
    </xdr:from>
    <xdr:to>
      <xdr:col>2</xdr:col>
      <xdr:colOff>8284</xdr:colOff>
      <xdr:row>1</xdr:row>
      <xdr:rowOff>8282</xdr:rowOff>
    </xdr:to>
    <xdr:sp macro="[0]!clear_filter" textlink="">
      <xdr:nvSpPr>
        <xdr:cNvPr id="5" name="Rectangl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2EF21F-1826-4055-BE7C-BD0C3FF93849}"/>
            </a:ext>
          </a:extLst>
        </xdr:cNvPr>
        <xdr:cNvSpPr/>
      </xdr:nvSpPr>
      <xdr:spPr>
        <a:xfrm>
          <a:off x="1333501" y="16566"/>
          <a:ext cx="1170333" cy="410816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AN CONTROL</a:t>
          </a:r>
        </a:p>
      </xdr:txBody>
    </xdr:sp>
    <xdr:clientData/>
  </xdr:twoCellAnchor>
  <xdr:twoCellAnchor>
    <xdr:from>
      <xdr:col>2</xdr:col>
      <xdr:colOff>24848</xdr:colOff>
      <xdr:row>0</xdr:row>
      <xdr:rowOff>16566</xdr:rowOff>
    </xdr:from>
    <xdr:to>
      <xdr:col>3</xdr:col>
      <xdr:colOff>16565</xdr:colOff>
      <xdr:row>1</xdr:row>
      <xdr:rowOff>16565</xdr:rowOff>
    </xdr:to>
    <xdr:sp macro="[0]!clear_filter" textlink="">
      <xdr:nvSpPr>
        <xdr:cNvPr id="6" name="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799C3CC-5B09-4413-AED1-2AEC8D25C6D6}"/>
            </a:ext>
          </a:extLst>
        </xdr:cNvPr>
        <xdr:cNvSpPr/>
      </xdr:nvSpPr>
      <xdr:spPr>
        <a:xfrm>
          <a:off x="2520398" y="16566"/>
          <a:ext cx="1382367" cy="419099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SERVICES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1324840</xdr:colOff>
      <xdr:row>1</xdr:row>
      <xdr:rowOff>8658</xdr:rowOff>
    </xdr:to>
    <xdr:sp macro="[0]!clear_filter" textlink="">
      <xdr:nvSpPr>
        <xdr:cNvPr id="9" name="Rectangle 8">
          <a:extLst>
            <a:ext uri="{FF2B5EF4-FFF2-40B4-BE49-F238E27FC236}">
              <a16:creationId xmlns:a16="http://schemas.microsoft.com/office/drawing/2014/main" id="{99988518-0A82-43BA-8679-B228B07E1E2F}"/>
            </a:ext>
          </a:extLst>
        </xdr:cNvPr>
        <xdr:cNvSpPr/>
      </xdr:nvSpPr>
      <xdr:spPr>
        <a:xfrm>
          <a:off x="0" y="0"/>
          <a:ext cx="1324840" cy="427758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CLEAR FILTER</a:t>
          </a:r>
        </a:p>
      </xdr:txBody>
    </xdr:sp>
    <xdr:clientData/>
  </xdr:twoCellAnchor>
  <xdr:twoCellAnchor>
    <xdr:from>
      <xdr:col>3</xdr:col>
      <xdr:colOff>28575</xdr:colOff>
      <xdr:row>0</xdr:row>
      <xdr:rowOff>19050</xdr:rowOff>
    </xdr:from>
    <xdr:to>
      <xdr:col>4</xdr:col>
      <xdr:colOff>8792</xdr:colOff>
      <xdr:row>1</xdr:row>
      <xdr:rowOff>19050</xdr:rowOff>
    </xdr:to>
    <xdr:sp macro="[0]!clear_filter" textlink="">
      <xdr:nvSpPr>
        <xdr:cNvPr id="2" name="BaoCaoAT" hidden="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64F1A7-AB1B-46BE-AAC3-DD1FBB264255}"/>
            </a:ext>
          </a:extLst>
        </xdr:cNvPr>
        <xdr:cNvSpPr/>
      </xdr:nvSpPr>
      <xdr:spPr>
        <a:xfrm>
          <a:off x="3914775" y="19050"/>
          <a:ext cx="1256567" cy="342900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BAO CAO</a:t>
          </a:r>
        </a:p>
      </xdr:txBody>
    </xdr:sp>
    <xdr:clientData/>
  </xdr:twoCellAnchor>
  <xdr:twoCellAnchor>
    <xdr:from>
      <xdr:col>3</xdr:col>
      <xdr:colOff>28575</xdr:colOff>
      <xdr:row>0</xdr:row>
      <xdr:rowOff>9525</xdr:rowOff>
    </xdr:from>
    <xdr:to>
      <xdr:col>4</xdr:col>
      <xdr:colOff>8792</xdr:colOff>
      <xdr:row>1</xdr:row>
      <xdr:rowOff>9525</xdr:rowOff>
    </xdr:to>
    <xdr:sp macro="[0]!clear_filter" textlink="">
      <xdr:nvSpPr>
        <xdr:cNvPr id="10" name="BaoCaoVH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504BEA7-4457-4C4E-B2B2-C6FBB865437D}"/>
            </a:ext>
          </a:extLst>
        </xdr:cNvPr>
        <xdr:cNvSpPr/>
      </xdr:nvSpPr>
      <xdr:spPr>
        <a:xfrm>
          <a:off x="3914775" y="9525"/>
          <a:ext cx="1256567" cy="342900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BAO CAO</a:t>
          </a:r>
        </a:p>
      </xdr:txBody>
    </xdr:sp>
    <xdr:clientData/>
  </xdr:twoCellAnchor>
  <xdr:twoCellAnchor>
    <xdr:from>
      <xdr:col>3</xdr:col>
      <xdr:colOff>28575</xdr:colOff>
      <xdr:row>0</xdr:row>
      <xdr:rowOff>9525</xdr:rowOff>
    </xdr:from>
    <xdr:to>
      <xdr:col>4</xdr:col>
      <xdr:colOff>8792</xdr:colOff>
      <xdr:row>1</xdr:row>
      <xdr:rowOff>9525</xdr:rowOff>
    </xdr:to>
    <xdr:sp macro="[0]!clear_filter" textlink="">
      <xdr:nvSpPr>
        <xdr:cNvPr id="11" name="BaoCao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D74EF85-3AEB-4C2A-95F3-AABA3B8D734A}"/>
            </a:ext>
          </a:extLst>
        </xdr:cNvPr>
        <xdr:cNvSpPr/>
      </xdr:nvSpPr>
      <xdr:spPr>
        <a:xfrm>
          <a:off x="3914775" y="9525"/>
          <a:ext cx="1256567" cy="342900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BAO CAO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24848</xdr:colOff>
      <xdr:row>0</xdr:row>
      <xdr:rowOff>20293</xdr:rowOff>
    </xdr:from>
    <xdr:to>
      <xdr:col>3</xdr:col>
      <xdr:colOff>8281</xdr:colOff>
      <xdr:row>1</xdr:row>
      <xdr:rowOff>16566</xdr:rowOff>
    </xdr:to>
    <xdr:sp macro="[0]!ADD_NEW" textlink="">
      <xdr:nvSpPr>
        <xdr:cNvPr id="2" name="Rectangle 1">
          <a:extLst>
            <a:ext uri="{FF2B5EF4-FFF2-40B4-BE49-F238E27FC236}">
              <a16:creationId xmlns:a16="http://schemas.microsoft.com/office/drawing/2014/main" id="{AA7786BD-DD4F-4246-8A32-F4B306FF637D}"/>
            </a:ext>
          </a:extLst>
        </xdr:cNvPr>
        <xdr:cNvSpPr/>
      </xdr:nvSpPr>
      <xdr:spPr>
        <a:xfrm>
          <a:off x="2377109" y="20293"/>
          <a:ext cx="1010476" cy="393838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ADD NEW</a:t>
          </a:r>
        </a:p>
      </xdr:txBody>
    </xdr:sp>
    <xdr:clientData/>
  </xdr:twoCellAnchor>
  <xdr:twoCellAnchor>
    <xdr:from>
      <xdr:col>9</xdr:col>
      <xdr:colOff>16567</xdr:colOff>
      <xdr:row>0</xdr:row>
      <xdr:rowOff>16564</xdr:rowOff>
    </xdr:from>
    <xdr:to>
      <xdr:col>10</xdr:col>
      <xdr:colOff>1</xdr:colOff>
      <xdr:row>1</xdr:row>
      <xdr:rowOff>2484</xdr:rowOff>
    </xdr:to>
    <xdr:sp macro="[0]!Update_Format" textlink="">
      <xdr:nvSpPr>
        <xdr:cNvPr id="3" name="Rectangle 2">
          <a:extLst>
            <a:ext uri="{FF2B5EF4-FFF2-40B4-BE49-F238E27FC236}">
              <a16:creationId xmlns:a16="http://schemas.microsoft.com/office/drawing/2014/main" id="{2C7FCDC3-948C-46A3-9242-4F498A6CDB45}"/>
            </a:ext>
          </a:extLst>
        </xdr:cNvPr>
        <xdr:cNvSpPr/>
      </xdr:nvSpPr>
      <xdr:spPr>
        <a:xfrm>
          <a:off x="9467024" y="16564"/>
          <a:ext cx="1002194" cy="383485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UPDATE FORMAT</a:t>
          </a:r>
        </a:p>
      </xdr:txBody>
    </xdr:sp>
    <xdr:clientData/>
  </xdr:twoCellAnchor>
  <xdr:twoCellAnchor>
    <xdr:from>
      <xdr:col>10</xdr:col>
      <xdr:colOff>24847</xdr:colOff>
      <xdr:row>0</xdr:row>
      <xdr:rowOff>19878</xdr:rowOff>
    </xdr:from>
    <xdr:to>
      <xdr:col>11</xdr:col>
      <xdr:colOff>8282</xdr:colOff>
      <xdr:row>1</xdr:row>
      <xdr:rowOff>6568</xdr:rowOff>
    </xdr:to>
    <xdr:sp macro="[0]!Clear_Content" textlink="">
      <xdr:nvSpPr>
        <xdr:cNvPr id="4" name="Rectangle 3">
          <a:extLst>
            <a:ext uri="{FF2B5EF4-FFF2-40B4-BE49-F238E27FC236}">
              <a16:creationId xmlns:a16="http://schemas.microsoft.com/office/drawing/2014/main" id="{EB3A2714-6B2F-4C4F-B22E-962F2FC9270C}"/>
            </a:ext>
          </a:extLst>
        </xdr:cNvPr>
        <xdr:cNvSpPr/>
      </xdr:nvSpPr>
      <xdr:spPr>
        <a:xfrm>
          <a:off x="10535192" y="19878"/>
          <a:ext cx="1461452" cy="387397"/>
        </a:xfrm>
        <a:prstGeom prst="rec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CLEAR CONTENT</a:t>
          </a:r>
        </a:p>
      </xdr:txBody>
    </xdr:sp>
    <xdr:clientData/>
  </xdr:twoCellAnchor>
  <xdr:twoCellAnchor>
    <xdr:from>
      <xdr:col>11</xdr:col>
      <xdr:colOff>5383</xdr:colOff>
      <xdr:row>0</xdr:row>
      <xdr:rowOff>17808</xdr:rowOff>
    </xdr:from>
    <xdr:to>
      <xdr:col>13</xdr:col>
      <xdr:colOff>16565</xdr:colOff>
      <xdr:row>1</xdr:row>
      <xdr:rowOff>19707</xdr:rowOff>
    </xdr:to>
    <xdr:sp macro="[4]!Update_Format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C198B9-764A-4AFD-A4B0-211B4DC91B74}"/>
            </a:ext>
          </a:extLst>
        </xdr:cNvPr>
        <xdr:cNvSpPr/>
      </xdr:nvSpPr>
      <xdr:spPr>
        <a:xfrm>
          <a:off x="11993745" y="17808"/>
          <a:ext cx="1154182" cy="402606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OL</a:t>
          </a:r>
          <a:r>
            <a:rPr lang="en-US" sz="1100" b="1" baseline="0">
              <a:solidFill>
                <a:schemeClr val="bg1"/>
              </a:solidFill>
            </a:rPr>
            <a:t> DAILY</a:t>
          </a:r>
        </a:p>
      </xdr:txBody>
    </xdr:sp>
    <xdr:clientData/>
  </xdr:twoCellAnchor>
  <xdr:twoCellAnchor>
    <xdr:from>
      <xdr:col>13</xdr:col>
      <xdr:colOff>34627</xdr:colOff>
      <xdr:row>0</xdr:row>
      <xdr:rowOff>19050</xdr:rowOff>
    </xdr:from>
    <xdr:to>
      <xdr:col>14</xdr:col>
      <xdr:colOff>7328</xdr:colOff>
      <xdr:row>1</xdr:row>
      <xdr:rowOff>19707</xdr:rowOff>
    </xdr:to>
    <xdr:sp macro="[4]!Update_Format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A89229-AD66-4841-AE3A-7FE168AF3D8E}"/>
            </a:ext>
          </a:extLst>
        </xdr:cNvPr>
        <xdr:cNvSpPr/>
      </xdr:nvSpPr>
      <xdr:spPr>
        <a:xfrm>
          <a:off x="13165989" y="19050"/>
          <a:ext cx="754408" cy="401364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AN</a:t>
          </a:r>
          <a:r>
            <a:rPr lang="en-US" sz="1000" b="1" baseline="0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14</xdr:col>
      <xdr:colOff>31218</xdr:colOff>
      <xdr:row>0</xdr:row>
      <xdr:rowOff>12680</xdr:rowOff>
    </xdr:from>
    <xdr:to>
      <xdr:col>17</xdr:col>
      <xdr:colOff>7327</xdr:colOff>
      <xdr:row>1</xdr:row>
      <xdr:rowOff>16492</xdr:rowOff>
    </xdr:to>
    <xdr:sp macro="[4]!Update_Format" textlink="">
      <xdr:nvSpPr>
        <xdr:cNvPr id="7" name="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D23D4DB-5743-4CCA-983C-478F727C7938}"/>
            </a:ext>
          </a:extLst>
        </xdr:cNvPr>
        <xdr:cNvSpPr/>
      </xdr:nvSpPr>
      <xdr:spPr>
        <a:xfrm>
          <a:off x="13944287" y="12680"/>
          <a:ext cx="908902" cy="404519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SL </a:t>
          </a:r>
          <a:endParaRPr lang="en-US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18604</xdr:colOff>
      <xdr:row>0</xdr:row>
      <xdr:rowOff>10478</xdr:rowOff>
    </xdr:from>
    <xdr:to>
      <xdr:col>26</xdr:col>
      <xdr:colOff>7326</xdr:colOff>
      <xdr:row>1</xdr:row>
      <xdr:rowOff>21392</xdr:rowOff>
    </xdr:to>
    <xdr:sp macro="[4]!Update_Format" textlink="">
      <xdr:nvSpPr>
        <xdr:cNvPr id="8" name="Rectangl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FA98D50-0B0E-4ED9-8FF4-E7A00D42D101}"/>
            </a:ext>
          </a:extLst>
        </xdr:cNvPr>
        <xdr:cNvSpPr/>
      </xdr:nvSpPr>
      <xdr:spPr>
        <a:xfrm>
          <a:off x="15915501" y="10478"/>
          <a:ext cx="993773" cy="411621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CONTROL</a:t>
          </a:r>
          <a:endParaRPr lang="en-US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27333</xdr:colOff>
      <xdr:row>0</xdr:row>
      <xdr:rowOff>0</xdr:rowOff>
    </xdr:from>
    <xdr:to>
      <xdr:col>20</xdr:col>
      <xdr:colOff>0</xdr:colOff>
      <xdr:row>1</xdr:row>
      <xdr:rowOff>32137</xdr:rowOff>
    </xdr:to>
    <xdr:sp macro="[4]!Update_Format" textlink="">
      <xdr:nvSpPr>
        <xdr:cNvPr id="9" name="Rectangl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8078AF-9DB7-4BAF-B343-F034B44F7052}"/>
            </a:ext>
          </a:extLst>
        </xdr:cNvPr>
        <xdr:cNvSpPr/>
      </xdr:nvSpPr>
      <xdr:spPr>
        <a:xfrm>
          <a:off x="14873195" y="0"/>
          <a:ext cx="1023702" cy="432844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RG TEAM</a:t>
          </a:r>
          <a:endParaRPr lang="en-US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24847</xdr:colOff>
      <xdr:row>0</xdr:row>
      <xdr:rowOff>16564</xdr:rowOff>
    </xdr:from>
    <xdr:to>
      <xdr:col>4</xdr:col>
      <xdr:colOff>16565</xdr:colOff>
      <xdr:row>1</xdr:row>
      <xdr:rowOff>5953</xdr:rowOff>
    </xdr:to>
    <xdr:sp macro="[0]!Update_Format" textlink="">
      <xdr:nvSpPr>
        <xdr:cNvPr id="10" name="Rectangl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78C405-0F25-4267-989A-044428FBAFFF}"/>
            </a:ext>
          </a:extLst>
        </xdr:cNvPr>
        <xdr:cNvSpPr/>
      </xdr:nvSpPr>
      <xdr:spPr>
        <a:xfrm>
          <a:off x="3406222" y="16564"/>
          <a:ext cx="1152577" cy="388248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LDCS</a:t>
          </a:r>
        </a:p>
      </xdr:txBody>
    </xdr:sp>
    <xdr:clientData/>
  </xdr:twoCellAnchor>
  <xdr:twoCellAnchor>
    <xdr:from>
      <xdr:col>4</xdr:col>
      <xdr:colOff>36857</xdr:colOff>
      <xdr:row>0</xdr:row>
      <xdr:rowOff>16564</xdr:rowOff>
    </xdr:from>
    <xdr:to>
      <xdr:col>5</xdr:col>
      <xdr:colOff>8284</xdr:colOff>
      <xdr:row>1</xdr:row>
      <xdr:rowOff>13138</xdr:rowOff>
    </xdr:to>
    <xdr:sp macro="[0]!Update_Format" textlink="">
      <xdr:nvSpPr>
        <xdr:cNvPr id="11" name="Rectangl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1DEEA79-802A-499F-B8C9-D80CAAE933A0}"/>
            </a:ext>
          </a:extLst>
        </xdr:cNvPr>
        <xdr:cNvSpPr/>
      </xdr:nvSpPr>
      <xdr:spPr>
        <a:xfrm>
          <a:off x="4582581" y="16564"/>
          <a:ext cx="877944" cy="436695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FORM 2023</a:t>
          </a:r>
        </a:p>
      </xdr:txBody>
    </xdr:sp>
    <xdr:clientData/>
  </xdr:twoCellAnchor>
  <xdr:twoCellAnchor>
    <xdr:from>
      <xdr:col>5</xdr:col>
      <xdr:colOff>33132</xdr:colOff>
      <xdr:row>0</xdr:row>
      <xdr:rowOff>16565</xdr:rowOff>
    </xdr:from>
    <xdr:to>
      <xdr:col>6</xdr:col>
      <xdr:colOff>8284</xdr:colOff>
      <xdr:row>1</xdr:row>
      <xdr:rowOff>11907</xdr:rowOff>
    </xdr:to>
    <xdr:sp macro="[0]!clear_filter" textlink="">
      <xdr:nvSpPr>
        <xdr:cNvPr id="17" name="Rectangle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FF0019-759E-4EFD-BDE0-751F610CE88E}"/>
            </a:ext>
          </a:extLst>
        </xdr:cNvPr>
        <xdr:cNvSpPr/>
      </xdr:nvSpPr>
      <xdr:spPr>
        <a:xfrm>
          <a:off x="5480241" y="16565"/>
          <a:ext cx="1034809" cy="394201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AN CONTROL</a:t>
          </a:r>
        </a:p>
      </xdr:txBody>
    </xdr:sp>
    <xdr:clientData/>
  </xdr:twoCellAnchor>
  <xdr:twoCellAnchor>
    <xdr:from>
      <xdr:col>6</xdr:col>
      <xdr:colOff>24847</xdr:colOff>
      <xdr:row>0</xdr:row>
      <xdr:rowOff>16563</xdr:rowOff>
    </xdr:from>
    <xdr:to>
      <xdr:col>7</xdr:col>
      <xdr:colOff>0</xdr:colOff>
      <xdr:row>1</xdr:row>
      <xdr:rowOff>13138</xdr:rowOff>
    </xdr:to>
    <xdr:sp macro="[0]!clear_filter" textlink="">
      <xdr:nvSpPr>
        <xdr:cNvPr id="18" name="Rectangle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CD878D7-2C47-4D73-A67D-952CADA867A7}"/>
            </a:ext>
          </a:extLst>
        </xdr:cNvPr>
        <xdr:cNvSpPr/>
      </xdr:nvSpPr>
      <xdr:spPr>
        <a:xfrm>
          <a:off x="6534692" y="16563"/>
          <a:ext cx="934222" cy="436696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SL CONTROL</a:t>
          </a:r>
        </a:p>
      </xdr:txBody>
    </xdr:sp>
    <xdr:clientData/>
  </xdr:twoCellAnchor>
  <xdr:twoCellAnchor>
    <xdr:from>
      <xdr:col>1</xdr:col>
      <xdr:colOff>24848</xdr:colOff>
      <xdr:row>0</xdr:row>
      <xdr:rowOff>8280</xdr:rowOff>
    </xdr:from>
    <xdr:to>
      <xdr:col>2</xdr:col>
      <xdr:colOff>16564</xdr:colOff>
      <xdr:row>1</xdr:row>
      <xdr:rowOff>16564</xdr:rowOff>
    </xdr:to>
    <xdr:sp macro="[0]!UpdateResult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429EC47D-001D-4E87-A326-9D92C87F8135}"/>
            </a:ext>
          </a:extLst>
        </xdr:cNvPr>
        <xdr:cNvSpPr/>
      </xdr:nvSpPr>
      <xdr:spPr>
        <a:xfrm>
          <a:off x="1101587" y="8280"/>
          <a:ext cx="1267238" cy="405849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UPDATE</a:t>
          </a:r>
        </a:p>
      </xdr:txBody>
    </xdr:sp>
    <xdr:clientData/>
  </xdr:twoCellAnchor>
  <xdr:twoCellAnchor>
    <xdr:from>
      <xdr:col>7</xdr:col>
      <xdr:colOff>11936</xdr:colOff>
      <xdr:row>0</xdr:row>
      <xdr:rowOff>16565</xdr:rowOff>
    </xdr:from>
    <xdr:to>
      <xdr:col>8</xdr:col>
      <xdr:colOff>24848</xdr:colOff>
      <xdr:row>1</xdr:row>
      <xdr:rowOff>11907</xdr:rowOff>
    </xdr:to>
    <xdr:sp macro="[0]!Update_Format" textlink="">
      <xdr:nvSpPr>
        <xdr:cNvPr id="20" name="Rectangle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AE45FAC-0AF0-4792-803D-631BC0F3F78D}"/>
            </a:ext>
          </a:extLst>
        </xdr:cNvPr>
        <xdr:cNvSpPr/>
      </xdr:nvSpPr>
      <xdr:spPr>
        <a:xfrm>
          <a:off x="7483108" y="16565"/>
          <a:ext cx="1096381" cy="39420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CHECK CODE</a:t>
          </a:r>
        </a:p>
      </xdr:txBody>
    </xdr:sp>
    <xdr:clientData/>
  </xdr:twoCellAnchor>
  <xdr:twoCellAnchor>
    <xdr:from>
      <xdr:col>8</xdr:col>
      <xdr:colOff>8283</xdr:colOff>
      <xdr:row>0</xdr:row>
      <xdr:rowOff>8283</xdr:rowOff>
    </xdr:from>
    <xdr:to>
      <xdr:col>9</xdr:col>
      <xdr:colOff>8282</xdr:colOff>
      <xdr:row>2</xdr:row>
      <xdr:rowOff>0</xdr:rowOff>
    </xdr:to>
    <xdr:sp macro="[0]!Update_Format" textlink="">
      <xdr:nvSpPr>
        <xdr:cNvPr id="12" name="Rectangl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584885D-BCCB-44C6-8A0C-48579080124C}"/>
            </a:ext>
          </a:extLst>
        </xdr:cNvPr>
        <xdr:cNvSpPr/>
      </xdr:nvSpPr>
      <xdr:spPr>
        <a:xfrm>
          <a:off x="8555935" y="8283"/>
          <a:ext cx="902804" cy="59634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Item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24848</xdr:colOff>
      <xdr:row>0</xdr:row>
      <xdr:rowOff>20293</xdr:rowOff>
    </xdr:from>
    <xdr:to>
      <xdr:col>3</xdr:col>
      <xdr:colOff>8281</xdr:colOff>
      <xdr:row>1</xdr:row>
      <xdr:rowOff>16566</xdr:rowOff>
    </xdr:to>
    <xdr:sp macro="[0]!ADD_NEW_AT" textlink="">
      <xdr:nvSpPr>
        <xdr:cNvPr id="2" name="Rectangle 1">
          <a:extLst>
            <a:ext uri="{FF2B5EF4-FFF2-40B4-BE49-F238E27FC236}">
              <a16:creationId xmlns:a16="http://schemas.microsoft.com/office/drawing/2014/main" id="{2833EA50-4554-4BBC-B2B5-EF75EC333DCB}"/>
            </a:ext>
          </a:extLst>
        </xdr:cNvPr>
        <xdr:cNvSpPr/>
      </xdr:nvSpPr>
      <xdr:spPr>
        <a:xfrm>
          <a:off x="2596598" y="20293"/>
          <a:ext cx="1307408" cy="377273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ADD NEW</a:t>
          </a:r>
        </a:p>
      </xdr:txBody>
    </xdr:sp>
    <xdr:clientData/>
  </xdr:twoCellAnchor>
  <xdr:twoCellAnchor>
    <xdr:from>
      <xdr:col>9</xdr:col>
      <xdr:colOff>16567</xdr:colOff>
      <xdr:row>0</xdr:row>
      <xdr:rowOff>16564</xdr:rowOff>
    </xdr:from>
    <xdr:to>
      <xdr:col>10</xdr:col>
      <xdr:colOff>1</xdr:colOff>
      <xdr:row>1</xdr:row>
      <xdr:rowOff>2484</xdr:rowOff>
    </xdr:to>
    <xdr:sp macro="[0]!Update_Format" textlink="">
      <xdr:nvSpPr>
        <xdr:cNvPr id="3" name="Rectangle 2">
          <a:extLst>
            <a:ext uri="{FF2B5EF4-FFF2-40B4-BE49-F238E27FC236}">
              <a16:creationId xmlns:a16="http://schemas.microsoft.com/office/drawing/2014/main" id="{5DE7B286-F37C-4F0E-A01B-60DD340F3539}"/>
            </a:ext>
          </a:extLst>
        </xdr:cNvPr>
        <xdr:cNvSpPr/>
      </xdr:nvSpPr>
      <xdr:spPr>
        <a:xfrm>
          <a:off x="10065442" y="16564"/>
          <a:ext cx="1259784" cy="366920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UPDATE FORMAT</a:t>
          </a:r>
        </a:p>
      </xdr:txBody>
    </xdr:sp>
    <xdr:clientData/>
  </xdr:twoCellAnchor>
  <xdr:twoCellAnchor>
    <xdr:from>
      <xdr:col>10</xdr:col>
      <xdr:colOff>24847</xdr:colOff>
      <xdr:row>0</xdr:row>
      <xdr:rowOff>19878</xdr:rowOff>
    </xdr:from>
    <xdr:to>
      <xdr:col>11</xdr:col>
      <xdr:colOff>8282</xdr:colOff>
      <xdr:row>1</xdr:row>
      <xdr:rowOff>6568</xdr:rowOff>
    </xdr:to>
    <xdr:sp macro="[0]!Clear_Content" textlink="">
      <xdr:nvSpPr>
        <xdr:cNvPr id="4" name="Rectangle 3">
          <a:extLst>
            <a:ext uri="{FF2B5EF4-FFF2-40B4-BE49-F238E27FC236}">
              <a16:creationId xmlns:a16="http://schemas.microsoft.com/office/drawing/2014/main" id="{AF792EE0-A7D8-44C9-A304-BF220069B1C2}"/>
            </a:ext>
          </a:extLst>
        </xdr:cNvPr>
        <xdr:cNvSpPr/>
      </xdr:nvSpPr>
      <xdr:spPr>
        <a:xfrm>
          <a:off x="11350072" y="19878"/>
          <a:ext cx="840685" cy="367690"/>
        </a:xfrm>
        <a:prstGeom prst="rec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CLEAR CONTENT</a:t>
          </a:r>
        </a:p>
      </xdr:txBody>
    </xdr:sp>
    <xdr:clientData/>
  </xdr:twoCellAnchor>
  <xdr:twoCellAnchor>
    <xdr:from>
      <xdr:col>11</xdr:col>
      <xdr:colOff>5383</xdr:colOff>
      <xdr:row>0</xdr:row>
      <xdr:rowOff>17808</xdr:rowOff>
    </xdr:from>
    <xdr:to>
      <xdr:col>13</xdr:col>
      <xdr:colOff>16565</xdr:colOff>
      <xdr:row>1</xdr:row>
      <xdr:rowOff>19707</xdr:rowOff>
    </xdr:to>
    <xdr:sp macro="[4]!Update_Format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B462E3-42F0-4F6B-9542-D4D38F66EB55}"/>
            </a:ext>
          </a:extLst>
        </xdr:cNvPr>
        <xdr:cNvSpPr/>
      </xdr:nvSpPr>
      <xdr:spPr>
        <a:xfrm>
          <a:off x="12187858" y="17808"/>
          <a:ext cx="1154182" cy="382899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OL</a:t>
          </a:r>
          <a:r>
            <a:rPr lang="en-US" sz="1100" b="1" baseline="0">
              <a:solidFill>
                <a:schemeClr val="bg1"/>
              </a:solidFill>
            </a:rPr>
            <a:t> DAILY</a:t>
          </a:r>
        </a:p>
      </xdr:txBody>
    </xdr:sp>
    <xdr:clientData/>
  </xdr:twoCellAnchor>
  <xdr:twoCellAnchor>
    <xdr:from>
      <xdr:col>13</xdr:col>
      <xdr:colOff>34627</xdr:colOff>
      <xdr:row>0</xdr:row>
      <xdr:rowOff>19050</xdr:rowOff>
    </xdr:from>
    <xdr:to>
      <xdr:col>14</xdr:col>
      <xdr:colOff>7328</xdr:colOff>
      <xdr:row>1</xdr:row>
      <xdr:rowOff>19707</xdr:rowOff>
    </xdr:to>
    <xdr:sp macro="[4]!Update_Format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949174-5547-4325-B027-1E250B0540F4}"/>
            </a:ext>
          </a:extLst>
        </xdr:cNvPr>
        <xdr:cNvSpPr/>
      </xdr:nvSpPr>
      <xdr:spPr>
        <a:xfrm>
          <a:off x="13360102" y="19050"/>
          <a:ext cx="934726" cy="381657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AN</a:t>
          </a:r>
          <a:r>
            <a:rPr lang="en-US" sz="1000" b="1" baseline="0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14</xdr:col>
      <xdr:colOff>31218</xdr:colOff>
      <xdr:row>0</xdr:row>
      <xdr:rowOff>12680</xdr:rowOff>
    </xdr:from>
    <xdr:to>
      <xdr:col>17</xdr:col>
      <xdr:colOff>7327</xdr:colOff>
      <xdr:row>1</xdr:row>
      <xdr:rowOff>16492</xdr:rowOff>
    </xdr:to>
    <xdr:sp macro="[4]!Update_Format" textlink="">
      <xdr:nvSpPr>
        <xdr:cNvPr id="7" name="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5C64498-603B-47B6-80C0-A35ABF1DD6B9}"/>
            </a:ext>
          </a:extLst>
        </xdr:cNvPr>
        <xdr:cNvSpPr/>
      </xdr:nvSpPr>
      <xdr:spPr>
        <a:xfrm>
          <a:off x="14318718" y="12680"/>
          <a:ext cx="909559" cy="384812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SL </a:t>
          </a:r>
          <a:endParaRPr lang="en-US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18604</xdr:colOff>
      <xdr:row>0</xdr:row>
      <xdr:rowOff>10478</xdr:rowOff>
    </xdr:from>
    <xdr:to>
      <xdr:col>26</xdr:col>
      <xdr:colOff>7326</xdr:colOff>
      <xdr:row>1</xdr:row>
      <xdr:rowOff>21392</xdr:rowOff>
    </xdr:to>
    <xdr:sp macro="[4]!Update_Format" textlink="">
      <xdr:nvSpPr>
        <xdr:cNvPr id="8" name="Rectangl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01ADBE-85AA-4BB4-9921-3356D8A50F27}"/>
            </a:ext>
          </a:extLst>
        </xdr:cNvPr>
        <xdr:cNvSpPr/>
      </xdr:nvSpPr>
      <xdr:spPr>
        <a:xfrm>
          <a:off x="16287304" y="10478"/>
          <a:ext cx="979322" cy="391914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CONTROL</a:t>
          </a:r>
          <a:endParaRPr lang="en-US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27333</xdr:colOff>
      <xdr:row>0</xdr:row>
      <xdr:rowOff>0</xdr:rowOff>
    </xdr:from>
    <xdr:to>
      <xdr:col>20</xdr:col>
      <xdr:colOff>0</xdr:colOff>
      <xdr:row>1</xdr:row>
      <xdr:rowOff>32137</xdr:rowOff>
    </xdr:to>
    <xdr:sp macro="[4]!Update_Format" textlink="">
      <xdr:nvSpPr>
        <xdr:cNvPr id="9" name="Rectangl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8D1CB8-3E89-4CFD-9851-8212A77B6CA4}"/>
            </a:ext>
          </a:extLst>
        </xdr:cNvPr>
        <xdr:cNvSpPr/>
      </xdr:nvSpPr>
      <xdr:spPr>
        <a:xfrm>
          <a:off x="15248283" y="0"/>
          <a:ext cx="1020417" cy="413137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RG TEAM</a:t>
          </a:r>
          <a:endParaRPr lang="en-US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24847</xdr:colOff>
      <xdr:row>0</xdr:row>
      <xdr:rowOff>16564</xdr:rowOff>
    </xdr:from>
    <xdr:to>
      <xdr:col>4</xdr:col>
      <xdr:colOff>16565</xdr:colOff>
      <xdr:row>1</xdr:row>
      <xdr:rowOff>5953</xdr:rowOff>
    </xdr:to>
    <xdr:sp macro="[0]!Update_Format" textlink="">
      <xdr:nvSpPr>
        <xdr:cNvPr id="10" name="Rectangl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613D97-091A-411D-B6C7-314165AF6092}"/>
            </a:ext>
          </a:extLst>
        </xdr:cNvPr>
        <xdr:cNvSpPr/>
      </xdr:nvSpPr>
      <xdr:spPr>
        <a:xfrm>
          <a:off x="3920572" y="16564"/>
          <a:ext cx="1229968" cy="370389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LDCS</a:t>
          </a:r>
        </a:p>
      </xdr:txBody>
    </xdr:sp>
    <xdr:clientData/>
  </xdr:twoCellAnchor>
  <xdr:twoCellAnchor>
    <xdr:from>
      <xdr:col>4</xdr:col>
      <xdr:colOff>36857</xdr:colOff>
      <xdr:row>0</xdr:row>
      <xdr:rowOff>16564</xdr:rowOff>
    </xdr:from>
    <xdr:to>
      <xdr:col>5</xdr:col>
      <xdr:colOff>8284</xdr:colOff>
      <xdr:row>1</xdr:row>
      <xdr:rowOff>13138</xdr:rowOff>
    </xdr:to>
    <xdr:sp macro="[0]!Update_Format" textlink="">
      <xdr:nvSpPr>
        <xdr:cNvPr id="11" name="Rectangl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00773CC-D45A-47AE-B36C-C9A872F1DD23}"/>
            </a:ext>
          </a:extLst>
        </xdr:cNvPr>
        <xdr:cNvSpPr/>
      </xdr:nvSpPr>
      <xdr:spPr>
        <a:xfrm>
          <a:off x="5170832" y="16564"/>
          <a:ext cx="876302" cy="377574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FORM 2023</a:t>
          </a:r>
        </a:p>
      </xdr:txBody>
    </xdr:sp>
    <xdr:clientData/>
  </xdr:twoCellAnchor>
  <xdr:twoCellAnchor>
    <xdr:from>
      <xdr:col>5</xdr:col>
      <xdr:colOff>33132</xdr:colOff>
      <xdr:row>0</xdr:row>
      <xdr:rowOff>16565</xdr:rowOff>
    </xdr:from>
    <xdr:to>
      <xdr:col>6</xdr:col>
      <xdr:colOff>8284</xdr:colOff>
      <xdr:row>1</xdr:row>
      <xdr:rowOff>11907</xdr:rowOff>
    </xdr:to>
    <xdr:sp macro="[0]!clear_filter" textlink="">
      <xdr:nvSpPr>
        <xdr:cNvPr id="12" name="Rectangle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A80C839-4CD1-445E-99BE-22BC695EF273}"/>
            </a:ext>
          </a:extLst>
        </xdr:cNvPr>
        <xdr:cNvSpPr/>
      </xdr:nvSpPr>
      <xdr:spPr>
        <a:xfrm>
          <a:off x="6071982" y="16565"/>
          <a:ext cx="1032427" cy="376342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AN CONTROL</a:t>
          </a:r>
        </a:p>
      </xdr:txBody>
    </xdr:sp>
    <xdr:clientData/>
  </xdr:twoCellAnchor>
  <xdr:twoCellAnchor>
    <xdr:from>
      <xdr:col>6</xdr:col>
      <xdr:colOff>24847</xdr:colOff>
      <xdr:row>0</xdr:row>
      <xdr:rowOff>16563</xdr:rowOff>
    </xdr:from>
    <xdr:to>
      <xdr:col>7</xdr:col>
      <xdr:colOff>0</xdr:colOff>
      <xdr:row>1</xdr:row>
      <xdr:rowOff>13138</xdr:rowOff>
    </xdr:to>
    <xdr:sp macro="[0]!clear_filter" textlink="">
      <xdr:nvSpPr>
        <xdr:cNvPr id="13" name="Rectangl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90CA48A-4331-4C91-B1BF-A2B405D71EAA}"/>
            </a:ext>
          </a:extLst>
        </xdr:cNvPr>
        <xdr:cNvSpPr/>
      </xdr:nvSpPr>
      <xdr:spPr>
        <a:xfrm>
          <a:off x="7120972" y="16563"/>
          <a:ext cx="937178" cy="377575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SL CONTROL</a:t>
          </a:r>
        </a:p>
      </xdr:txBody>
    </xdr:sp>
    <xdr:clientData/>
  </xdr:twoCellAnchor>
  <xdr:twoCellAnchor>
    <xdr:from>
      <xdr:col>1</xdr:col>
      <xdr:colOff>24848</xdr:colOff>
      <xdr:row>0</xdr:row>
      <xdr:rowOff>8280</xdr:rowOff>
    </xdr:from>
    <xdr:to>
      <xdr:col>2</xdr:col>
      <xdr:colOff>16564</xdr:colOff>
      <xdr:row>1</xdr:row>
      <xdr:rowOff>16564</xdr:rowOff>
    </xdr:to>
    <xdr:sp macro="[0]!UpdateResultAT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C050F7C9-1C20-487B-BA8D-F87C3C5419CA}"/>
            </a:ext>
          </a:extLst>
        </xdr:cNvPr>
        <xdr:cNvSpPr/>
      </xdr:nvSpPr>
      <xdr:spPr>
        <a:xfrm>
          <a:off x="1320248" y="8280"/>
          <a:ext cx="1268066" cy="389284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UPDATE</a:t>
          </a:r>
        </a:p>
      </xdr:txBody>
    </xdr:sp>
    <xdr:clientData/>
  </xdr:twoCellAnchor>
  <xdr:twoCellAnchor>
    <xdr:from>
      <xdr:col>7</xdr:col>
      <xdr:colOff>11936</xdr:colOff>
      <xdr:row>0</xdr:row>
      <xdr:rowOff>16565</xdr:rowOff>
    </xdr:from>
    <xdr:to>
      <xdr:col>8</xdr:col>
      <xdr:colOff>24848</xdr:colOff>
      <xdr:row>1</xdr:row>
      <xdr:rowOff>11907</xdr:rowOff>
    </xdr:to>
    <xdr:sp macro="[0]!Update_Format" textlink="">
      <xdr:nvSpPr>
        <xdr:cNvPr id="15" name="Rectangle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373B2F2-EC15-4CD2-AE66-45FCC6CE9464}"/>
            </a:ext>
          </a:extLst>
        </xdr:cNvPr>
        <xdr:cNvSpPr/>
      </xdr:nvSpPr>
      <xdr:spPr>
        <a:xfrm>
          <a:off x="8070086" y="16565"/>
          <a:ext cx="1098762" cy="376342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CHECK CODE</a:t>
          </a:r>
        </a:p>
      </xdr:txBody>
    </xdr:sp>
    <xdr:clientData/>
  </xdr:twoCellAnchor>
  <xdr:twoCellAnchor>
    <xdr:from>
      <xdr:col>8</xdr:col>
      <xdr:colOff>8283</xdr:colOff>
      <xdr:row>0</xdr:row>
      <xdr:rowOff>8283</xdr:rowOff>
    </xdr:from>
    <xdr:to>
      <xdr:col>9</xdr:col>
      <xdr:colOff>8282</xdr:colOff>
      <xdr:row>2</xdr:row>
      <xdr:rowOff>0</xdr:rowOff>
    </xdr:to>
    <xdr:sp macro="[0]!Update_Format" textlink="">
      <xdr:nvSpPr>
        <xdr:cNvPr id="16" name="Rectangle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3BA2646-536C-492E-A78A-C5AC8303ADEF}"/>
            </a:ext>
          </a:extLst>
        </xdr:cNvPr>
        <xdr:cNvSpPr/>
      </xdr:nvSpPr>
      <xdr:spPr>
        <a:xfrm>
          <a:off x="9152283" y="8283"/>
          <a:ext cx="904874" cy="62036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Item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24848</xdr:colOff>
      <xdr:row>0</xdr:row>
      <xdr:rowOff>20293</xdr:rowOff>
    </xdr:from>
    <xdr:to>
      <xdr:col>3</xdr:col>
      <xdr:colOff>8281</xdr:colOff>
      <xdr:row>1</xdr:row>
      <xdr:rowOff>16566</xdr:rowOff>
    </xdr:to>
    <xdr:sp macro="[0]!ADD_NEW_VH" textlink="">
      <xdr:nvSpPr>
        <xdr:cNvPr id="2" name="Rectangle 1">
          <a:extLst>
            <a:ext uri="{FF2B5EF4-FFF2-40B4-BE49-F238E27FC236}">
              <a16:creationId xmlns:a16="http://schemas.microsoft.com/office/drawing/2014/main" id="{A0FF743F-15F5-4FC6-A2DD-2E9EBF0FAA39}"/>
            </a:ext>
          </a:extLst>
        </xdr:cNvPr>
        <xdr:cNvSpPr/>
      </xdr:nvSpPr>
      <xdr:spPr>
        <a:xfrm>
          <a:off x="2596598" y="20293"/>
          <a:ext cx="1307408" cy="377273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ADD NEW</a:t>
          </a:r>
        </a:p>
      </xdr:txBody>
    </xdr:sp>
    <xdr:clientData/>
  </xdr:twoCellAnchor>
  <xdr:twoCellAnchor>
    <xdr:from>
      <xdr:col>9</xdr:col>
      <xdr:colOff>16567</xdr:colOff>
      <xdr:row>0</xdr:row>
      <xdr:rowOff>16564</xdr:rowOff>
    </xdr:from>
    <xdr:to>
      <xdr:col>10</xdr:col>
      <xdr:colOff>1</xdr:colOff>
      <xdr:row>1</xdr:row>
      <xdr:rowOff>2484</xdr:rowOff>
    </xdr:to>
    <xdr:sp macro="[0]!Update_Format" textlink="">
      <xdr:nvSpPr>
        <xdr:cNvPr id="3" name="Rectangle 2">
          <a:extLst>
            <a:ext uri="{FF2B5EF4-FFF2-40B4-BE49-F238E27FC236}">
              <a16:creationId xmlns:a16="http://schemas.microsoft.com/office/drawing/2014/main" id="{AE6D3F77-62BD-4A65-971D-F16DD258460C}"/>
            </a:ext>
          </a:extLst>
        </xdr:cNvPr>
        <xdr:cNvSpPr/>
      </xdr:nvSpPr>
      <xdr:spPr>
        <a:xfrm>
          <a:off x="10065442" y="16564"/>
          <a:ext cx="1259784" cy="366920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UPDATE FORMAT</a:t>
          </a:r>
        </a:p>
      </xdr:txBody>
    </xdr:sp>
    <xdr:clientData/>
  </xdr:twoCellAnchor>
  <xdr:twoCellAnchor>
    <xdr:from>
      <xdr:col>10</xdr:col>
      <xdr:colOff>24847</xdr:colOff>
      <xdr:row>0</xdr:row>
      <xdr:rowOff>19878</xdr:rowOff>
    </xdr:from>
    <xdr:to>
      <xdr:col>11</xdr:col>
      <xdr:colOff>8282</xdr:colOff>
      <xdr:row>1</xdr:row>
      <xdr:rowOff>6568</xdr:rowOff>
    </xdr:to>
    <xdr:sp macro="[0]!Clear_Content" textlink="">
      <xdr:nvSpPr>
        <xdr:cNvPr id="4" name="Rectangle 3">
          <a:extLst>
            <a:ext uri="{FF2B5EF4-FFF2-40B4-BE49-F238E27FC236}">
              <a16:creationId xmlns:a16="http://schemas.microsoft.com/office/drawing/2014/main" id="{8F2C12C2-3DEF-41E6-9944-73637EF5CC08}"/>
            </a:ext>
          </a:extLst>
        </xdr:cNvPr>
        <xdr:cNvSpPr/>
      </xdr:nvSpPr>
      <xdr:spPr>
        <a:xfrm>
          <a:off x="11350072" y="19878"/>
          <a:ext cx="840685" cy="367690"/>
        </a:xfrm>
        <a:prstGeom prst="rec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CLEAR CONTENT</a:t>
          </a:r>
        </a:p>
      </xdr:txBody>
    </xdr:sp>
    <xdr:clientData/>
  </xdr:twoCellAnchor>
  <xdr:twoCellAnchor>
    <xdr:from>
      <xdr:col>11</xdr:col>
      <xdr:colOff>5383</xdr:colOff>
      <xdr:row>0</xdr:row>
      <xdr:rowOff>17808</xdr:rowOff>
    </xdr:from>
    <xdr:to>
      <xdr:col>13</xdr:col>
      <xdr:colOff>16565</xdr:colOff>
      <xdr:row>1</xdr:row>
      <xdr:rowOff>19707</xdr:rowOff>
    </xdr:to>
    <xdr:sp macro="[4]!Update_Format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6B2334-8BC0-4089-BB23-779AB528D0F1}"/>
            </a:ext>
          </a:extLst>
        </xdr:cNvPr>
        <xdr:cNvSpPr/>
      </xdr:nvSpPr>
      <xdr:spPr>
        <a:xfrm>
          <a:off x="12187858" y="17808"/>
          <a:ext cx="1154182" cy="382899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OL</a:t>
          </a:r>
          <a:r>
            <a:rPr lang="en-US" sz="1100" b="1" baseline="0">
              <a:solidFill>
                <a:schemeClr val="bg1"/>
              </a:solidFill>
            </a:rPr>
            <a:t> DAILY</a:t>
          </a:r>
        </a:p>
      </xdr:txBody>
    </xdr:sp>
    <xdr:clientData/>
  </xdr:twoCellAnchor>
  <xdr:twoCellAnchor>
    <xdr:from>
      <xdr:col>13</xdr:col>
      <xdr:colOff>34627</xdr:colOff>
      <xdr:row>0</xdr:row>
      <xdr:rowOff>19050</xdr:rowOff>
    </xdr:from>
    <xdr:to>
      <xdr:col>14</xdr:col>
      <xdr:colOff>7328</xdr:colOff>
      <xdr:row>1</xdr:row>
      <xdr:rowOff>19707</xdr:rowOff>
    </xdr:to>
    <xdr:sp macro="[4]!Update_Format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ECFA98-A6DE-4EEA-829F-D8799E0CB74E}"/>
            </a:ext>
          </a:extLst>
        </xdr:cNvPr>
        <xdr:cNvSpPr/>
      </xdr:nvSpPr>
      <xdr:spPr>
        <a:xfrm>
          <a:off x="13360102" y="19050"/>
          <a:ext cx="934726" cy="381657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AN</a:t>
          </a:r>
          <a:r>
            <a:rPr lang="en-US" sz="1000" b="1" baseline="0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14</xdr:col>
      <xdr:colOff>31218</xdr:colOff>
      <xdr:row>0</xdr:row>
      <xdr:rowOff>12680</xdr:rowOff>
    </xdr:from>
    <xdr:to>
      <xdr:col>17</xdr:col>
      <xdr:colOff>7327</xdr:colOff>
      <xdr:row>1</xdr:row>
      <xdr:rowOff>16492</xdr:rowOff>
    </xdr:to>
    <xdr:sp macro="[4]!Update_Format" textlink="">
      <xdr:nvSpPr>
        <xdr:cNvPr id="7" name="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FBFF9E5-FB54-4159-9DBB-FA68FB4CA7D4}"/>
            </a:ext>
          </a:extLst>
        </xdr:cNvPr>
        <xdr:cNvSpPr/>
      </xdr:nvSpPr>
      <xdr:spPr>
        <a:xfrm>
          <a:off x="14318718" y="12680"/>
          <a:ext cx="909559" cy="384812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SL </a:t>
          </a:r>
          <a:endParaRPr lang="en-US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18604</xdr:colOff>
      <xdr:row>0</xdr:row>
      <xdr:rowOff>10478</xdr:rowOff>
    </xdr:from>
    <xdr:to>
      <xdr:col>26</xdr:col>
      <xdr:colOff>7326</xdr:colOff>
      <xdr:row>1</xdr:row>
      <xdr:rowOff>21392</xdr:rowOff>
    </xdr:to>
    <xdr:sp macro="[4]!Update_Format" textlink="">
      <xdr:nvSpPr>
        <xdr:cNvPr id="8" name="Rectangl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B80A09-FCB1-41E9-8DBA-E399DD95967A}"/>
            </a:ext>
          </a:extLst>
        </xdr:cNvPr>
        <xdr:cNvSpPr/>
      </xdr:nvSpPr>
      <xdr:spPr>
        <a:xfrm>
          <a:off x="16287304" y="10478"/>
          <a:ext cx="979322" cy="391914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CONTROL</a:t>
          </a:r>
          <a:endParaRPr lang="en-US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27333</xdr:colOff>
      <xdr:row>0</xdr:row>
      <xdr:rowOff>0</xdr:rowOff>
    </xdr:from>
    <xdr:to>
      <xdr:col>20</xdr:col>
      <xdr:colOff>0</xdr:colOff>
      <xdr:row>1</xdr:row>
      <xdr:rowOff>32137</xdr:rowOff>
    </xdr:to>
    <xdr:sp macro="[4]!Update_Format" textlink="">
      <xdr:nvSpPr>
        <xdr:cNvPr id="9" name="Rectangl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439F0C7-1343-47E1-9358-FFBB6BCA6DD9}"/>
            </a:ext>
          </a:extLst>
        </xdr:cNvPr>
        <xdr:cNvSpPr/>
      </xdr:nvSpPr>
      <xdr:spPr>
        <a:xfrm>
          <a:off x="15248283" y="0"/>
          <a:ext cx="1020417" cy="413137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RG TEAM</a:t>
          </a:r>
          <a:endParaRPr lang="en-US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24847</xdr:colOff>
      <xdr:row>0</xdr:row>
      <xdr:rowOff>16564</xdr:rowOff>
    </xdr:from>
    <xdr:to>
      <xdr:col>4</xdr:col>
      <xdr:colOff>16565</xdr:colOff>
      <xdr:row>1</xdr:row>
      <xdr:rowOff>5953</xdr:rowOff>
    </xdr:to>
    <xdr:sp macro="[0]!Update_Format" textlink="">
      <xdr:nvSpPr>
        <xdr:cNvPr id="10" name="Rectangl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9A02F2B-6EC1-4576-89F5-7B95DD58C024}"/>
            </a:ext>
          </a:extLst>
        </xdr:cNvPr>
        <xdr:cNvSpPr/>
      </xdr:nvSpPr>
      <xdr:spPr>
        <a:xfrm>
          <a:off x="3920572" y="16564"/>
          <a:ext cx="1229968" cy="370389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LDCS</a:t>
          </a:r>
        </a:p>
      </xdr:txBody>
    </xdr:sp>
    <xdr:clientData/>
  </xdr:twoCellAnchor>
  <xdr:twoCellAnchor>
    <xdr:from>
      <xdr:col>4</xdr:col>
      <xdr:colOff>36857</xdr:colOff>
      <xdr:row>0</xdr:row>
      <xdr:rowOff>16564</xdr:rowOff>
    </xdr:from>
    <xdr:to>
      <xdr:col>5</xdr:col>
      <xdr:colOff>8284</xdr:colOff>
      <xdr:row>1</xdr:row>
      <xdr:rowOff>13138</xdr:rowOff>
    </xdr:to>
    <xdr:sp macro="[0]!Update_Format" textlink="">
      <xdr:nvSpPr>
        <xdr:cNvPr id="11" name="Rectangl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CC822F8-163A-41F0-A0B9-2876A7C5365D}"/>
            </a:ext>
          </a:extLst>
        </xdr:cNvPr>
        <xdr:cNvSpPr/>
      </xdr:nvSpPr>
      <xdr:spPr>
        <a:xfrm>
          <a:off x="5170832" y="16564"/>
          <a:ext cx="876302" cy="377574"/>
        </a:xfrm>
        <a:prstGeom prst="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FORM 2023</a:t>
          </a:r>
        </a:p>
      </xdr:txBody>
    </xdr:sp>
    <xdr:clientData/>
  </xdr:twoCellAnchor>
  <xdr:twoCellAnchor>
    <xdr:from>
      <xdr:col>5</xdr:col>
      <xdr:colOff>33132</xdr:colOff>
      <xdr:row>0</xdr:row>
      <xdr:rowOff>16565</xdr:rowOff>
    </xdr:from>
    <xdr:to>
      <xdr:col>6</xdr:col>
      <xdr:colOff>8284</xdr:colOff>
      <xdr:row>1</xdr:row>
      <xdr:rowOff>11907</xdr:rowOff>
    </xdr:to>
    <xdr:sp macro="[0]!clear_filter" textlink="">
      <xdr:nvSpPr>
        <xdr:cNvPr id="12" name="Rectangle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5FAE0AF-B8E0-428A-87C2-44EEC672FADF}"/>
            </a:ext>
          </a:extLst>
        </xdr:cNvPr>
        <xdr:cNvSpPr/>
      </xdr:nvSpPr>
      <xdr:spPr>
        <a:xfrm>
          <a:off x="6071982" y="16565"/>
          <a:ext cx="1032427" cy="376342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AN CONTROL</a:t>
          </a:r>
        </a:p>
      </xdr:txBody>
    </xdr:sp>
    <xdr:clientData/>
  </xdr:twoCellAnchor>
  <xdr:twoCellAnchor>
    <xdr:from>
      <xdr:col>6</xdr:col>
      <xdr:colOff>24847</xdr:colOff>
      <xdr:row>0</xdr:row>
      <xdr:rowOff>16563</xdr:rowOff>
    </xdr:from>
    <xdr:to>
      <xdr:col>7</xdr:col>
      <xdr:colOff>0</xdr:colOff>
      <xdr:row>1</xdr:row>
      <xdr:rowOff>13138</xdr:rowOff>
    </xdr:to>
    <xdr:sp macro="[0]!clear_filter" textlink="">
      <xdr:nvSpPr>
        <xdr:cNvPr id="13" name="Rectangl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80AA1BD-38EF-49D6-9ABC-1C7D16093A96}"/>
            </a:ext>
          </a:extLst>
        </xdr:cNvPr>
        <xdr:cNvSpPr/>
      </xdr:nvSpPr>
      <xdr:spPr>
        <a:xfrm>
          <a:off x="7120972" y="16563"/>
          <a:ext cx="937178" cy="377575"/>
        </a:xfrm>
        <a:prstGeom prst="rect">
          <a:avLst/>
        </a:prstGeom>
        <a:solidFill>
          <a:srgbClr val="5C4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SL CONTROL</a:t>
          </a:r>
        </a:p>
      </xdr:txBody>
    </xdr:sp>
    <xdr:clientData/>
  </xdr:twoCellAnchor>
  <xdr:twoCellAnchor>
    <xdr:from>
      <xdr:col>1</xdr:col>
      <xdr:colOff>24848</xdr:colOff>
      <xdr:row>0</xdr:row>
      <xdr:rowOff>8280</xdr:rowOff>
    </xdr:from>
    <xdr:to>
      <xdr:col>2</xdr:col>
      <xdr:colOff>16564</xdr:colOff>
      <xdr:row>1</xdr:row>
      <xdr:rowOff>16564</xdr:rowOff>
    </xdr:to>
    <xdr:sp macro="[0]!UpdateResultVH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885C676-43A1-4455-82A0-0D7E09F987EC}"/>
            </a:ext>
          </a:extLst>
        </xdr:cNvPr>
        <xdr:cNvSpPr/>
      </xdr:nvSpPr>
      <xdr:spPr>
        <a:xfrm>
          <a:off x="1320248" y="8280"/>
          <a:ext cx="1268066" cy="389284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UPDATE</a:t>
          </a:r>
        </a:p>
      </xdr:txBody>
    </xdr:sp>
    <xdr:clientData/>
  </xdr:twoCellAnchor>
  <xdr:twoCellAnchor>
    <xdr:from>
      <xdr:col>7</xdr:col>
      <xdr:colOff>11936</xdr:colOff>
      <xdr:row>0</xdr:row>
      <xdr:rowOff>16565</xdr:rowOff>
    </xdr:from>
    <xdr:to>
      <xdr:col>8</xdr:col>
      <xdr:colOff>24848</xdr:colOff>
      <xdr:row>1</xdr:row>
      <xdr:rowOff>11907</xdr:rowOff>
    </xdr:to>
    <xdr:sp macro="[0]!Update_Format" textlink="">
      <xdr:nvSpPr>
        <xdr:cNvPr id="15" name="Rectangle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DB0DEF8-00BE-4F54-AE69-B492633D21D4}"/>
            </a:ext>
          </a:extLst>
        </xdr:cNvPr>
        <xdr:cNvSpPr/>
      </xdr:nvSpPr>
      <xdr:spPr>
        <a:xfrm>
          <a:off x="8070086" y="16565"/>
          <a:ext cx="1098762" cy="376342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CHECK CODE</a:t>
          </a:r>
        </a:p>
      </xdr:txBody>
    </xdr:sp>
    <xdr:clientData/>
  </xdr:twoCellAnchor>
  <xdr:twoCellAnchor>
    <xdr:from>
      <xdr:col>8</xdr:col>
      <xdr:colOff>8283</xdr:colOff>
      <xdr:row>0</xdr:row>
      <xdr:rowOff>8283</xdr:rowOff>
    </xdr:from>
    <xdr:to>
      <xdr:col>9</xdr:col>
      <xdr:colOff>8282</xdr:colOff>
      <xdr:row>2</xdr:row>
      <xdr:rowOff>0</xdr:rowOff>
    </xdr:to>
    <xdr:sp macro="[0]!Update_Format" textlink="">
      <xdr:nvSpPr>
        <xdr:cNvPr id="16" name="Rectangle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39911-7BD9-4805-AE64-84E5A1AA6B68}"/>
            </a:ext>
          </a:extLst>
        </xdr:cNvPr>
        <xdr:cNvSpPr/>
      </xdr:nvSpPr>
      <xdr:spPr>
        <a:xfrm>
          <a:off x="9152283" y="8283"/>
          <a:ext cx="904874" cy="62036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Item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3</xdr:col>
      <xdr:colOff>9525</xdr:colOff>
      <xdr:row>0</xdr:row>
      <xdr:rowOff>381000</xdr:rowOff>
    </xdr:to>
    <xdr:sp macro="[0]!HID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920A406-7A75-4884-8446-DFBA583DC73C}"/>
            </a:ext>
          </a:extLst>
        </xdr:cNvPr>
        <xdr:cNvSpPr/>
      </xdr:nvSpPr>
      <xdr:spPr>
        <a:xfrm>
          <a:off x="19049" y="28575"/>
          <a:ext cx="933451" cy="352425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</a:rPr>
            <a:t>Hide Name</a:t>
          </a:r>
        </a:p>
      </xdr:txBody>
    </xdr:sp>
    <xdr:clientData/>
  </xdr:twoCellAnchor>
  <xdr:twoCellAnchor>
    <xdr:from>
      <xdr:col>6</xdr:col>
      <xdr:colOff>81804</xdr:colOff>
      <xdr:row>0</xdr:row>
      <xdr:rowOff>28576</xdr:rowOff>
    </xdr:from>
    <xdr:to>
      <xdr:col>9</xdr:col>
      <xdr:colOff>219075</xdr:colOff>
      <xdr:row>0</xdr:row>
      <xdr:rowOff>381000</xdr:rowOff>
    </xdr:to>
    <xdr:sp macro="[0]!CLEARNA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39FAA5-6CCB-4463-9EFB-2FEF848A75E8}"/>
            </a:ext>
          </a:extLst>
        </xdr:cNvPr>
        <xdr:cNvSpPr/>
      </xdr:nvSpPr>
      <xdr:spPr>
        <a:xfrm>
          <a:off x="1977279" y="28576"/>
          <a:ext cx="994521" cy="352424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</a:rPr>
            <a:t>Clear Name</a:t>
          </a:r>
        </a:p>
      </xdr:txBody>
    </xdr:sp>
    <xdr:clientData/>
  </xdr:twoCellAnchor>
  <xdr:twoCellAnchor>
    <xdr:from>
      <xdr:col>19</xdr:col>
      <xdr:colOff>1133475</xdr:colOff>
      <xdr:row>0</xdr:row>
      <xdr:rowOff>30814</xdr:rowOff>
    </xdr:from>
    <xdr:to>
      <xdr:col>85</xdr:col>
      <xdr:colOff>9525</xdr:colOff>
      <xdr:row>0</xdr:row>
      <xdr:rowOff>377638</xdr:rowOff>
    </xdr:to>
    <xdr:sp macro="[5]!Update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A67B64-3B3A-4868-A706-F6C15260A34C}"/>
            </a:ext>
          </a:extLst>
        </xdr:cNvPr>
        <xdr:cNvSpPr/>
      </xdr:nvSpPr>
      <xdr:spPr>
        <a:xfrm>
          <a:off x="6372225" y="30814"/>
          <a:ext cx="3867150" cy="346824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ITEM</a:t>
          </a:r>
          <a:r>
            <a:rPr lang="en-US" sz="1100" b="1" baseline="0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 NGANG</a:t>
          </a:r>
          <a:endParaRPr lang="en-US" sz="1100" b="1"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3</xdr:col>
      <xdr:colOff>28575</xdr:colOff>
      <xdr:row>0</xdr:row>
      <xdr:rowOff>28576</xdr:rowOff>
    </xdr:from>
    <xdr:to>
      <xdr:col>6</xdr:col>
      <xdr:colOff>76200</xdr:colOff>
      <xdr:row>0</xdr:row>
      <xdr:rowOff>381000</xdr:rowOff>
    </xdr:to>
    <xdr:sp macro="[0]!UNHIDENA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96A90C8-CD56-4EDE-B9AC-919FA07E7F0B}"/>
            </a:ext>
          </a:extLst>
        </xdr:cNvPr>
        <xdr:cNvSpPr/>
      </xdr:nvSpPr>
      <xdr:spPr>
        <a:xfrm>
          <a:off x="971550" y="28576"/>
          <a:ext cx="1000125" cy="352424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 baseline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</a:rPr>
            <a:t>Unhide Name</a:t>
          </a:r>
        </a:p>
      </xdr:txBody>
    </xdr:sp>
    <xdr:clientData/>
  </xdr:twoCellAnchor>
  <xdr:twoCellAnchor>
    <xdr:from>
      <xdr:col>9</xdr:col>
      <xdr:colOff>228600</xdr:colOff>
      <xdr:row>0</xdr:row>
      <xdr:rowOff>28575</xdr:rowOff>
    </xdr:from>
    <xdr:to>
      <xdr:col>15</xdr:col>
      <xdr:colOff>76200</xdr:colOff>
      <xdr:row>0</xdr:row>
      <xdr:rowOff>371475</xdr:rowOff>
    </xdr:to>
    <xdr:sp macro="[0]!CLEARITE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ECC6FF-A294-41FE-B065-4550056EDCE2}"/>
            </a:ext>
          </a:extLst>
        </xdr:cNvPr>
        <xdr:cNvSpPr/>
      </xdr:nvSpPr>
      <xdr:spPr>
        <a:xfrm>
          <a:off x="2981325" y="28575"/>
          <a:ext cx="1304925" cy="34290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 baseline="0">
              <a:ln>
                <a:noFill/>
              </a:ln>
              <a:solidFill>
                <a:schemeClr val="bg1"/>
              </a:solidFill>
              <a:effectLst/>
            </a:rPr>
            <a:t>Clear Item</a:t>
          </a:r>
        </a:p>
      </xdr:txBody>
    </xdr:sp>
    <xdr:clientData/>
  </xdr:twoCellAnchor>
  <xdr:twoCellAnchor>
    <xdr:from>
      <xdr:col>90</xdr:col>
      <xdr:colOff>361949</xdr:colOff>
      <xdr:row>0</xdr:row>
      <xdr:rowOff>19050</xdr:rowOff>
    </xdr:from>
    <xdr:to>
      <xdr:col>92</xdr:col>
      <xdr:colOff>257174</xdr:colOff>
      <xdr:row>0</xdr:row>
      <xdr:rowOff>304800</xdr:rowOff>
    </xdr:to>
    <xdr:sp macro="[0]!Update_Format" textlink="">
      <xdr:nvSpPr>
        <xdr:cNvPr id="7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5E90A55-EFFF-4D4A-83D0-3584E84ED75D}"/>
            </a:ext>
          </a:extLst>
        </xdr:cNvPr>
        <xdr:cNvSpPr/>
      </xdr:nvSpPr>
      <xdr:spPr>
        <a:xfrm>
          <a:off x="13639799" y="19050"/>
          <a:ext cx="1114425" cy="28575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AN CONTROL</a:t>
          </a:r>
        </a:p>
      </xdr:txBody>
    </xdr:sp>
    <xdr:clientData/>
  </xdr:twoCellAnchor>
  <xdr:twoCellAnchor>
    <xdr:from>
      <xdr:col>90</xdr:col>
      <xdr:colOff>361951</xdr:colOff>
      <xdr:row>0</xdr:row>
      <xdr:rowOff>323850</xdr:rowOff>
    </xdr:from>
    <xdr:to>
      <xdr:col>92</xdr:col>
      <xdr:colOff>266701</xdr:colOff>
      <xdr:row>1</xdr:row>
      <xdr:rowOff>180975</xdr:rowOff>
    </xdr:to>
    <xdr:sp macro="[0]!Update_Format" textlink="">
      <xdr:nvSpPr>
        <xdr:cNvPr id="8" name="Rectangl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D7D6CC7-F946-487E-934B-6166680A14D9}"/>
            </a:ext>
          </a:extLst>
        </xdr:cNvPr>
        <xdr:cNvSpPr/>
      </xdr:nvSpPr>
      <xdr:spPr>
        <a:xfrm>
          <a:off x="13639801" y="323850"/>
          <a:ext cx="1123950" cy="2571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SL CON TROL</a:t>
          </a:r>
        </a:p>
      </xdr:txBody>
    </xdr:sp>
    <xdr:clientData/>
  </xdr:twoCellAnchor>
  <xdr:twoCellAnchor>
    <xdr:from>
      <xdr:col>85</xdr:col>
      <xdr:colOff>9525</xdr:colOff>
      <xdr:row>0</xdr:row>
      <xdr:rowOff>19050</xdr:rowOff>
    </xdr:from>
    <xdr:to>
      <xdr:col>86</xdr:col>
      <xdr:colOff>466725</xdr:colOff>
      <xdr:row>1</xdr:row>
      <xdr:rowOff>180975</xdr:rowOff>
    </xdr:to>
    <xdr:sp macro="[0]!Update_Format" textlink="">
      <xdr:nvSpPr>
        <xdr:cNvPr id="9" name="BaoCaoAT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EEE43B2-C0DC-47E4-A976-2EBE9CFD1704}"/>
            </a:ext>
          </a:extLst>
        </xdr:cNvPr>
        <xdr:cNvSpPr/>
      </xdr:nvSpPr>
      <xdr:spPr>
        <a:xfrm>
          <a:off x="11677650" y="19050"/>
          <a:ext cx="1152525" cy="5524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Bao Cao</a:t>
          </a:r>
        </a:p>
      </xdr:txBody>
    </xdr:sp>
    <xdr:clientData/>
  </xdr:twoCellAnchor>
  <xdr:twoCellAnchor>
    <xdr:from>
      <xdr:col>19</xdr:col>
      <xdr:colOff>9525</xdr:colOff>
      <xdr:row>0</xdr:row>
      <xdr:rowOff>19050</xdr:rowOff>
    </xdr:from>
    <xdr:to>
      <xdr:col>19</xdr:col>
      <xdr:colOff>1123950</xdr:colOff>
      <xdr:row>0</xdr:row>
      <xdr:rowOff>381000</xdr:rowOff>
    </xdr:to>
    <xdr:sp macro="[0]!CLEARALL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BF5AC53-C503-4EB9-86C8-F16D9D8CA8ED}"/>
            </a:ext>
          </a:extLst>
        </xdr:cNvPr>
        <xdr:cNvSpPr/>
      </xdr:nvSpPr>
      <xdr:spPr>
        <a:xfrm>
          <a:off x="5248275" y="19050"/>
          <a:ext cx="1114425" cy="36195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 baseline="0">
              <a:ln>
                <a:noFill/>
              </a:ln>
              <a:solidFill>
                <a:schemeClr val="bg1"/>
              </a:solidFill>
              <a:effectLst/>
            </a:rPr>
            <a:t>Clear All</a:t>
          </a:r>
        </a:p>
      </xdr:txBody>
    </xdr:sp>
    <xdr:clientData/>
  </xdr:twoCellAnchor>
  <xdr:twoCellAnchor>
    <xdr:from>
      <xdr:col>15</xdr:col>
      <xdr:colOff>85726</xdr:colOff>
      <xdr:row>0</xdr:row>
      <xdr:rowOff>19050</xdr:rowOff>
    </xdr:from>
    <xdr:to>
      <xdr:col>19</xdr:col>
      <xdr:colOff>0</xdr:colOff>
      <xdr:row>0</xdr:row>
      <xdr:rowOff>381000</xdr:rowOff>
    </xdr:to>
    <xdr:sp macro="[0]!chuyenitem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78B3507A-055B-43B7-9C61-98730657DDFE}"/>
            </a:ext>
          </a:extLst>
        </xdr:cNvPr>
        <xdr:cNvSpPr/>
      </xdr:nvSpPr>
      <xdr:spPr>
        <a:xfrm>
          <a:off x="4295776" y="19050"/>
          <a:ext cx="942974" cy="361950"/>
        </a:xfrm>
        <a:prstGeom prst="roundRect">
          <a:avLst/>
        </a:prstGeom>
        <a:solidFill>
          <a:srgbClr val="C0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 baseline="0">
              <a:ln>
                <a:noFill/>
              </a:ln>
              <a:solidFill>
                <a:schemeClr val="bg1"/>
              </a:solidFill>
              <a:effectLst/>
            </a:rPr>
            <a:t>UPDATE</a:t>
          </a:r>
        </a:p>
      </xdr:txBody>
    </xdr:sp>
    <xdr:clientData/>
  </xdr:twoCellAnchor>
  <xdr:twoCellAnchor>
    <xdr:from>
      <xdr:col>86</xdr:col>
      <xdr:colOff>476250</xdr:colOff>
      <xdr:row>0</xdr:row>
      <xdr:rowOff>19050</xdr:rowOff>
    </xdr:from>
    <xdr:to>
      <xdr:col>88</xdr:col>
      <xdr:colOff>409575</xdr:colOff>
      <xdr:row>2</xdr:row>
      <xdr:rowOff>0</xdr:rowOff>
    </xdr:to>
    <xdr:sp macro="[0]!Update_Format" textlink="">
      <xdr:nvSpPr>
        <xdr:cNvPr id="12" name="Rectangle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99A1708-CAE8-4702-B1FC-8BB3639CEB6A}"/>
            </a:ext>
          </a:extLst>
        </xdr:cNvPr>
        <xdr:cNvSpPr/>
      </xdr:nvSpPr>
      <xdr:spPr>
        <a:xfrm>
          <a:off x="11315700" y="19050"/>
          <a:ext cx="1152525" cy="57150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>
                  <a:lumMod val="95000"/>
                </a:schemeClr>
              </a:solidFill>
            </a:rPr>
            <a:t>FORM 2023</a:t>
          </a:r>
        </a:p>
      </xdr:txBody>
    </xdr:sp>
    <xdr:clientData/>
  </xdr:twoCellAnchor>
  <xdr:twoCellAnchor>
    <xdr:from>
      <xdr:col>88</xdr:col>
      <xdr:colOff>419100</xdr:colOff>
      <xdr:row>0</xdr:row>
      <xdr:rowOff>28575</xdr:rowOff>
    </xdr:from>
    <xdr:to>
      <xdr:col>90</xdr:col>
      <xdr:colOff>352425</xdr:colOff>
      <xdr:row>3</xdr:row>
      <xdr:rowOff>9525</xdr:rowOff>
    </xdr:to>
    <xdr:sp macro="[0]!Update_Format" textlink="">
      <xdr:nvSpPr>
        <xdr:cNvPr id="13" name="Rectangle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EFF2B88-0910-49D1-8096-C47E7373135A}"/>
            </a:ext>
          </a:extLst>
        </xdr:cNvPr>
        <xdr:cNvSpPr/>
      </xdr:nvSpPr>
      <xdr:spPr>
        <a:xfrm>
          <a:off x="12477750" y="28575"/>
          <a:ext cx="1152525" cy="5715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Beak_Down</a:t>
          </a:r>
        </a:p>
      </xdr:txBody>
    </xdr:sp>
    <xdr:clientData/>
  </xdr:twoCellAnchor>
  <xdr:twoCellAnchor>
    <xdr:from>
      <xdr:col>90</xdr:col>
      <xdr:colOff>361951</xdr:colOff>
      <xdr:row>0</xdr:row>
      <xdr:rowOff>323850</xdr:rowOff>
    </xdr:from>
    <xdr:to>
      <xdr:col>92</xdr:col>
      <xdr:colOff>266701</xdr:colOff>
      <xdr:row>1</xdr:row>
      <xdr:rowOff>180975</xdr:rowOff>
    </xdr:to>
    <xdr:sp macro="[0]!Update_Format" textlink="">
      <xdr:nvSpPr>
        <xdr:cNvPr id="14" name="Rectangle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FE9AC1D-1DCF-44E1-8317-F6D2DC935F4D}"/>
            </a:ext>
          </a:extLst>
        </xdr:cNvPr>
        <xdr:cNvSpPr/>
      </xdr:nvSpPr>
      <xdr:spPr>
        <a:xfrm>
          <a:off x="15506701" y="323850"/>
          <a:ext cx="1295400" cy="2571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SL CON TROL</a:t>
          </a:r>
        </a:p>
      </xdr:txBody>
    </xdr:sp>
    <xdr:clientData/>
  </xdr:twoCellAnchor>
  <xdr:twoCellAnchor>
    <xdr:from>
      <xdr:col>86</xdr:col>
      <xdr:colOff>476250</xdr:colOff>
      <xdr:row>0</xdr:row>
      <xdr:rowOff>19050</xdr:rowOff>
    </xdr:from>
    <xdr:to>
      <xdr:col>88</xdr:col>
      <xdr:colOff>409575</xdr:colOff>
      <xdr:row>2</xdr:row>
      <xdr:rowOff>0</xdr:rowOff>
    </xdr:to>
    <xdr:sp macro="[0]!Update_Format" textlink="">
      <xdr:nvSpPr>
        <xdr:cNvPr id="16" name="Rectangle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278C330-6699-4C85-B714-E18B3A0C3B0B}"/>
            </a:ext>
          </a:extLst>
        </xdr:cNvPr>
        <xdr:cNvSpPr/>
      </xdr:nvSpPr>
      <xdr:spPr>
        <a:xfrm>
          <a:off x="12839700" y="19050"/>
          <a:ext cx="1323975" cy="57150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>
                  <a:lumMod val="95000"/>
                </a:schemeClr>
              </a:solidFill>
            </a:rPr>
            <a:t>FORM 2023</a:t>
          </a:r>
        </a:p>
      </xdr:txBody>
    </xdr:sp>
    <xdr:clientData/>
  </xdr:twoCellAnchor>
  <xdr:twoCellAnchor>
    <xdr:from>
      <xdr:col>22</xdr:col>
      <xdr:colOff>828675</xdr:colOff>
      <xdr:row>0</xdr:row>
      <xdr:rowOff>9525</xdr:rowOff>
    </xdr:from>
    <xdr:to>
      <xdr:col>86</xdr:col>
      <xdr:colOff>447675</xdr:colOff>
      <xdr:row>1</xdr:row>
      <xdr:rowOff>180974</xdr:rowOff>
    </xdr:to>
    <xdr:sp macro="[0]!Update_Format" textlink="">
      <xdr:nvSpPr>
        <xdr:cNvPr id="17" name="BaoCaoVH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8098892-A5E8-4132-86A7-2DDB3ACB0D1C}"/>
            </a:ext>
          </a:extLst>
        </xdr:cNvPr>
        <xdr:cNvSpPr/>
      </xdr:nvSpPr>
      <xdr:spPr>
        <a:xfrm>
          <a:off x="11658600" y="9525"/>
          <a:ext cx="1152525" cy="56197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Bao Cao</a:t>
          </a:r>
        </a:p>
      </xdr:txBody>
    </xdr:sp>
    <xdr:clientData/>
  </xdr:twoCellAnchor>
  <xdr:twoCellAnchor>
    <xdr:from>
      <xdr:col>23</xdr:col>
      <xdr:colOff>0</xdr:colOff>
      <xdr:row>0</xdr:row>
      <xdr:rowOff>9525</xdr:rowOff>
    </xdr:from>
    <xdr:to>
      <xdr:col>86</xdr:col>
      <xdr:colOff>457200</xdr:colOff>
      <xdr:row>1</xdr:row>
      <xdr:rowOff>171450</xdr:rowOff>
    </xdr:to>
    <xdr:sp macro="[0]!Update_Format" textlink="">
      <xdr:nvSpPr>
        <xdr:cNvPr id="18" name="BaoCao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9FF07BA-4DD6-40D4-B818-34435900C188}"/>
            </a:ext>
          </a:extLst>
        </xdr:cNvPr>
        <xdr:cNvSpPr/>
      </xdr:nvSpPr>
      <xdr:spPr>
        <a:xfrm>
          <a:off x="11668125" y="9525"/>
          <a:ext cx="1152525" cy="5524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Bao Cao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9525</xdr:rowOff>
    </xdr:from>
    <xdr:to>
      <xdr:col>1</xdr:col>
      <xdr:colOff>3921</xdr:colOff>
      <xdr:row>1</xdr:row>
      <xdr:rowOff>361949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141AA34-92DD-4B27-8878-A1078A0B95EA}"/>
            </a:ext>
          </a:extLst>
        </xdr:cNvPr>
        <xdr:cNvSpPr/>
      </xdr:nvSpPr>
      <xdr:spPr>
        <a:xfrm>
          <a:off x="0" y="457200"/>
          <a:ext cx="946896" cy="352424"/>
        </a:xfrm>
        <a:prstGeom prst="roundRect">
          <a:avLst/>
        </a:prstGeom>
        <a:solidFill>
          <a:srgbClr val="C0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</a:rPr>
            <a:t>Clear</a:t>
          </a:r>
        </a:p>
      </xdr:txBody>
    </xdr:sp>
    <xdr:clientData/>
  </xdr:twoCellAnchor>
  <xdr:twoCellAnchor>
    <xdr:from>
      <xdr:col>1</xdr:col>
      <xdr:colOff>9525</xdr:colOff>
      <xdr:row>1</xdr:row>
      <xdr:rowOff>19050</xdr:rowOff>
    </xdr:from>
    <xdr:to>
      <xdr:col>2</xdr:col>
      <xdr:colOff>85725</xdr:colOff>
      <xdr:row>1</xdr:row>
      <xdr:rowOff>371474</xdr:rowOff>
    </xdr:to>
    <xdr:sp macro="[0]!Updat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907C927-6A91-445F-8A7B-CCA0B201EA25}"/>
            </a:ext>
          </a:extLst>
        </xdr:cNvPr>
        <xdr:cNvSpPr/>
      </xdr:nvSpPr>
      <xdr:spPr>
        <a:xfrm>
          <a:off x="952500" y="466725"/>
          <a:ext cx="923925" cy="352424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</a:rPr>
            <a:t>Update</a:t>
          </a:r>
        </a:p>
      </xdr:txBody>
    </xdr:sp>
    <xdr:clientData/>
  </xdr:twoCellAnchor>
  <xdr:twoCellAnchor>
    <xdr:from>
      <xdr:col>2</xdr:col>
      <xdr:colOff>114300</xdr:colOff>
      <xdr:row>0</xdr:row>
      <xdr:rowOff>28575</xdr:rowOff>
    </xdr:from>
    <xdr:to>
      <xdr:col>5</xdr:col>
      <xdr:colOff>276225</xdr:colOff>
      <xdr:row>2</xdr:row>
      <xdr:rowOff>0</xdr:rowOff>
    </xdr:to>
    <xdr:sp macro="[0]!Update_Format" textlink="">
      <xdr:nvSpPr>
        <xdr:cNvPr id="6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1EE257-B521-436A-89DF-50E3CDE43321}"/>
            </a:ext>
          </a:extLst>
        </xdr:cNvPr>
        <xdr:cNvSpPr/>
      </xdr:nvSpPr>
      <xdr:spPr>
        <a:xfrm>
          <a:off x="1809750" y="28575"/>
          <a:ext cx="2200275" cy="80962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Item</a:t>
          </a:r>
        </a:p>
      </xdr:txBody>
    </xdr:sp>
    <xdr:clientData/>
  </xdr:twoCellAnchor>
  <xdr:twoCellAnchor>
    <xdr:from>
      <xdr:col>0</xdr:col>
      <xdr:colOff>28575</xdr:colOff>
      <xdr:row>0</xdr:row>
      <xdr:rowOff>28575</xdr:rowOff>
    </xdr:from>
    <xdr:to>
      <xdr:col>2</xdr:col>
      <xdr:colOff>104775</xdr:colOff>
      <xdr:row>1</xdr:row>
      <xdr:rowOff>9525</xdr:rowOff>
    </xdr:to>
    <xdr:sp macro="[0]!Update_Format" textlink="">
      <xdr:nvSpPr>
        <xdr:cNvPr id="2" name="BaoCaoAT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18039EA-FD10-4944-9119-0886795FB9BC}"/>
            </a:ext>
          </a:extLst>
        </xdr:cNvPr>
        <xdr:cNvSpPr/>
      </xdr:nvSpPr>
      <xdr:spPr>
        <a:xfrm>
          <a:off x="28575" y="28575"/>
          <a:ext cx="1771650" cy="42862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Bao Cao</a:t>
          </a:r>
        </a:p>
      </xdr:txBody>
    </xdr:sp>
    <xdr:clientData/>
  </xdr:twoCellAnchor>
  <xdr:twoCellAnchor>
    <xdr:from>
      <xdr:col>0</xdr:col>
      <xdr:colOff>28575</xdr:colOff>
      <xdr:row>0</xdr:row>
      <xdr:rowOff>19050</xdr:rowOff>
    </xdr:from>
    <xdr:to>
      <xdr:col>2</xdr:col>
      <xdr:colOff>104775</xdr:colOff>
      <xdr:row>1</xdr:row>
      <xdr:rowOff>0</xdr:rowOff>
    </xdr:to>
    <xdr:sp macro="[0]!Update_Format" textlink="">
      <xdr:nvSpPr>
        <xdr:cNvPr id="3" name="BaoCaoVH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AF427A8-21B8-4576-ADD9-05E72CC7AE2F}"/>
            </a:ext>
          </a:extLst>
        </xdr:cNvPr>
        <xdr:cNvSpPr/>
      </xdr:nvSpPr>
      <xdr:spPr>
        <a:xfrm>
          <a:off x="28575" y="19050"/>
          <a:ext cx="1771650" cy="42862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Bao Cao</a:t>
          </a:r>
        </a:p>
      </xdr:txBody>
    </xdr:sp>
    <xdr:clientData/>
  </xdr:twoCellAnchor>
  <xdr:twoCellAnchor>
    <xdr:from>
      <xdr:col>0</xdr:col>
      <xdr:colOff>19050</xdr:colOff>
      <xdr:row>0</xdr:row>
      <xdr:rowOff>19050</xdr:rowOff>
    </xdr:from>
    <xdr:to>
      <xdr:col>2</xdr:col>
      <xdr:colOff>95250</xdr:colOff>
      <xdr:row>1</xdr:row>
      <xdr:rowOff>0</xdr:rowOff>
    </xdr:to>
    <xdr:sp macro="[0]!Update_Format" textlink="">
      <xdr:nvSpPr>
        <xdr:cNvPr id="8" name="BaoCa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15BFD6F-C57F-4412-A104-D269BD9F34CB}"/>
            </a:ext>
          </a:extLst>
        </xdr:cNvPr>
        <xdr:cNvSpPr/>
      </xdr:nvSpPr>
      <xdr:spPr>
        <a:xfrm>
          <a:off x="19050" y="19050"/>
          <a:ext cx="1771650" cy="42862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Bao Cao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</xdr:col>
      <xdr:colOff>409575</xdr:colOff>
      <xdr:row>0</xdr:row>
      <xdr:rowOff>266701</xdr:rowOff>
    </xdr:to>
    <xdr:sp macro="[0]!clear_filter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35D8D9-B64E-439F-B05E-EBBAEB38CD33}"/>
            </a:ext>
          </a:extLst>
        </xdr:cNvPr>
        <xdr:cNvSpPr/>
      </xdr:nvSpPr>
      <xdr:spPr>
        <a:xfrm>
          <a:off x="0" y="1"/>
          <a:ext cx="1209675" cy="26670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AN</a:t>
          </a:r>
          <a:r>
            <a:rPr lang="en-US" sz="1100" b="1" baseline="0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 Control</a:t>
          </a:r>
          <a:endParaRPr lang="en-US" sz="1100" b="1"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1</xdr:col>
      <xdr:colOff>419100</xdr:colOff>
      <xdr:row>0</xdr:row>
      <xdr:rowOff>19050</xdr:rowOff>
    </xdr:from>
    <xdr:to>
      <xdr:col>3</xdr:col>
      <xdr:colOff>228600</xdr:colOff>
      <xdr:row>0</xdr:row>
      <xdr:rowOff>257175</xdr:rowOff>
    </xdr:to>
    <xdr:sp macro="[0]!clear_filter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5FB1AB4-E9B8-41C1-94ED-53ABA963E3EE}"/>
            </a:ext>
          </a:extLst>
        </xdr:cNvPr>
        <xdr:cNvSpPr/>
      </xdr:nvSpPr>
      <xdr:spPr>
        <a:xfrm>
          <a:off x="1219200" y="19050"/>
          <a:ext cx="1276350" cy="238125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a:rPr>
            <a:t>SL Control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19050</xdr:rowOff>
    </xdr:from>
    <xdr:to>
      <xdr:col>4</xdr:col>
      <xdr:colOff>8282</xdr:colOff>
      <xdr:row>0</xdr:row>
      <xdr:rowOff>285750</xdr:rowOff>
    </xdr:to>
    <xdr:sp macro="[0]!Update_hightlight" textlink="">
      <xdr:nvSpPr>
        <xdr:cNvPr id="2" name="Rectangle 1">
          <a:extLst>
            <a:ext uri="{FF2B5EF4-FFF2-40B4-BE49-F238E27FC236}">
              <a16:creationId xmlns:a16="http://schemas.microsoft.com/office/drawing/2014/main" id="{7B288FAE-61F9-49C6-B155-A2A0C50FA249}"/>
            </a:ext>
          </a:extLst>
        </xdr:cNvPr>
        <xdr:cNvSpPr/>
      </xdr:nvSpPr>
      <xdr:spPr>
        <a:xfrm>
          <a:off x="3231460" y="19050"/>
          <a:ext cx="1373670" cy="26670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UPDATE</a:t>
          </a:r>
        </a:p>
      </xdr:txBody>
    </xdr:sp>
    <xdr:clientData/>
  </xdr:twoCellAnchor>
  <xdr:twoCellAnchor>
    <xdr:from>
      <xdr:col>2</xdr:col>
      <xdr:colOff>9524</xdr:colOff>
      <xdr:row>0</xdr:row>
      <xdr:rowOff>313082</xdr:rowOff>
    </xdr:from>
    <xdr:to>
      <xdr:col>4</xdr:col>
      <xdr:colOff>16565</xdr:colOff>
      <xdr:row>1</xdr:row>
      <xdr:rowOff>255932</xdr:rowOff>
    </xdr:to>
    <xdr:sp macro="[0]!Clear_hightlight" textlink="">
      <xdr:nvSpPr>
        <xdr:cNvPr id="3" name="Rectangle 2">
          <a:extLst>
            <a:ext uri="{FF2B5EF4-FFF2-40B4-BE49-F238E27FC236}">
              <a16:creationId xmlns:a16="http://schemas.microsoft.com/office/drawing/2014/main" id="{55740159-3661-4794-A740-0D9D53162393}"/>
            </a:ext>
          </a:extLst>
        </xdr:cNvPr>
        <xdr:cNvSpPr/>
      </xdr:nvSpPr>
      <xdr:spPr>
        <a:xfrm>
          <a:off x="3231459" y="313082"/>
          <a:ext cx="1381954" cy="257589"/>
        </a:xfrm>
        <a:prstGeom prst="rec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CLEAR</a:t>
          </a:r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</xdr:col>
      <xdr:colOff>28576</xdr:colOff>
      <xdr:row>0</xdr:row>
      <xdr:rowOff>295275</xdr:rowOff>
    </xdr:to>
    <xdr:sp macro="[6]!CLEAR_FILTER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7E98E6-A568-4AB2-AF5B-5F378A54BBF8}"/>
            </a:ext>
          </a:extLst>
        </xdr:cNvPr>
        <xdr:cNvSpPr/>
      </xdr:nvSpPr>
      <xdr:spPr>
        <a:xfrm>
          <a:off x="19051" y="19050"/>
          <a:ext cx="1458982" cy="276225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</a:t>
          </a:r>
          <a:r>
            <a:rPr lang="en-US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CON TROL</a:t>
          </a:r>
        </a:p>
      </xdr:txBody>
    </xdr:sp>
    <xdr:clientData/>
  </xdr:twoCellAnchor>
  <xdr:twoCellAnchor>
    <xdr:from>
      <xdr:col>1</xdr:col>
      <xdr:colOff>41412</xdr:colOff>
      <xdr:row>0</xdr:row>
      <xdr:rowOff>24847</xdr:rowOff>
    </xdr:from>
    <xdr:to>
      <xdr:col>1</xdr:col>
      <xdr:colOff>1772477</xdr:colOff>
      <xdr:row>0</xdr:row>
      <xdr:rowOff>301072</xdr:rowOff>
    </xdr:to>
    <xdr:sp macro="[6]!CLEAR_FILTER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86A778-E1C7-4244-9C90-5C43CF503161}"/>
            </a:ext>
          </a:extLst>
        </xdr:cNvPr>
        <xdr:cNvSpPr/>
      </xdr:nvSpPr>
      <xdr:spPr>
        <a:xfrm>
          <a:off x="1490869" y="24847"/>
          <a:ext cx="1731065" cy="276225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SL</a:t>
          </a:r>
          <a:r>
            <a:rPr lang="en-US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CONTROL</a:t>
          </a:r>
          <a:endParaRPr lang="en-US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41414</xdr:colOff>
      <xdr:row>0</xdr:row>
      <xdr:rowOff>8283</xdr:rowOff>
    </xdr:from>
    <xdr:to>
      <xdr:col>5</xdr:col>
      <xdr:colOff>49696</xdr:colOff>
      <xdr:row>2</xdr:row>
      <xdr:rowOff>0</xdr:rowOff>
    </xdr:to>
    <xdr:sp macro="[0]!Update_Format" textlink="">
      <xdr:nvSpPr>
        <xdr:cNvPr id="5" name="BaoCaoVH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82354C-AE2D-4254-8D39-428BDC7C87A3}"/>
            </a:ext>
          </a:extLst>
        </xdr:cNvPr>
        <xdr:cNvSpPr/>
      </xdr:nvSpPr>
      <xdr:spPr>
        <a:xfrm>
          <a:off x="3975653" y="8283"/>
          <a:ext cx="1151282" cy="56321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Bao Cao</a:t>
          </a:r>
        </a:p>
      </xdr:txBody>
    </xdr:sp>
    <xdr:clientData/>
  </xdr:twoCellAnchor>
  <xdr:twoCellAnchor>
    <xdr:from>
      <xdr:col>4</xdr:col>
      <xdr:colOff>33131</xdr:colOff>
      <xdr:row>0</xdr:row>
      <xdr:rowOff>8282</xdr:rowOff>
    </xdr:from>
    <xdr:to>
      <xdr:col>5</xdr:col>
      <xdr:colOff>41413</xdr:colOff>
      <xdr:row>1</xdr:row>
      <xdr:rowOff>256760</xdr:rowOff>
    </xdr:to>
    <xdr:sp macro="[0]!Update_Format" textlink="">
      <xdr:nvSpPr>
        <xdr:cNvPr id="7" name="BaoCaoAT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29D1B3-AD97-414F-BB84-E82ED6E3DE65}"/>
            </a:ext>
          </a:extLst>
        </xdr:cNvPr>
        <xdr:cNvSpPr/>
      </xdr:nvSpPr>
      <xdr:spPr>
        <a:xfrm>
          <a:off x="3967370" y="8282"/>
          <a:ext cx="1151282" cy="56321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Bao Cao</a:t>
          </a:r>
        </a:p>
      </xdr:txBody>
    </xdr:sp>
    <xdr:clientData/>
  </xdr:twoCellAnchor>
  <xdr:twoCellAnchor>
    <xdr:from>
      <xdr:col>4</xdr:col>
      <xdr:colOff>24847</xdr:colOff>
      <xdr:row>0</xdr:row>
      <xdr:rowOff>8283</xdr:rowOff>
    </xdr:from>
    <xdr:to>
      <xdr:col>5</xdr:col>
      <xdr:colOff>33129</xdr:colOff>
      <xdr:row>2</xdr:row>
      <xdr:rowOff>0</xdr:rowOff>
    </xdr:to>
    <xdr:sp macro="[0]!Update_Format" textlink="">
      <xdr:nvSpPr>
        <xdr:cNvPr id="9" name="BaoCa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29FD075-3DA6-4E0B-A31D-AACEA1F5AA24}"/>
            </a:ext>
          </a:extLst>
        </xdr:cNvPr>
        <xdr:cNvSpPr/>
      </xdr:nvSpPr>
      <xdr:spPr>
        <a:xfrm>
          <a:off x="3959086" y="8283"/>
          <a:ext cx="1151282" cy="56321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Bao Cao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19vnhcm02fs003.asi.bvcorp.corp\Hardline\NEW%20OL%20LIST\HL%20DCD%200509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19vnhcm02fs003.asi.bvcorp.corp\Hardline\NEW%20OL%20LIST\Subcontract%20checklist%20-AN%2020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19vnhcm02fs003.asi.bvcorp.corp\Hardline\NEW%20OL%20LIST\Subcontract%20checklist%20-%20SL%2020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ovo\Desktop\vba%20a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ovo\Desktop\TRANSFER%20ITEM%20vb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NEW%20OL%20LIST/DCD%20task%20only/Template%20+%20huong%20dan%20+%20c&#244;ng%20th&#432;c-%20contact-account/M&#432;&#7907;n%20b&#225;o%20c&#225;o%20+%20reche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FILE SCAN"/>
      <sheetName val="TA"/>
      <sheetName val="old"/>
      <sheetName val="Summary"/>
      <sheetName val="PIVOT"/>
      <sheetName val="BIVONA&amp;ZHONGSHENG"/>
      <sheetName val="PRODUCTIVITY"/>
    </sheetNames>
    <sheetDataSet>
      <sheetData sheetId="0">
        <row r="1">
          <cell r="A1" t="str">
            <v>sample #</v>
          </cell>
          <cell r="B1" t="str">
            <v>DUMMY #</v>
          </cell>
          <cell r="C1" t="str">
            <v>FINAL</v>
          </cell>
          <cell r="D1" t="str">
            <v>RG PIC</v>
          </cell>
          <cell r="E1" t="str">
            <v>CS name</v>
          </cell>
          <cell r="F1" t="str">
            <v>RG STATUS</v>
          </cell>
          <cell r="G1" t="str">
            <v>R</v>
          </cell>
          <cell r="H1" t="str">
            <v>E</v>
          </cell>
          <cell r="I1" t="str">
            <v>Z</v>
          </cell>
          <cell r="J1" t="str">
            <v>H</v>
          </cell>
          <cell r="K1" t="str">
            <v>T</v>
          </cell>
          <cell r="L1" t="str">
            <v>J</v>
          </cell>
          <cell r="M1" t="str">
            <v>C</v>
          </cell>
          <cell r="N1" t="str">
            <v>4.</v>
          </cell>
          <cell r="O1" t="str">
            <v>P</v>
          </cell>
          <cell r="P1" t="str">
            <v>W</v>
          </cell>
          <cell r="Q1" t="str">
            <v>F</v>
          </cell>
          <cell r="R1" t="str">
            <v>L</v>
          </cell>
          <cell r="S1" t="str">
            <v>M</v>
          </cell>
          <cell r="T1" t="str">
            <v>Y</v>
          </cell>
          <cell r="U1" t="str">
            <v>A</v>
          </cell>
          <cell r="V1" t="str">
            <v>Q</v>
          </cell>
          <cell r="W1" t="str">
            <v>V</v>
          </cell>
          <cell r="X1" t="str">
            <v>X</v>
          </cell>
          <cell r="Y1" t="str">
            <v>B</v>
          </cell>
          <cell r="Z1" t="str">
            <v>SUBS</v>
          </cell>
          <cell r="AA1" t="str">
            <v>PENDING</v>
          </cell>
          <cell r="AB1" t="str">
            <v>TA CODE</v>
          </cell>
          <cell r="AC1" t="str">
            <v>HOLD</v>
          </cell>
          <cell r="AD1" t="str">
            <v>FAIL TO INFORM</v>
          </cell>
          <cell r="AE1" t="str">
            <v>CS REMARK</v>
          </cell>
          <cell r="AF1" t="str">
            <v>SUBMITTER</v>
          </cell>
          <cell r="AG1" t="str">
            <v>SUBMITTING FOR</v>
          </cell>
          <cell r="AH1" t="str">
            <v>SERVICE LEVEL</v>
          </cell>
          <cell r="AI1" t="str">
            <v>RECD DATE</v>
          </cell>
          <cell r="AJ1" t="str">
            <v>ON HOLD DATE</v>
          </cell>
          <cell r="AK1" t="str">
            <v>OFF HOLD DATE</v>
          </cell>
          <cell r="AL1" t="str">
            <v>EST. INTERNAL DUE DATE</v>
          </cell>
          <cell r="AM1" t="str">
            <v>EST. RESULT DUE DATE</v>
          </cell>
          <cell r="AN1" t="str">
            <v>ORIGINAL EST. REPORT DUE DATE</v>
          </cell>
          <cell r="AO1" t="str">
            <v>EST. REPORT DUE DATE</v>
          </cell>
          <cell r="AP1" t="str">
            <v>REMARK</v>
          </cell>
        </row>
        <row r="2">
          <cell r="A2">
            <v>96213620387</v>
          </cell>
          <cell r="B2" t="str">
            <v>USDV-TAN</v>
          </cell>
          <cell r="C2">
            <v>0</v>
          </cell>
          <cell r="D2">
            <v>0</v>
          </cell>
          <cell r="E2" t="str">
            <v>FLO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 t="str">
            <v>YES</v>
          </cell>
          <cell r="AE2">
            <v>0</v>
          </cell>
          <cell r="AF2" t="str">
            <v>GOING STRONG ENTERPRISE CO LTD</v>
          </cell>
          <cell r="AG2" t="str">
            <v xml:space="preserve">CRATE &amp; BARREL </v>
          </cell>
          <cell r="AH2" t="str">
            <v>REGULAR</v>
          </cell>
          <cell r="AI2">
            <v>44558</v>
          </cell>
          <cell r="AJ2"/>
          <cell r="AK2"/>
          <cell r="AL2">
            <v>44566</v>
          </cell>
          <cell r="AM2">
            <v>44566</v>
          </cell>
          <cell r="AN2"/>
          <cell r="AO2">
            <v>44567</v>
          </cell>
          <cell r="AP2" t="str">
            <v>UNLOCK</v>
          </cell>
        </row>
        <row r="3">
          <cell r="A3">
            <v>96221090444</v>
          </cell>
          <cell r="B3" t="str">
            <v>JPV-MH-TAN</v>
          </cell>
          <cell r="C3" t="str">
            <v>PREPAYMENT(LO)</v>
          </cell>
          <cell r="D3">
            <v>0</v>
          </cell>
          <cell r="E3" t="str">
            <v>TAN</v>
          </cell>
          <cell r="F3" t="str">
            <v xml:space="preserve"> </v>
          </cell>
          <cell r="G3">
            <v>0</v>
          </cell>
          <cell r="H3">
            <v>0</v>
          </cell>
          <cell r="I3">
            <v>0</v>
          </cell>
          <cell r="J3" t="str">
            <v>H</v>
          </cell>
          <cell r="K3">
            <v>0</v>
          </cell>
          <cell r="L3" t="str">
            <v>J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 t="str">
            <v>Q</v>
          </cell>
          <cell r="W3" t="str">
            <v>V</v>
          </cell>
          <cell r="X3">
            <v>0</v>
          </cell>
          <cell r="Y3">
            <v>0</v>
          </cell>
          <cell r="Z3">
            <v>0</v>
          </cell>
          <cell r="AA3">
            <v>4</v>
          </cell>
          <cell r="AB3" t="str">
            <v>H, J, Q, V</v>
          </cell>
          <cell r="AC3" t="str">
            <v>x</v>
          </cell>
          <cell r="AD3">
            <v>0</v>
          </cell>
          <cell r="AE3" t="str">
            <v>0130: Wait approval to cancel report; Lock accounts</v>
          </cell>
          <cell r="AF3" t="str">
            <v>BIVONA &amp; COMPANY</v>
          </cell>
          <cell r="AG3" t="str">
            <v>BIVONA &amp; COMPANY</v>
          </cell>
          <cell r="AH3" t="str">
            <v>REGULAR</v>
          </cell>
          <cell r="AI3">
            <v>44670</v>
          </cell>
          <cell r="AJ3">
            <v>45049</v>
          </cell>
          <cell r="AK3">
            <v>45044</v>
          </cell>
          <cell r="AL3">
            <v>45054</v>
          </cell>
          <cell r="AM3">
            <v>45054</v>
          </cell>
          <cell r="AN3"/>
          <cell r="AO3">
            <v>45055</v>
          </cell>
          <cell r="AP3" t="str">
            <v>ON HOLD</v>
          </cell>
        </row>
        <row r="4">
          <cell r="A4">
            <v>96221090461</v>
          </cell>
          <cell r="B4" t="str">
            <v>JPV-MH-TAN (RF SAMPLE 96221090444)</v>
          </cell>
          <cell r="C4" t="str">
            <v>PREPAYMENT(LO)</v>
          </cell>
          <cell r="D4" t="str">
            <v>DUC</v>
          </cell>
          <cell r="E4" t="str">
            <v>TAN</v>
          </cell>
          <cell r="F4" t="str">
            <v>DONE 0526
FIRST MAKING 0507- AN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Q, V</v>
          </cell>
          <cell r="AC4" t="str">
            <v>x</v>
          </cell>
          <cell r="AD4">
            <v>0</v>
          </cell>
          <cell r="AE4" t="str">
            <v>0130: Wait approval to cancel report; ; 0510: confirming PI, 0516: PI confimred, 0518: no cs pend, 0525: overdue bivona, 0531: OEM, 0630: OEM</v>
          </cell>
          <cell r="AF4" t="str">
            <v>BIVONA &amp; COMPANY</v>
          </cell>
          <cell r="AG4" t="str">
            <v>BIVONA &amp; COMPANY</v>
          </cell>
          <cell r="AH4" t="str">
            <v>REGULAR</v>
          </cell>
          <cell r="AI4">
            <v>44670</v>
          </cell>
          <cell r="AJ4">
            <v>45049</v>
          </cell>
          <cell r="AK4">
            <v>45044</v>
          </cell>
          <cell r="AL4">
            <v>45054</v>
          </cell>
          <cell r="AM4">
            <v>45054</v>
          </cell>
          <cell r="AN4"/>
          <cell r="AO4">
            <v>45055</v>
          </cell>
          <cell r="AP4" t="str">
            <v>ON HOLD</v>
          </cell>
        </row>
        <row r="5">
          <cell r="A5">
            <v>96221100299</v>
          </cell>
          <cell r="B5" t="str">
            <v>JPV-MH-TAN (RF SAMPLE 96221090444)</v>
          </cell>
          <cell r="C5" t="str">
            <v>PREPAYMENT (wait CSE, NA submitter)</v>
          </cell>
          <cell r="D5" t="str">
            <v>TRAM</v>
          </cell>
          <cell r="E5" t="str">
            <v>TAN</v>
          </cell>
          <cell r="F5" t="str">
            <v>DONE 0531
Wait info 0531
MAKING 0531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 t="str">
            <v>H, J, A, Q, V</v>
          </cell>
          <cell r="AC5" t="str">
            <v>x</v>
          </cell>
          <cell r="AD5">
            <v>0</v>
          </cell>
          <cell r="AE5" t="str">
            <v xml:space="preserve">0425: pend doc, label, 0518: PLS ISSUE AS IS, 0525: overdue Bivona, 0531: OEM, 0630: OEM </v>
          </cell>
          <cell r="AF5" t="str">
            <v>BIVONA &amp; COMPANY</v>
          </cell>
          <cell r="AG5" t="str">
            <v>JUVENILE PRODUCTS MANUFACTURERS ASSOCIATION INC / JPMA</v>
          </cell>
          <cell r="AH5" t="str">
            <v>REGULAR</v>
          </cell>
          <cell r="AI5">
            <v>44671</v>
          </cell>
          <cell r="AJ5">
            <v>45049</v>
          </cell>
          <cell r="AK5">
            <v>45044</v>
          </cell>
          <cell r="AL5">
            <v>45054</v>
          </cell>
          <cell r="AM5">
            <v>45054</v>
          </cell>
          <cell r="AN5"/>
          <cell r="AO5">
            <v>45055</v>
          </cell>
          <cell r="AP5" t="str">
            <v>ON HOLD</v>
          </cell>
        </row>
        <row r="6">
          <cell r="A6">
            <v>96221380661</v>
          </cell>
          <cell r="B6" t="str">
            <v>JPV-MH-TAN (RF SAMPLE 96221380597)</v>
          </cell>
          <cell r="C6" t="str">
            <v>cannot assemble</v>
          </cell>
          <cell r="D6">
            <v>0</v>
          </cell>
          <cell r="E6" t="str">
            <v>TAN</v>
          </cell>
          <cell r="F6" t="str">
            <v>cannot assemble</v>
          </cell>
          <cell r="G6">
            <v>0</v>
          </cell>
          <cell r="H6">
            <v>0</v>
          </cell>
          <cell r="I6">
            <v>0</v>
          </cell>
          <cell r="J6" t="str">
            <v>H</v>
          </cell>
          <cell r="K6">
            <v>0</v>
          </cell>
          <cell r="L6" t="str">
            <v>J</v>
          </cell>
          <cell r="M6">
            <v>0</v>
          </cell>
          <cell r="N6">
            <v>0</v>
          </cell>
          <cell r="O6" t="str">
            <v xml:space="preserve"> 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 t="str">
            <v>Q</v>
          </cell>
          <cell r="W6" t="str">
            <v>V</v>
          </cell>
          <cell r="X6">
            <v>0</v>
          </cell>
          <cell r="Y6">
            <v>0</v>
          </cell>
          <cell r="Z6">
            <v>0</v>
          </cell>
          <cell r="AA6">
            <v>5</v>
          </cell>
          <cell r="AB6" t="str">
            <v>H, J, Q, V</v>
          </cell>
          <cell r="AC6" t="str">
            <v>x</v>
          </cell>
          <cell r="AD6">
            <v>0</v>
          </cell>
          <cell r="AE6" t="str">
            <v xml:space="preserve">0130: Wait approval to cancel report; ; OVERDUE BIVONA, 0531: OEM, ,0630: OEM </v>
          </cell>
          <cell r="AF6" t="str">
            <v>BIVONA &amp; COMPANY</v>
          </cell>
          <cell r="AG6" t="str">
            <v>BIVONA &amp; COMPANY</v>
          </cell>
          <cell r="AH6" t="str">
            <v>REGULAR</v>
          </cell>
          <cell r="AI6">
            <v>44699</v>
          </cell>
          <cell r="AJ6">
            <v>45049</v>
          </cell>
          <cell r="AK6">
            <v>45044</v>
          </cell>
          <cell r="AL6">
            <v>45054</v>
          </cell>
          <cell r="AM6">
            <v>45054</v>
          </cell>
          <cell r="AN6"/>
          <cell r="AO6">
            <v>45055</v>
          </cell>
          <cell r="AP6" t="str">
            <v>ON HOLD</v>
          </cell>
        </row>
        <row r="7">
          <cell r="A7">
            <v>96221410454</v>
          </cell>
          <cell r="B7" t="str">
            <v>USDV-TAN</v>
          </cell>
          <cell r="C7" t="str">
            <v>done</v>
          </cell>
          <cell r="D7" t="str">
            <v>THƯ</v>
          </cell>
          <cell r="E7" t="str">
            <v>TAN</v>
          </cell>
          <cell r="F7" t="str">
            <v>DONE 0528
MAKING 0528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 t="str">
            <v>Z</v>
          </cell>
          <cell r="AC7" t="str">
            <v>x</v>
          </cell>
          <cell r="AD7">
            <v>0</v>
          </cell>
          <cell r="AE7" t="str">
            <v>overdue bivona, 0630: OEM</v>
          </cell>
          <cell r="AF7" t="str">
            <v>BIVONA &amp; COMPANY</v>
          </cell>
          <cell r="AG7" t="str">
            <v>BIVONA &amp; COMPANY</v>
          </cell>
          <cell r="AH7" t="str">
            <v>REGULAR</v>
          </cell>
          <cell r="AI7">
            <v>44702</v>
          </cell>
          <cell r="AJ7">
            <v>45049</v>
          </cell>
          <cell r="AK7">
            <v>45044</v>
          </cell>
          <cell r="AL7">
            <v>45054</v>
          </cell>
          <cell r="AM7">
            <v>45054</v>
          </cell>
          <cell r="AN7"/>
          <cell r="AO7">
            <v>45055</v>
          </cell>
          <cell r="AP7" t="str">
            <v>ON HOLD</v>
          </cell>
        </row>
        <row r="8">
          <cell r="A8">
            <v>96221480379</v>
          </cell>
          <cell r="B8" t="str">
            <v>JPV-P-MH-TAN</v>
          </cell>
          <cell r="C8" t="str">
            <v>PREPAYMENT (RG)</v>
          </cell>
          <cell r="D8" t="str">
            <v>Maris</v>
          </cell>
          <cell r="E8" t="str">
            <v>TAN</v>
          </cell>
          <cell r="F8" t="str">
            <v>DONE 0701
On hold 0602
FIRST MAKING 0530-AN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 t="str">
            <v>Q, V</v>
          </cell>
          <cell r="AC8" t="str">
            <v>x</v>
          </cell>
          <cell r="AD8">
            <v>0</v>
          </cell>
          <cell r="AE8" t="str">
            <v>overdue bivona, 0630: OEM</v>
          </cell>
          <cell r="AF8" t="str">
            <v>BIVONA &amp; COMPANY</v>
          </cell>
          <cell r="AG8" t="str">
            <v>BIVONA &amp; COMPANY</v>
          </cell>
          <cell r="AH8" t="str">
            <v>REGULAR</v>
          </cell>
          <cell r="AI8">
            <v>44709</v>
          </cell>
          <cell r="AJ8">
            <v>45049</v>
          </cell>
          <cell r="AK8">
            <v>45044</v>
          </cell>
          <cell r="AL8">
            <v>45054</v>
          </cell>
          <cell r="AM8">
            <v>45054</v>
          </cell>
          <cell r="AN8"/>
          <cell r="AO8">
            <v>45055</v>
          </cell>
          <cell r="AP8" t="str">
            <v>ON HOLD</v>
          </cell>
        </row>
        <row r="9">
          <cell r="A9">
            <v>96221480406</v>
          </cell>
          <cell r="B9" t="str">
            <v>JPV-MH-TAN</v>
          </cell>
          <cell r="C9" t="str">
            <v>PREPAYMENT (RG)</v>
          </cell>
          <cell r="D9" t="str">
            <v>MONG - Maris</v>
          </cell>
          <cell r="E9" t="str">
            <v>TAN</v>
          </cell>
          <cell r="F9" t="str">
            <v>DONE 0701
1ST 0604 - ON HOLD
FIRST MAKING 0531-AN</v>
          </cell>
          <cell r="G9">
            <v>0</v>
          </cell>
          <cell r="H9">
            <v>0</v>
          </cell>
          <cell r="I9">
            <v>0</v>
          </cell>
          <cell r="J9" t="str">
    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1</v>
          </cell>
          <cell r="AB9" t="str">
            <v>Q, V</v>
          </cell>
          <cell r="AC9" t="str">
            <v>x</v>
          </cell>
          <cell r="AD9">
            <v>0</v>
          </cell>
          <cell r="AE9" t="str">
            <v>overdue bivona, 0630: OEM</v>
          </cell>
          <cell r="AF9" t="str">
            <v>BIVONA &amp; COMPANY</v>
          </cell>
          <cell r="AG9" t="str">
            <v>BIVONA &amp; COMPANY</v>
          </cell>
          <cell r="AH9" t="str">
            <v>REGULAR</v>
          </cell>
          <cell r="AI9">
            <v>44709</v>
          </cell>
          <cell r="AJ9">
            <v>45049</v>
          </cell>
          <cell r="AK9">
            <v>45044</v>
          </cell>
          <cell r="AL9">
            <v>45054</v>
          </cell>
          <cell r="AM9">
            <v>45054</v>
          </cell>
          <cell r="AN9"/>
          <cell r="AO9">
            <v>45055</v>
          </cell>
          <cell r="AP9" t="str">
            <v>ON HOLD</v>
          </cell>
        </row>
        <row r="10">
          <cell r="A10">
            <v>96221480440</v>
          </cell>
          <cell r="B10" t="str">
            <v>JPV-P-MH-TAN</v>
          </cell>
          <cell r="C10" t="str">
            <v>PREPAYMENT (RG)</v>
          </cell>
          <cell r="D10" t="str">
            <v>THƯ - Maris</v>
          </cell>
          <cell r="E10" t="str">
            <v>TAN</v>
          </cell>
          <cell r="F10" t="str">
            <v>DONE 0701
0603 ON HOLD
FIRST MAKING 0531-SL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 t="str">
            <v>F</v>
          </cell>
          <cell r="AC10" t="str">
            <v>x</v>
          </cell>
          <cell r="AD10">
            <v>0</v>
          </cell>
          <cell r="AE10" t="str">
            <v>overdue bivona, 0630: OEM</v>
          </cell>
          <cell r="AF10" t="str">
            <v>BIVONA &amp; COMPANY</v>
          </cell>
          <cell r="AG10" t="str">
            <v>BIVONA &amp; COMPANY</v>
          </cell>
          <cell r="AH10" t="str">
            <v>REGULAR</v>
          </cell>
          <cell r="AI10">
            <v>44709</v>
          </cell>
          <cell r="AJ10">
            <v>45049</v>
          </cell>
          <cell r="AK10">
            <v>45044</v>
          </cell>
          <cell r="AL10">
            <v>45054</v>
          </cell>
          <cell r="AM10">
            <v>45054</v>
          </cell>
          <cell r="AN10"/>
          <cell r="AO10">
            <v>45055</v>
          </cell>
          <cell r="AP10" t="str">
            <v>ON HOLD</v>
          </cell>
        </row>
        <row r="11">
          <cell r="A11">
            <v>96221480488</v>
          </cell>
          <cell r="B11" t="str">
            <v>USDV-TAN</v>
          </cell>
          <cell r="C11" t="str">
            <v>done</v>
          </cell>
          <cell r="D11" t="str">
            <v>TRAM</v>
          </cell>
          <cell r="E11" t="str">
            <v>TAN</v>
          </cell>
          <cell r="F11" t="str">
            <v>DONE 0531
MAKING 0531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 t="str">
            <v>Z</v>
          </cell>
          <cell r="AC11" t="str">
            <v>x</v>
          </cell>
          <cell r="AD11">
            <v>0</v>
          </cell>
          <cell r="AE11" t="str">
            <v>overdue bivona, 0630: OEM</v>
          </cell>
          <cell r="AF11" t="str">
            <v>BIVONA &amp; COMPANY</v>
          </cell>
          <cell r="AG11" t="str">
            <v>BIVONA &amp; COMPANY</v>
          </cell>
          <cell r="AH11" t="str">
            <v>REGULAR</v>
          </cell>
          <cell r="AI11">
            <v>44709</v>
          </cell>
          <cell r="AJ11">
            <v>45049</v>
          </cell>
          <cell r="AK11">
            <v>45044</v>
          </cell>
          <cell r="AL11">
            <v>45054</v>
          </cell>
          <cell r="AM11">
            <v>45054</v>
          </cell>
          <cell r="AN11"/>
          <cell r="AO11">
            <v>45055</v>
          </cell>
          <cell r="AP11" t="str">
            <v>ON HOLD</v>
          </cell>
        </row>
        <row r="12">
          <cell r="A12">
            <v>96221480496</v>
          </cell>
          <cell r="B12" t="str">
            <v>USDV-TAN</v>
          </cell>
          <cell r="C12" t="str">
            <v>done</v>
          </cell>
          <cell r="D12" t="str">
            <v>TRAM - Maris</v>
          </cell>
          <cell r="E12" t="str">
            <v>TAN</v>
          </cell>
          <cell r="F12" t="str">
            <v>DONE 0531
MAKING 0531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 t="str">
            <v>Z</v>
          </cell>
          <cell r="AC12" t="str">
            <v>x</v>
          </cell>
          <cell r="AD12">
            <v>0</v>
          </cell>
          <cell r="AE12" t="str">
            <v>overdue bivona, 0630: OEM</v>
          </cell>
          <cell r="AF12" t="str">
            <v>BIVONA &amp; COMPANY</v>
          </cell>
          <cell r="AG12" t="str">
            <v>BIVONA &amp; COMPANY</v>
          </cell>
          <cell r="AH12" t="str">
            <v>REGULAR</v>
          </cell>
          <cell r="AI12">
            <v>44709</v>
          </cell>
          <cell r="AJ12">
            <v>45049</v>
          </cell>
          <cell r="AK12">
            <v>45044</v>
          </cell>
          <cell r="AL12">
            <v>45054</v>
          </cell>
          <cell r="AM12">
            <v>45054</v>
          </cell>
          <cell r="AN12"/>
          <cell r="AO12">
            <v>45055</v>
          </cell>
          <cell r="AP12" t="str">
            <v>ON HOLD</v>
          </cell>
        </row>
        <row r="13">
          <cell r="A13">
            <v>96221510260</v>
          </cell>
          <cell r="B13" t="str">
            <v>JPV-MH-TAN (TRANSFER QUALITY FROM 96221480496)</v>
          </cell>
          <cell r="C13" t="str">
            <v>PREPAYMENT</v>
          </cell>
          <cell r="D13" t="str">
            <v>TRAM</v>
          </cell>
          <cell r="E13" t="str">
            <v>TAN</v>
          </cell>
          <cell r="F13" t="str">
            <v>1ST-AN
FIRST MAKING 0617-TSCA ,AN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 t="str">
            <v>H, J, A, Q, V</v>
          </cell>
          <cell r="AC13" t="str">
            <v>x</v>
          </cell>
          <cell r="AD13">
            <v>0</v>
          </cell>
          <cell r="AE13" t="str">
            <v>overdue bivona, 0630: OEM</v>
          </cell>
          <cell r="AF13" t="str">
            <v>BIVONA &amp; COMPANY</v>
          </cell>
          <cell r="AG13" t="str">
            <v>JUVENILE PRODUCTS MANUFACTURERS ASSOCIATION INC / JPMA</v>
          </cell>
          <cell r="AH13" t="str">
            <v>REGULAR</v>
          </cell>
          <cell r="AI13">
            <v>44712</v>
          </cell>
          <cell r="AJ13">
            <v>45049</v>
          </cell>
          <cell r="AK13">
            <v>45044</v>
          </cell>
          <cell r="AL13">
            <v>45054</v>
          </cell>
          <cell r="AM13">
            <v>45054</v>
          </cell>
          <cell r="AN13"/>
          <cell r="AO13">
            <v>45055</v>
          </cell>
          <cell r="AP13" t="str">
            <v>ON HOLD</v>
          </cell>
        </row>
        <row r="14">
          <cell r="A14">
            <v>96221510334</v>
          </cell>
          <cell r="B14" t="str">
            <v>JPV-MH-TAN (RF SP 96221510260)</v>
          </cell>
          <cell r="C14" t="str">
            <v>PREPAYMENT</v>
          </cell>
          <cell r="D14" t="str">
            <v>TRAM</v>
          </cell>
          <cell r="E14" t="str">
            <v>TAN</v>
          </cell>
          <cell r="F14" t="str">
            <v>RETURN JP TEAM
1ST-AN 
FIRST MAKING 0617-AN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 t="str">
            <v>H, J, Q, V</v>
          </cell>
          <cell r="AC14" t="str">
            <v>x</v>
          </cell>
          <cell r="AD14">
            <v>0</v>
          </cell>
          <cell r="AE14" t="str">
            <v>overdue bivona, 0630: OEM</v>
          </cell>
          <cell r="AF14" t="str">
            <v>BIVONA &amp; COMPANY</v>
          </cell>
          <cell r="AG14" t="str">
            <v>BIVONA &amp; COMPANY</v>
          </cell>
          <cell r="AH14" t="str">
            <v>REGULAR</v>
          </cell>
          <cell r="AI14">
            <v>44712</v>
          </cell>
          <cell r="AJ14">
            <v>45049</v>
          </cell>
          <cell r="AK14">
            <v>45044</v>
          </cell>
          <cell r="AL14">
            <v>45054</v>
          </cell>
          <cell r="AM14">
            <v>45054</v>
          </cell>
          <cell r="AN14"/>
          <cell r="AO14">
            <v>45055</v>
          </cell>
          <cell r="AP14" t="str">
            <v>ON HOLD</v>
          </cell>
        </row>
        <row r="15">
          <cell r="A15">
            <v>96221510336</v>
          </cell>
          <cell r="B15" t="str">
            <v>JPV-MH-TAN (TRANSFER QUALITY FROM 96221480488)</v>
          </cell>
          <cell r="C15" t="str">
            <v>PREPAYMENT</v>
          </cell>
          <cell r="D15" t="str">
            <v>THƯ</v>
          </cell>
          <cell r="E15" t="str">
            <v>TAN</v>
          </cell>
          <cell r="F15" t="str">
            <v xml:space="preserve">
DONE 0905 
0713 on hold
0617 1ST-AN
FIRST MAKING 0610 - AN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 t="str">
            <v>H, J, A, Q, V</v>
          </cell>
          <cell r="AC15" t="str">
            <v>x</v>
          </cell>
          <cell r="AD15">
            <v>0</v>
          </cell>
          <cell r="AE15" t="str">
            <v>overdue bivona, 0630: OEM</v>
          </cell>
          <cell r="AF15" t="str">
            <v>BIVONA &amp; COMPANY</v>
          </cell>
          <cell r="AG15" t="str">
            <v>JUVENILE PRODUCTS MANUFACTURERS ASSOCIATION INC / JPMA</v>
          </cell>
          <cell r="AH15" t="str">
            <v>REGULAR</v>
          </cell>
          <cell r="AI15">
            <v>44712</v>
          </cell>
          <cell r="AJ15">
            <v>45049</v>
          </cell>
          <cell r="AK15">
            <v>45044</v>
          </cell>
          <cell r="AL15">
            <v>45054</v>
          </cell>
          <cell r="AM15">
            <v>45054</v>
          </cell>
          <cell r="AN15"/>
          <cell r="AO15">
            <v>45055</v>
          </cell>
          <cell r="AP15" t="str">
            <v>ON HOLD</v>
          </cell>
        </row>
        <row r="16">
          <cell r="A16">
            <v>96221510338</v>
          </cell>
          <cell r="B16" t="str">
            <v>JPV-MH-TAN (RF SP 96221510336)</v>
          </cell>
          <cell r="C16" t="str">
            <v>PREPAYMENT</v>
          </cell>
          <cell r="D16" t="str">
            <v>THƯ - Maris</v>
          </cell>
          <cell r="E16" t="str">
            <v>TAN</v>
          </cell>
          <cell r="F16" t="str">
            <v xml:space="preserve">
DONE 0905 
0713 on hold
0617 1ST-AN
FIRST MAKING 0610 - AN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 t="str">
            <v>H, J, Q, V</v>
          </cell>
          <cell r="AC16" t="str">
            <v>x</v>
          </cell>
          <cell r="AD16">
            <v>0</v>
          </cell>
          <cell r="AE16" t="str">
            <v>overdue bivona, 0630: OEM</v>
          </cell>
          <cell r="AF16" t="str">
            <v>BIVONA &amp; COMPANY</v>
          </cell>
          <cell r="AG16" t="str">
            <v>BIVONA &amp; COMPANY</v>
          </cell>
          <cell r="AH16" t="str">
            <v>REGULAR</v>
          </cell>
          <cell r="AI16">
            <v>44712</v>
          </cell>
          <cell r="AJ16">
            <v>45049</v>
          </cell>
          <cell r="AK16">
            <v>45044</v>
          </cell>
          <cell r="AL16">
            <v>45054</v>
          </cell>
          <cell r="AM16">
            <v>45054</v>
          </cell>
          <cell r="AN16"/>
          <cell r="AO16">
            <v>45055</v>
          </cell>
          <cell r="AP16" t="str">
            <v>ON HOLD</v>
          </cell>
        </row>
        <row r="17">
          <cell r="A17">
            <v>96221820509</v>
          </cell>
          <cell r="B17" t="str">
            <v>USDV-TAN</v>
          </cell>
          <cell r="C17" t="str">
            <v>done</v>
          </cell>
          <cell r="D17" t="str">
            <v>DUC</v>
          </cell>
          <cell r="E17" t="str">
            <v>TAN</v>
          </cell>
          <cell r="F17" t="str">
            <v>DONE 0706
MAKING 0705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 t="str">
            <v>Z</v>
          </cell>
          <cell r="AC17" t="str">
            <v>x</v>
          </cell>
          <cell r="AD17">
            <v>0</v>
          </cell>
          <cell r="AE17" t="str">
            <v>overdue bivona</v>
          </cell>
          <cell r="AF17" t="str">
            <v>BIVONA &amp; COMPANY</v>
          </cell>
          <cell r="AG17" t="str">
            <v>BIVONA &amp; COMPANY</v>
          </cell>
          <cell r="AH17" t="str">
            <v>REGULAR</v>
          </cell>
          <cell r="AI17">
            <v>44743</v>
          </cell>
          <cell r="AJ17">
            <v>45049</v>
          </cell>
          <cell r="AK17">
            <v>45044</v>
          </cell>
          <cell r="AL17">
            <v>45054</v>
          </cell>
          <cell r="AM17">
            <v>45054</v>
          </cell>
          <cell r="AN17"/>
          <cell r="AO17">
            <v>45055</v>
          </cell>
          <cell r="AP17" t="str">
            <v>ON HOLD</v>
          </cell>
        </row>
        <row r="18">
          <cell r="A18">
            <v>96221820523</v>
          </cell>
          <cell r="B18" t="str">
            <v>USDV-TAN</v>
          </cell>
          <cell r="C18" t="str">
            <v>done</v>
          </cell>
          <cell r="D18" t="str">
            <v>DUC</v>
          </cell>
          <cell r="E18" t="str">
            <v>TAN</v>
          </cell>
          <cell r="F18" t="str">
            <v>DONE 0706
MAKING 0705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 t="str">
            <v>Z</v>
          </cell>
          <cell r="AC18" t="str">
            <v>x</v>
          </cell>
          <cell r="AD18">
            <v>0</v>
          </cell>
          <cell r="AE18" t="str">
            <v>overdue bivona</v>
          </cell>
          <cell r="AF18" t="str">
            <v>BIVONA &amp; COMPANY</v>
          </cell>
          <cell r="AG18" t="str">
            <v>BIVONA &amp; COMPANY</v>
          </cell>
          <cell r="AH18" t="str">
            <v>REGULAR</v>
          </cell>
          <cell r="AI18">
            <v>44743</v>
          </cell>
          <cell r="AJ18">
            <v>45049</v>
          </cell>
          <cell r="AK18">
            <v>45044</v>
          </cell>
          <cell r="AL18">
            <v>45054</v>
          </cell>
          <cell r="AM18">
            <v>45054</v>
          </cell>
          <cell r="AN18"/>
          <cell r="AO18">
            <v>45055</v>
          </cell>
          <cell r="AP18" t="str">
            <v>ON HOLD</v>
          </cell>
        </row>
        <row r="19">
          <cell r="A19">
            <v>96221820525</v>
          </cell>
          <cell r="B19" t="str">
            <v>USDV-TAN</v>
          </cell>
          <cell r="C19" t="str">
            <v>done</v>
          </cell>
          <cell r="D19" t="str">
            <v>van</v>
          </cell>
          <cell r="E19" t="str">
            <v>TAN</v>
          </cell>
          <cell r="F19" t="str">
            <v>done 0702-infos
MAKING 0702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 t="str">
            <v>Z</v>
          </cell>
          <cell r="AC19" t="str">
            <v>x</v>
          </cell>
          <cell r="AD19">
            <v>0</v>
          </cell>
          <cell r="AE19" t="str">
            <v>overdue bivona</v>
          </cell>
          <cell r="AF19" t="str">
            <v>BIVONA &amp; COMPANY</v>
          </cell>
          <cell r="AG19" t="str">
            <v>BIVONA &amp; COMPANY</v>
          </cell>
          <cell r="AH19" t="str">
            <v>REGULAR</v>
          </cell>
          <cell r="AI19">
            <v>44743</v>
          </cell>
          <cell r="AJ19">
            <v>45049</v>
          </cell>
          <cell r="AK19">
            <v>45044</v>
          </cell>
          <cell r="AL19">
            <v>45054</v>
          </cell>
          <cell r="AM19">
            <v>45054</v>
          </cell>
          <cell r="AN19"/>
          <cell r="AO19">
            <v>45055</v>
          </cell>
          <cell r="AP19" t="str">
            <v>ON HOLD</v>
          </cell>
        </row>
        <row r="20">
          <cell r="A20">
            <v>96221820526</v>
          </cell>
          <cell r="B20" t="str">
            <v>USDV-TAN</v>
          </cell>
          <cell r="C20" t="str">
            <v>done</v>
          </cell>
          <cell r="D20" t="str">
            <v>van</v>
          </cell>
          <cell r="E20" t="str">
            <v>TAN</v>
          </cell>
          <cell r="F20" t="str">
            <v>done 0702
MAKING 0702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 t="str">
            <v>Z</v>
          </cell>
          <cell r="AC20" t="str">
            <v>x</v>
          </cell>
          <cell r="AD20">
            <v>0</v>
          </cell>
          <cell r="AE20" t="str">
            <v>overdue bivona</v>
          </cell>
          <cell r="AF20" t="str">
            <v>BIVONA &amp; COMPANY</v>
          </cell>
          <cell r="AG20" t="str">
            <v>BIVONA &amp; COMPANY</v>
          </cell>
          <cell r="AH20" t="str">
            <v>REGULAR</v>
          </cell>
          <cell r="AI20">
            <v>44743</v>
          </cell>
          <cell r="AJ20">
            <v>45049</v>
          </cell>
          <cell r="AK20">
            <v>45044</v>
          </cell>
          <cell r="AL20">
            <v>45054</v>
          </cell>
          <cell r="AM20">
            <v>45054</v>
          </cell>
          <cell r="AN20"/>
          <cell r="AO20">
            <v>45055</v>
          </cell>
          <cell r="AP20" t="str">
            <v>ON HOLD</v>
          </cell>
        </row>
        <row r="21">
          <cell r="A21">
            <v>96221860495</v>
          </cell>
          <cell r="B21" t="str">
            <v>JPV-MH-TAN (TRANSFER QUALITY 96221820526)</v>
          </cell>
          <cell r="C21" t="str">
            <v>PEND-PI + PEND-DOC + PEND-SAMPLE</v>
          </cell>
          <cell r="D21">
            <v>0</v>
          </cell>
          <cell r="E21" t="str">
            <v>TAN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 t="str">
            <v>H</v>
          </cell>
          <cell r="K21">
            <v>0</v>
          </cell>
          <cell r="L21" t="str">
            <v>J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 t="str">
            <v>Q</v>
          </cell>
          <cell r="W21" t="str">
            <v>V</v>
          </cell>
          <cell r="X21">
            <v>0</v>
          </cell>
          <cell r="Y21">
            <v>0</v>
          </cell>
          <cell r="Z21">
            <v>0</v>
          </cell>
          <cell r="AA21">
            <v>4</v>
          </cell>
          <cell r="AB21" t="str">
            <v>H, J, Q, V</v>
          </cell>
          <cell r="AC21" t="str">
            <v>x</v>
          </cell>
          <cell r="AD21">
            <v>0</v>
          </cell>
          <cell r="AE21" t="str">
            <v>OVERDUE BIVONA</v>
          </cell>
          <cell r="AF21" t="str">
            <v>BIVONA &amp; COMPANY</v>
          </cell>
          <cell r="AG21" t="str">
            <v>BIVONA &amp; COMPANY</v>
          </cell>
          <cell r="AH21" t="str">
            <v>REGULAR</v>
          </cell>
          <cell r="AI21">
            <v>44747</v>
          </cell>
          <cell r="AJ21">
            <v>45049</v>
          </cell>
          <cell r="AK21">
            <v>45044</v>
          </cell>
          <cell r="AL21">
            <v>45054</v>
          </cell>
          <cell r="AM21">
            <v>45054</v>
          </cell>
          <cell r="AN21"/>
          <cell r="AO21">
            <v>45055</v>
          </cell>
          <cell r="AP21" t="str">
            <v>ON HOLD</v>
          </cell>
        </row>
        <row r="22">
          <cell r="A22">
            <v>96221860497</v>
          </cell>
          <cell r="B22" t="str">
            <v>JPV-MH-TAN (TRANSFER QUALITY 96221820523)</v>
          </cell>
          <cell r="C22" t="str">
            <v>PEND-PI + PEND-DOC + PEND-SAMPLE</v>
          </cell>
          <cell r="D22">
            <v>0</v>
          </cell>
          <cell r="E22" t="str">
            <v>TAN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 t="str">
            <v>H</v>
          </cell>
          <cell r="K22">
            <v>0</v>
          </cell>
          <cell r="L22" t="str">
            <v>J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 t="str">
            <v>Q</v>
          </cell>
          <cell r="W22" t="str">
            <v>V</v>
          </cell>
          <cell r="X22">
            <v>0</v>
          </cell>
          <cell r="Y22">
            <v>0</v>
          </cell>
          <cell r="Z22">
            <v>0</v>
          </cell>
          <cell r="AA22">
            <v>4</v>
          </cell>
          <cell r="AB22" t="str">
            <v>H, J, Q, V</v>
          </cell>
          <cell r="AC22" t="str">
            <v>x</v>
          </cell>
          <cell r="AD22">
            <v>0</v>
          </cell>
          <cell r="AE22" t="str">
            <v>OVERDUE BIVONA</v>
          </cell>
          <cell r="AF22" t="str">
            <v>BIVONA &amp; COMPANY</v>
          </cell>
          <cell r="AG22" t="str">
            <v>BIVONA &amp; COMPANY</v>
          </cell>
          <cell r="AH22" t="str">
            <v>REGULAR</v>
          </cell>
          <cell r="AI22">
            <v>44747</v>
          </cell>
          <cell r="AJ22">
            <v>45049</v>
          </cell>
          <cell r="AK22">
            <v>45044</v>
          </cell>
          <cell r="AL22">
            <v>45054</v>
          </cell>
          <cell r="AM22">
            <v>45054</v>
          </cell>
          <cell r="AN22"/>
          <cell r="AO22">
            <v>45055</v>
          </cell>
          <cell r="AP22" t="str">
            <v>ON HOLD</v>
          </cell>
        </row>
        <row r="23">
          <cell r="A23">
            <v>96221860499</v>
          </cell>
          <cell r="B23" t="str">
            <v>JPV-MH-TAN (TRANSFER QUALITY 96221820509)</v>
          </cell>
          <cell r="C23" t="str">
            <v>PEND-PI + PEND-DOC + PEND-SAMPLE</v>
          </cell>
          <cell r="D23">
            <v>0</v>
          </cell>
          <cell r="E23" t="str">
            <v>TAN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 t="str">
            <v>H</v>
          </cell>
          <cell r="K23">
            <v>0</v>
          </cell>
          <cell r="L23" t="str">
            <v>J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 t="str">
            <v>Q</v>
          </cell>
          <cell r="W23" t="str">
            <v>V</v>
          </cell>
          <cell r="X23">
            <v>0</v>
          </cell>
          <cell r="Y23">
            <v>0</v>
          </cell>
          <cell r="Z23">
            <v>0</v>
          </cell>
          <cell r="AA23">
            <v>4</v>
          </cell>
          <cell r="AB23" t="str">
            <v>H, J, Q, V</v>
          </cell>
          <cell r="AC23" t="str">
            <v>x</v>
          </cell>
          <cell r="AD23">
            <v>0</v>
          </cell>
          <cell r="AE23" t="str">
            <v>OVERDUE BIVONA</v>
          </cell>
          <cell r="AF23" t="str">
            <v>BIVONA &amp; COMPANY</v>
          </cell>
          <cell r="AG23" t="str">
            <v>BIVONA &amp; COMPANY</v>
          </cell>
          <cell r="AH23" t="str">
            <v>REGULAR</v>
          </cell>
          <cell r="AI23">
            <v>44747</v>
          </cell>
          <cell r="AJ23">
            <v>45049</v>
          </cell>
          <cell r="AK23">
            <v>45044</v>
          </cell>
          <cell r="AL23">
            <v>45054</v>
          </cell>
          <cell r="AM23">
            <v>45054</v>
          </cell>
          <cell r="AN23"/>
          <cell r="AO23">
            <v>45055</v>
          </cell>
          <cell r="AP23" t="str">
            <v>ON HOLD</v>
          </cell>
        </row>
        <row r="24">
          <cell r="A24">
            <v>96221860500</v>
          </cell>
          <cell r="B24" t="str">
            <v>JPV-MH-TAN (TRANSFER QUALITY 96221820525)</v>
          </cell>
          <cell r="C24" t="str">
            <v>PEND-PI + PEND-DOC + PEND-SAMPLE</v>
          </cell>
          <cell r="D24">
            <v>0</v>
          </cell>
          <cell r="E24" t="str">
            <v>TAN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 t="str">
            <v>H</v>
          </cell>
          <cell r="K24">
            <v>0</v>
          </cell>
          <cell r="L24" t="str">
            <v>J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 t="str">
            <v>Q</v>
          </cell>
          <cell r="W24" t="str">
            <v>V</v>
          </cell>
          <cell r="X24">
            <v>0</v>
          </cell>
          <cell r="Y24">
            <v>0</v>
          </cell>
          <cell r="Z24">
            <v>0</v>
          </cell>
          <cell r="AA24">
            <v>4</v>
          </cell>
          <cell r="AB24" t="str">
            <v>H, J, Q, V</v>
          </cell>
          <cell r="AC24" t="str">
            <v>x</v>
          </cell>
          <cell r="AD24">
            <v>0</v>
          </cell>
          <cell r="AE24" t="str">
            <v>OVERDUE BIVONA</v>
          </cell>
          <cell r="AF24" t="str">
            <v>BIVONA &amp; COMPANY</v>
          </cell>
          <cell r="AG24" t="str">
            <v>BIVONA &amp; COMPANY</v>
          </cell>
          <cell r="AH24" t="str">
            <v>REGULAR</v>
          </cell>
          <cell r="AI24">
            <v>44747</v>
          </cell>
          <cell r="AJ24">
            <v>45049</v>
          </cell>
          <cell r="AK24">
            <v>45044</v>
          </cell>
          <cell r="AL24">
            <v>45054</v>
          </cell>
          <cell r="AM24">
            <v>45054</v>
          </cell>
          <cell r="AN24"/>
          <cell r="AO24">
            <v>45055</v>
          </cell>
          <cell r="AP24" t="str">
            <v>ON HOLD</v>
          </cell>
        </row>
        <row r="25">
          <cell r="A25">
            <v>96221870259</v>
          </cell>
          <cell r="B25" t="str">
            <v>USDV-TAN</v>
          </cell>
          <cell r="C25">
            <v>0</v>
          </cell>
          <cell r="D25">
            <v>0</v>
          </cell>
          <cell r="E25" t="str">
            <v>TAN</v>
          </cell>
          <cell r="F25" t="str">
            <v>ONHOLD
MAKING 1017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 t="str">
            <v>Z</v>
          </cell>
          <cell r="AC25" t="str">
            <v>x</v>
          </cell>
          <cell r="AD25">
            <v>0</v>
          </cell>
          <cell r="AE25" t="str">
            <v>OVERDUE BIVONA</v>
          </cell>
          <cell r="AF25" t="str">
            <v>BIVONA &amp; COMPANY</v>
          </cell>
          <cell r="AG25" t="str">
            <v>BIVONA &amp; COMPANY</v>
          </cell>
          <cell r="AH25" t="str">
            <v>REGULAR</v>
          </cell>
          <cell r="AI25">
            <v>44748</v>
          </cell>
          <cell r="AJ25">
            <v>45049</v>
          </cell>
          <cell r="AK25">
            <v>45044</v>
          </cell>
          <cell r="AL25">
            <v>45054</v>
          </cell>
          <cell r="AM25">
            <v>45054</v>
          </cell>
          <cell r="AN25"/>
          <cell r="AO25">
            <v>45055</v>
          </cell>
          <cell r="AP25" t="str">
            <v>ON HOLD</v>
          </cell>
        </row>
        <row r="26">
          <cell r="A26">
            <v>96221870260</v>
          </cell>
          <cell r="B26" t="str">
            <v>USDV-TAN</v>
          </cell>
          <cell r="C26" t="str">
            <v>done</v>
          </cell>
          <cell r="D26" t="str">
            <v>VAN</v>
          </cell>
          <cell r="E26" t="str">
            <v>TAN</v>
          </cell>
          <cell r="F26" t="str">
            <v>DONE 0709
MAKING 0708
Return tech 0707
MAKING 0707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 t="str">
            <v xml:space="preserve"> 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1</v>
          </cell>
          <cell r="AB26" t="str">
            <v>Z</v>
          </cell>
          <cell r="AC26" t="str">
            <v>x</v>
          </cell>
          <cell r="AD26">
            <v>0</v>
          </cell>
          <cell r="AE26" t="str">
            <v>OVERDUE BIVONA</v>
          </cell>
          <cell r="AF26" t="str">
            <v>BIVONA &amp; COMPANY</v>
          </cell>
          <cell r="AG26" t="str">
            <v>BIVONA &amp; COMPANY</v>
          </cell>
          <cell r="AH26" t="str">
            <v>REGULAR</v>
          </cell>
          <cell r="AI26">
            <v>44748</v>
          </cell>
          <cell r="AJ26">
            <v>45049</v>
          </cell>
          <cell r="AK26">
            <v>45044</v>
          </cell>
          <cell r="AL26">
            <v>45054</v>
          </cell>
          <cell r="AM26">
            <v>45054</v>
          </cell>
          <cell r="AN26"/>
          <cell r="AO26">
            <v>45055</v>
          </cell>
          <cell r="AP26" t="str">
            <v>ON HOLD</v>
          </cell>
        </row>
        <row r="27">
          <cell r="A27">
            <v>96221880337</v>
          </cell>
          <cell r="B27" t="str">
            <v>JPV-MH-TAN (TRANSFER TRANSIT 96221870259)</v>
          </cell>
          <cell r="C27" t="str">
            <v>PEND-PI+PEND-DOC</v>
          </cell>
          <cell r="D27">
            <v>0</v>
          </cell>
          <cell r="E27" t="str">
            <v>TAN</v>
          </cell>
          <cell r="F27">
            <v>0</v>
          </cell>
          <cell r="G27" t="str">
            <v>R</v>
          </cell>
          <cell r="H27">
            <v>0</v>
          </cell>
          <cell r="I27">
            <v>0</v>
          </cell>
          <cell r="J27" t="str">
            <v>H</v>
          </cell>
          <cell r="K27">
            <v>0</v>
          </cell>
          <cell r="L27" t="str">
            <v>J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 t="str">
            <v>Q</v>
          </cell>
          <cell r="W27" t="str">
            <v>V</v>
          </cell>
          <cell r="X27">
            <v>0</v>
          </cell>
          <cell r="Y27">
            <v>0</v>
          </cell>
          <cell r="Z27">
            <v>0</v>
          </cell>
          <cell r="AA27">
            <v>5</v>
          </cell>
          <cell r="AB27" t="str">
            <v>H, J, R, Q, V</v>
          </cell>
          <cell r="AC27" t="str">
            <v>x</v>
          </cell>
          <cell r="AD27">
            <v>0</v>
          </cell>
          <cell r="AE27" t="str">
            <v>OVERDUE BIVONA</v>
          </cell>
          <cell r="AF27" t="str">
            <v>BIVONA &amp; COMPANY</v>
          </cell>
          <cell r="AG27" t="str">
            <v>BIVONA &amp; COMPANY</v>
          </cell>
          <cell r="AH27" t="str">
            <v>REGULAR</v>
          </cell>
          <cell r="AI27">
            <v>44749</v>
          </cell>
          <cell r="AJ27">
            <v>45049</v>
          </cell>
          <cell r="AK27">
            <v>45044</v>
          </cell>
          <cell r="AL27">
            <v>45054</v>
          </cell>
          <cell r="AM27">
            <v>45054</v>
          </cell>
          <cell r="AN27"/>
          <cell r="AO27">
            <v>45055</v>
          </cell>
          <cell r="AP27" t="str">
            <v>ON HOLD</v>
          </cell>
        </row>
        <row r="28">
          <cell r="A28">
            <v>96221890130</v>
          </cell>
          <cell r="B28" t="str">
            <v>JPV-MH-TAN (TRANSFER TRANSIT 96221870259)</v>
          </cell>
          <cell r="C28" t="str">
            <v>PEND-PI+PEND-DOC</v>
          </cell>
          <cell r="D28">
            <v>0</v>
          </cell>
          <cell r="E28" t="str">
            <v>TAN</v>
          </cell>
          <cell r="F28">
            <v>0</v>
          </cell>
          <cell r="G28" t="str">
            <v>R</v>
          </cell>
          <cell r="H28">
            <v>0</v>
          </cell>
          <cell r="I28">
            <v>0</v>
          </cell>
          <cell r="J28" t="str">
            <v>H</v>
          </cell>
          <cell r="K28">
            <v>0</v>
          </cell>
          <cell r="L28" t="str">
            <v>J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 t="str">
            <v>Q</v>
          </cell>
          <cell r="W28" t="str">
            <v>V</v>
          </cell>
          <cell r="X28">
            <v>0</v>
          </cell>
          <cell r="Y28">
            <v>0</v>
          </cell>
          <cell r="Z28">
            <v>0</v>
          </cell>
          <cell r="AA28">
            <v>5</v>
          </cell>
          <cell r="AB28" t="str">
            <v>H, J, R, Q, V</v>
          </cell>
          <cell r="AC28" t="str">
            <v>x</v>
          </cell>
          <cell r="AD28">
            <v>0</v>
          </cell>
          <cell r="AE28" t="str">
            <v>OVERDUE BIVONA</v>
          </cell>
          <cell r="AF28" t="str">
            <v>BIVONA &amp; COMPANY</v>
          </cell>
          <cell r="AG28" t="str">
            <v>BIVONA &amp; COMPANY</v>
          </cell>
          <cell r="AH28" t="str">
            <v>REGULAR</v>
          </cell>
          <cell r="AI28">
            <v>44750</v>
          </cell>
          <cell r="AJ28">
            <v>45049</v>
          </cell>
          <cell r="AK28">
            <v>45044</v>
          </cell>
          <cell r="AL28">
            <v>45054</v>
          </cell>
          <cell r="AM28">
            <v>45054</v>
          </cell>
          <cell r="AN28"/>
          <cell r="AO28">
            <v>45055</v>
          </cell>
          <cell r="AP28" t="str">
            <v>ON HOLD</v>
          </cell>
        </row>
        <row r="29">
          <cell r="A29">
            <v>96222000406</v>
          </cell>
          <cell r="B29" t="str">
            <v>JPV-P-MH-TAN</v>
          </cell>
          <cell r="C29" t="str">
            <v>PREPAYMENT</v>
          </cell>
          <cell r="D29" t="str">
            <v>RE</v>
          </cell>
          <cell r="E29" t="str">
            <v>TAN</v>
          </cell>
          <cell r="F29" t="str">
            <v>RETURN JP TEAM
ONHOLD
FIRST MAKING 0913-AN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 t="str">
            <v>Q, V</v>
          </cell>
          <cell r="AC29" t="str">
            <v>x</v>
          </cell>
          <cell r="AD29">
            <v>0</v>
          </cell>
          <cell r="AE29" t="str">
            <v>OVERDUE BIVONA</v>
          </cell>
          <cell r="AF29" t="str">
            <v>BIVONA &amp; COMPANY</v>
          </cell>
          <cell r="AG29" t="str">
            <v>BIVONA &amp; COMPANY</v>
          </cell>
          <cell r="AH29" t="str">
            <v>REGULAR</v>
          </cell>
          <cell r="AI29">
            <v>44761</v>
          </cell>
          <cell r="AJ29">
            <v>45017</v>
          </cell>
          <cell r="AK29">
            <v>45016</v>
          </cell>
          <cell r="AL29">
            <v>45021</v>
          </cell>
          <cell r="AM29">
            <v>45021</v>
          </cell>
          <cell r="AN29"/>
          <cell r="AO29">
            <v>45022</v>
          </cell>
          <cell r="AP29" t="str">
            <v>ON HOLD</v>
          </cell>
        </row>
        <row r="30">
          <cell r="A30">
            <v>96222210151</v>
          </cell>
          <cell r="B30" t="str">
            <v>JPV-MH-TAN (TRANSFER QUALITY FROM 96222110233)</v>
          </cell>
          <cell r="C30" t="str">
            <v>PREPAYMENT( PEND-doc and  PEND-SAMPLE)</v>
          </cell>
          <cell r="D30">
            <v>0</v>
          </cell>
          <cell r="E30" t="str">
            <v>TAN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 t="str">
            <v>H</v>
          </cell>
          <cell r="K30">
            <v>0</v>
          </cell>
          <cell r="L30" t="str">
            <v>J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 t="str">
            <v>A</v>
          </cell>
          <cell r="V30" t="str">
            <v>Q</v>
          </cell>
          <cell r="W30" t="str">
            <v>V</v>
          </cell>
          <cell r="X30">
            <v>0</v>
          </cell>
          <cell r="Y30">
            <v>0</v>
          </cell>
          <cell r="Z30">
            <v>0</v>
          </cell>
          <cell r="AA30">
            <v>5</v>
          </cell>
          <cell r="AB30" t="str">
            <v>H, J, A, Q, V</v>
          </cell>
          <cell r="AC30" t="str">
            <v>x</v>
          </cell>
          <cell r="AD30">
            <v>0</v>
          </cell>
          <cell r="AE30" t="str">
            <v>Lock accounts</v>
          </cell>
          <cell r="AF30" t="str">
            <v>BIVONA &amp; COMPANY</v>
          </cell>
          <cell r="AG30" t="str">
            <v>JUVENILE PRODUCTS MANUFACTURERS ASSOCIATION INC / JPMA</v>
          </cell>
          <cell r="AH30" t="str">
            <v>REGULAR</v>
          </cell>
          <cell r="AI30">
            <v>44782</v>
          </cell>
          <cell r="AJ30">
            <v>45049</v>
          </cell>
          <cell r="AK30">
            <v>45044</v>
          </cell>
          <cell r="AL30">
            <v>45054</v>
          </cell>
          <cell r="AM30">
            <v>45054</v>
          </cell>
          <cell r="AN30"/>
          <cell r="AO30">
            <v>45055</v>
          </cell>
          <cell r="AP30" t="str">
            <v>ON HOLD</v>
          </cell>
        </row>
        <row r="31">
          <cell r="A31">
            <v>96222210153</v>
          </cell>
          <cell r="B31" t="str">
            <v>JPV-MH-TAN (RF SP 96222210151)</v>
          </cell>
          <cell r="C31" t="str">
            <v>PREPAYMENT( PEND-doc and  PEND-SAMPLE)</v>
          </cell>
          <cell r="D31">
            <v>0</v>
          </cell>
          <cell r="E31" t="str">
            <v>TAN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 t="str">
            <v>H</v>
          </cell>
          <cell r="K31">
            <v>0</v>
          </cell>
          <cell r="L31" t="str">
            <v>J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 t="str">
            <v>Q</v>
          </cell>
          <cell r="W31" t="str">
            <v>V</v>
          </cell>
          <cell r="X31">
            <v>0</v>
          </cell>
          <cell r="Y31">
            <v>0</v>
          </cell>
          <cell r="Z31">
            <v>0</v>
          </cell>
          <cell r="AA31">
            <v>4</v>
          </cell>
          <cell r="AB31" t="str">
            <v>H, J, Q, V</v>
          </cell>
          <cell r="AC31" t="str">
            <v>x</v>
          </cell>
          <cell r="AD31">
            <v>0</v>
          </cell>
          <cell r="AE31" t="str">
            <v>overdue</v>
          </cell>
          <cell r="AF31" t="str">
            <v>BIVONA &amp; COMPANY</v>
          </cell>
          <cell r="AG31" t="str">
            <v>BIVONA &amp; COMPANY</v>
          </cell>
          <cell r="AH31" t="str">
            <v>REGULAR</v>
          </cell>
          <cell r="AI31">
            <v>44782</v>
          </cell>
          <cell r="AJ31">
            <v>45017</v>
          </cell>
          <cell r="AK31">
            <v>45016</v>
          </cell>
          <cell r="AL31">
            <v>45021</v>
          </cell>
          <cell r="AM31">
            <v>45021</v>
          </cell>
          <cell r="AN31"/>
          <cell r="AO31">
            <v>45022</v>
          </cell>
          <cell r="AP31" t="str">
            <v>ON HOLD</v>
          </cell>
        </row>
        <row r="32">
          <cell r="A32">
            <v>96222210158</v>
          </cell>
          <cell r="B32" t="str">
            <v>JPV-PLIL-TAN</v>
          </cell>
          <cell r="C32" t="str">
            <v>prepayment</v>
          </cell>
          <cell r="D32">
            <v>0</v>
          </cell>
          <cell r="E32" t="str">
            <v>TAN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 t="str">
            <v>Q</v>
          </cell>
          <cell r="W32" t="str">
            <v>V</v>
          </cell>
          <cell r="X32">
            <v>0</v>
          </cell>
          <cell r="Y32">
            <v>0</v>
          </cell>
          <cell r="Z32">
            <v>0</v>
          </cell>
          <cell r="AA32">
            <v>2</v>
          </cell>
          <cell r="AB32" t="str">
            <v>Q, V</v>
          </cell>
          <cell r="AC32" t="str">
            <v>x</v>
          </cell>
          <cell r="AD32">
            <v>0</v>
          </cell>
          <cell r="AE32" t="str">
            <v>Lock accounts</v>
          </cell>
          <cell r="AF32" t="str">
            <v>BIVONA &amp; COMPANY</v>
          </cell>
          <cell r="AG32" t="str">
            <v>BIVONA &amp; COMPANY</v>
          </cell>
          <cell r="AH32" t="str">
            <v>REGULAR</v>
          </cell>
          <cell r="AI32">
            <v>44782</v>
          </cell>
          <cell r="AJ32">
            <v>45049</v>
          </cell>
          <cell r="AK32">
            <v>45044</v>
          </cell>
          <cell r="AL32">
            <v>45054</v>
          </cell>
          <cell r="AM32">
            <v>45054</v>
          </cell>
          <cell r="AN32"/>
          <cell r="AO32">
            <v>45055</v>
          </cell>
          <cell r="AP32" t="str">
            <v>ON HOLD</v>
          </cell>
        </row>
        <row r="33">
          <cell r="A33">
            <v>96222430139</v>
          </cell>
          <cell r="B33" t="str">
            <v>USDV-TAN</v>
          </cell>
          <cell r="C33" t="str">
            <v>done</v>
          </cell>
          <cell r="D33" t="str">
            <v>NGHIEM</v>
          </cell>
          <cell r="E33" t="str">
            <v>TAN</v>
          </cell>
          <cell r="F33" t="str">
            <v>DONE 1017
MAKING 1017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 t="str">
            <v>H, Z</v>
          </cell>
          <cell r="AC33" t="str">
            <v>x</v>
          </cell>
          <cell r="AD33">
            <v>0</v>
          </cell>
          <cell r="AE33" t="str">
            <v>Lock accounts</v>
          </cell>
          <cell r="AF33" t="str">
            <v>BIVONA &amp; COMPANY</v>
          </cell>
          <cell r="AG33" t="str">
            <v>BIVONA &amp; COMPANY</v>
          </cell>
          <cell r="AH33" t="str">
            <v>REGULAR</v>
          </cell>
          <cell r="AI33">
            <v>44804</v>
          </cell>
          <cell r="AJ33">
            <v>45049</v>
          </cell>
          <cell r="AK33">
            <v>45044</v>
          </cell>
          <cell r="AL33">
            <v>45054</v>
          </cell>
          <cell r="AM33">
            <v>45054</v>
          </cell>
          <cell r="AN33"/>
          <cell r="AO33">
            <v>45055</v>
          </cell>
          <cell r="AP33" t="str">
            <v>ON HOLD</v>
          </cell>
        </row>
        <row r="34">
          <cell r="A34">
            <v>96222590158</v>
          </cell>
          <cell r="B34" t="str">
            <v>JPV-MH-TAN (RF SP 96222210158)</v>
          </cell>
          <cell r="C34" t="str">
            <v>PREPAYMENT - STILL NOT TEST</v>
          </cell>
          <cell r="D34" t="str">
            <v>VAN</v>
          </cell>
          <cell r="E34" t="str">
            <v>TAN</v>
          </cell>
          <cell r="F34" t="str">
            <v>RETURN JP TEAM
on hold 1103
FIRST MAKING 1101-SL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 t="str">
            <v>F</v>
          </cell>
          <cell r="AC34" t="str">
            <v>x</v>
          </cell>
          <cell r="AD34">
            <v>0</v>
          </cell>
          <cell r="AE34" t="str">
            <v>Lock accounts</v>
          </cell>
          <cell r="AF34" t="str">
            <v>BIVONA &amp; COMPANY</v>
          </cell>
          <cell r="AG34" t="str">
            <v>BIVONA &amp; COMPANY</v>
          </cell>
          <cell r="AH34" t="str">
            <v>REGULAR</v>
          </cell>
          <cell r="AI34">
            <v>44820</v>
          </cell>
          <cell r="AJ34">
            <v>45049</v>
          </cell>
          <cell r="AK34">
            <v>45044</v>
          </cell>
          <cell r="AL34">
            <v>45054</v>
          </cell>
          <cell r="AM34">
            <v>45054</v>
          </cell>
          <cell r="AN34"/>
          <cell r="AO34">
            <v>45055</v>
          </cell>
          <cell r="AP34" t="str">
            <v>ON HOLD</v>
          </cell>
        </row>
        <row r="35">
          <cell r="A35">
            <v>96222780660</v>
          </cell>
          <cell r="B35" t="str">
            <v>CDV-JUN-MIN</v>
          </cell>
          <cell r="C35" t="str">
            <v>Prepayment</v>
          </cell>
          <cell r="D35" t="str">
            <v>Maris</v>
          </cell>
          <cell r="E35" t="str">
            <v>MIN</v>
          </cell>
          <cell r="F35" t="str">
            <v>ON HOLD 1104
MAKING 1104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 t="str">
            <v>C</v>
          </cell>
          <cell r="AC35">
            <v>0</v>
          </cell>
          <cell r="AD35" t="str">
            <v>YES</v>
          </cell>
          <cell r="AE35" t="str">
            <v>0429-02/01: vendor request cancel, wait LM advise
01/31: OEM
Prepayment All ZHONG SHENG CANDLE CO LTD</v>
          </cell>
          <cell r="AF35" t="str">
            <v>ZHONG SHENG CANDLE CO LTD</v>
          </cell>
          <cell r="AG35" t="str">
            <v>ZHONG SHENG CANDLE CO LTD</v>
          </cell>
          <cell r="AH35" t="str">
            <v>REGULAR</v>
          </cell>
          <cell r="AI35">
            <v>44839</v>
          </cell>
          <cell r="AJ35">
            <v>45049</v>
          </cell>
          <cell r="AK35">
            <v>45044</v>
          </cell>
          <cell r="AL35">
            <v>45054</v>
          </cell>
          <cell r="AM35">
            <v>45054</v>
          </cell>
          <cell r="AN35"/>
          <cell r="AO35">
            <v>45055</v>
          </cell>
          <cell r="AP35" t="str">
            <v>OFF HOLD</v>
          </cell>
        </row>
        <row r="36">
          <cell r="A36">
            <v>96222780661</v>
          </cell>
          <cell r="B36" t="str">
            <v>CDV-JUN-MIN</v>
          </cell>
          <cell r="C36" t="str">
            <v>Prepayment</v>
          </cell>
          <cell r="D36" t="str">
            <v>Maris</v>
          </cell>
          <cell r="E36" t="str">
            <v>MIN</v>
          </cell>
          <cell r="F36" t="str">
            <v>On hold 1108
MAKING 1108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 t="str">
            <v>C</v>
          </cell>
          <cell r="AC36">
            <v>0</v>
          </cell>
          <cell r="AD36" t="str">
            <v>YES</v>
          </cell>
          <cell r="AE36" t="str">
            <v>0429-02/01: vendor request cancel, wait LM advise
01/31: OEM
Prepayment All ZHONG SHENG CANDLE CO LTD</v>
          </cell>
          <cell r="AF36" t="str">
            <v>ZHONG SHENG CANDLE CO LTD</v>
          </cell>
          <cell r="AG36" t="str">
            <v>ZHONG SHENG CANDLE CO LTD</v>
          </cell>
          <cell r="AH36" t="str">
            <v>REGULAR</v>
          </cell>
          <cell r="AI36">
            <v>44839</v>
          </cell>
          <cell r="AJ36">
            <v>45049</v>
          </cell>
          <cell r="AK36">
            <v>45044</v>
          </cell>
          <cell r="AL36">
            <v>45054</v>
          </cell>
          <cell r="AM36">
            <v>45054</v>
          </cell>
          <cell r="AN36"/>
          <cell r="AO36">
            <v>45055</v>
          </cell>
          <cell r="AP36" t="str">
            <v>OFF HOLD</v>
          </cell>
        </row>
        <row r="37">
          <cell r="A37">
            <v>96222780662</v>
          </cell>
          <cell r="B37" t="str">
            <v>CDV-JUN-MIN</v>
          </cell>
          <cell r="C37" t="str">
            <v>Prepayment</v>
          </cell>
          <cell r="D37" t="str">
            <v>Maris</v>
          </cell>
          <cell r="E37" t="str">
            <v>MIN</v>
          </cell>
          <cell r="F37" t="str">
            <v>On hold 1108
MAKING 1108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 t="str">
            <v>C</v>
          </cell>
          <cell r="AC37">
            <v>0</v>
          </cell>
          <cell r="AD37" t="str">
            <v>YES</v>
          </cell>
          <cell r="AE37" t="str">
            <v>0429-02/01: vendor request cancel, wait LM advise
01/31: OEM
Prepayment All ZHONG SHENG CANDLE CO LTD</v>
          </cell>
          <cell r="AF37" t="str">
            <v>ZHONG SHENG CANDLE CO LTD</v>
          </cell>
          <cell r="AG37" t="str">
            <v>ZHONG SHENG CANDLE CO LTD</v>
          </cell>
          <cell r="AH37" t="str">
            <v>REGULAR</v>
          </cell>
          <cell r="AI37">
            <v>44839</v>
          </cell>
          <cell r="AJ37">
            <v>45049</v>
          </cell>
          <cell r="AK37">
            <v>45044</v>
          </cell>
          <cell r="AL37">
            <v>45054</v>
          </cell>
          <cell r="AM37">
            <v>45054</v>
          </cell>
          <cell r="AN37"/>
          <cell r="AO37">
            <v>45055</v>
          </cell>
          <cell r="AP37" t="str">
            <v>OFF HOLD</v>
          </cell>
        </row>
        <row r="38">
          <cell r="A38">
            <v>96222780663</v>
          </cell>
          <cell r="B38" t="str">
            <v>CDV-JUN-MIN</v>
          </cell>
          <cell r="C38" t="str">
            <v>Prepayment</v>
          </cell>
          <cell r="D38" t="str">
            <v>Maris</v>
          </cell>
          <cell r="E38" t="str">
            <v>MIN</v>
          </cell>
          <cell r="F38" t="str">
            <v>On hold 1108
MAKING 1108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 t="str">
            <v>C</v>
          </cell>
          <cell r="AC38">
            <v>0</v>
          </cell>
          <cell r="AD38" t="str">
            <v>YES</v>
          </cell>
          <cell r="AE38" t="str">
            <v>0429-02/01: vendor request cancel, wait LM advise
01/31: OEM
Prepayment All ZHONG SHENG CANDLE CO LTD</v>
          </cell>
          <cell r="AF38" t="str">
            <v>ZHONG SHENG CANDLE CO LTD</v>
          </cell>
          <cell r="AG38" t="str">
            <v>ZHONG SHENG CANDLE CO LTD</v>
          </cell>
          <cell r="AH38" t="str">
            <v>REGULAR</v>
          </cell>
          <cell r="AI38">
            <v>44839</v>
          </cell>
          <cell r="AJ38">
            <v>45049</v>
          </cell>
          <cell r="AK38">
            <v>45044</v>
          </cell>
          <cell r="AL38">
            <v>45054</v>
          </cell>
          <cell r="AM38">
            <v>45054</v>
          </cell>
          <cell r="AN38"/>
          <cell r="AO38">
            <v>45055</v>
          </cell>
          <cell r="AP38" t="str">
            <v>OFF HOLD</v>
          </cell>
        </row>
        <row r="39">
          <cell r="A39">
            <v>96222780664</v>
          </cell>
          <cell r="B39" t="str">
            <v>CDV-JUN-MIN</v>
          </cell>
          <cell r="C39" t="str">
            <v>Prepayment</v>
          </cell>
          <cell r="D39" t="str">
            <v>Maris</v>
          </cell>
          <cell r="E39" t="str">
            <v>MIN</v>
          </cell>
          <cell r="F39" t="str">
            <v>On hold 1108
MAKING 1108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 t="str">
            <v>C</v>
          </cell>
          <cell r="AC39">
            <v>0</v>
          </cell>
          <cell r="AD39" t="str">
            <v>YES</v>
          </cell>
          <cell r="AE39" t="str">
            <v>0429-02/01: vendor request cancel, wait LM advise
01/31: OEM
Prepayment All ZHONG SHENG CANDLE CO LTD</v>
          </cell>
          <cell r="AF39" t="str">
            <v>ZHONG SHENG CANDLE CO LTD</v>
          </cell>
          <cell r="AG39" t="str">
            <v>ZHONG SHENG CANDLE CO LTD</v>
          </cell>
          <cell r="AH39" t="str">
            <v>REGULAR</v>
          </cell>
          <cell r="AI39">
            <v>44839</v>
          </cell>
          <cell r="AJ39">
            <v>45049</v>
          </cell>
          <cell r="AK39">
            <v>45044</v>
          </cell>
          <cell r="AL39">
            <v>45054</v>
          </cell>
          <cell r="AM39">
            <v>45054</v>
          </cell>
          <cell r="AN39"/>
          <cell r="AO39">
            <v>45055</v>
          </cell>
          <cell r="AP39" t="str">
            <v>OFF HOLD</v>
          </cell>
        </row>
        <row r="40">
          <cell r="A40">
            <v>96222950412</v>
          </cell>
          <cell r="B40" t="str">
            <v>EED-LYNN (NOB)</v>
          </cell>
          <cell r="C40" t="str">
            <v>done</v>
          </cell>
          <cell r="D40" t="str">
            <v>DUC</v>
          </cell>
          <cell r="E40" t="str">
            <v>LYNN</v>
          </cell>
          <cell r="F40" t="str">
            <v>DONE 1201
MAKING 1130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 t="str">
            <v>Z</v>
          </cell>
          <cell r="AC40" t="str">
            <v>BD - Prepayment</v>
          </cell>
          <cell r="AD40">
            <v>0</v>
          </cell>
          <cell r="AE40" t="str">
            <v>Overdue payment from vendor, BD - Miky is chasing now</v>
          </cell>
          <cell r="AF40" t="str">
            <v>JABIL VIETNAM CO LTD</v>
          </cell>
          <cell r="AG40" t="str">
            <v>JABIL VIETNAM CO LTD</v>
          </cell>
          <cell r="AH40" t="str">
            <v>REGULAR</v>
          </cell>
          <cell r="AI40">
            <v>44856</v>
          </cell>
          <cell r="AJ40">
            <v>45019</v>
          </cell>
          <cell r="AK40">
            <v>45016</v>
          </cell>
          <cell r="AL40">
            <v>45021</v>
          </cell>
          <cell r="AM40">
            <v>45021</v>
          </cell>
          <cell r="AN40"/>
          <cell r="AO40">
            <v>45023</v>
          </cell>
          <cell r="AP40" t="str">
            <v>ON HOLD</v>
          </cell>
        </row>
        <row r="41">
          <cell r="A41">
            <v>96230130346</v>
          </cell>
          <cell r="B41" t="str">
            <v>US2V-LUK-ELV</v>
          </cell>
          <cell r="C41">
            <v>0</v>
          </cell>
          <cell r="D41">
            <v>0</v>
          </cell>
          <cell r="E41" t="str">
            <v>ELV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 t="str">
            <v>YES</v>
          </cell>
          <cell r="AE41">
            <v>0</v>
          </cell>
          <cell r="AF41" t="str">
            <v>DREAM ON ME INC</v>
          </cell>
          <cell r="AG41" t="str">
            <v>DREAM ON ME INC</v>
          </cell>
          <cell r="AH41" t="str">
            <v>REGULAR</v>
          </cell>
          <cell r="AI41">
            <v>44939</v>
          </cell>
          <cell r="AJ41">
            <v>44965</v>
          </cell>
          <cell r="AK41">
            <v>44965</v>
          </cell>
          <cell r="AL41">
            <v>44972</v>
          </cell>
          <cell r="AM41">
            <v>44972</v>
          </cell>
          <cell r="AN41">
            <v>44972</v>
          </cell>
          <cell r="AO41">
            <v>44973</v>
          </cell>
          <cell r="AP41" t="str">
            <v>UNLOCK</v>
          </cell>
        </row>
        <row r="42">
          <cell r="A42">
            <v>96230390469</v>
          </cell>
          <cell r="B42" t="str">
            <v>US2V-LUK-SHE</v>
          </cell>
          <cell r="C42">
            <v>0</v>
          </cell>
          <cell r="D42">
            <v>0</v>
          </cell>
          <cell r="E42" t="str">
            <v>SHE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 t="str">
            <v>YES</v>
          </cell>
          <cell r="AE42" t="str">
            <v>4/21: WAIT CONFIRM PI, GF 4/20: REVISE TO ADD TEST+ ADD SKU, DESCRIPTION</v>
          </cell>
          <cell r="AF42" t="str">
            <v>TRUONG THANH FURNITURE CORP</v>
          </cell>
          <cell r="AG42" t="str">
            <v xml:space="preserve">CRATE &amp; BARREL </v>
          </cell>
          <cell r="AH42" t="str">
            <v>REGULAR</v>
          </cell>
          <cell r="AI42">
            <v>44965</v>
          </cell>
          <cell r="AJ42">
            <v>44986</v>
          </cell>
          <cell r="AK42">
            <v>44991</v>
          </cell>
          <cell r="AL42">
            <v>44992</v>
          </cell>
          <cell r="AM42">
            <v>44992</v>
          </cell>
          <cell r="AN42">
            <v>44992</v>
          </cell>
          <cell r="AO42">
            <v>44993</v>
          </cell>
          <cell r="AP42" t="str">
            <v>UNLOCK</v>
          </cell>
        </row>
        <row r="43">
          <cell r="A43">
            <v>96230480546</v>
          </cell>
          <cell r="B43" t="str">
            <v>US2V-LUK-SHE (NOB)</v>
          </cell>
          <cell r="C43">
            <v>0</v>
          </cell>
          <cell r="D43">
            <v>0</v>
          </cell>
          <cell r="E43" t="str">
            <v>SHE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 t="str">
            <v>H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1</v>
          </cell>
          <cell r="AB43" t="str">
            <v>H, Q, V</v>
          </cell>
          <cell r="AC43" t="str">
            <v>x</v>
          </cell>
          <cell r="AD43" t="str">
            <v>YES</v>
          </cell>
          <cell r="AE43" t="str">
            <v>0428: CSE- charge in final report; 4/10: fail again, 4/8: off, 3/3: fail backrest due to wrong testing from lab, 2/28: OFF, 2/22: WAIT EXTRA, off PI</v>
          </cell>
          <cell r="AF43" t="str">
            <v>KODA LTD.</v>
          </cell>
          <cell r="AG43" t="str">
            <v>BURROW INC</v>
          </cell>
          <cell r="AH43" t="str">
            <v>REGULAR</v>
          </cell>
          <cell r="AI43">
            <v>44974</v>
          </cell>
          <cell r="AJ43">
            <v>45049</v>
          </cell>
          <cell r="AK43">
            <v>45044</v>
          </cell>
          <cell r="AL43">
            <v>45055</v>
          </cell>
          <cell r="AM43">
            <v>45055</v>
          </cell>
          <cell r="AN43"/>
          <cell r="AO43">
            <v>45056</v>
          </cell>
          <cell r="AP43" t="str">
            <v>ON HOLD</v>
          </cell>
        </row>
        <row r="44">
          <cell r="A44">
            <v>96230520408</v>
          </cell>
          <cell r="B44" t="str">
            <v>BVP-MIKY</v>
          </cell>
          <cell r="C44">
            <v>0</v>
          </cell>
          <cell r="D44">
            <v>0</v>
          </cell>
          <cell r="E44" t="str">
            <v>MIKY</v>
          </cell>
          <cell r="F44">
            <v>0</v>
          </cell>
          <cell r="G44" t="str">
            <v>R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1</v>
          </cell>
          <cell r="AB44" t="str">
            <v>R</v>
          </cell>
          <cell r="AC44">
            <v>0</v>
          </cell>
          <cell r="AD44">
            <v>0</v>
          </cell>
          <cell r="AE44">
            <v>0</v>
          </cell>
          <cell r="AF44" t="str">
            <v>ABBYSON LIVING LLC</v>
          </cell>
          <cell r="AG44" t="str">
            <v>ABBYSON LIVING LLC</v>
          </cell>
          <cell r="AH44" t="str">
            <v>REGULAR</v>
          </cell>
          <cell r="AI44">
            <v>44978</v>
          </cell>
          <cell r="AJ44"/>
          <cell r="AK44"/>
          <cell r="AL44">
            <v>44984</v>
          </cell>
          <cell r="AM44">
            <v>44984</v>
          </cell>
          <cell r="AN44"/>
          <cell r="AO44">
            <v>44985</v>
          </cell>
          <cell r="AP44" t="str">
            <v>BV PLUS</v>
          </cell>
        </row>
        <row r="45">
          <cell r="A45">
            <v>96230610615</v>
          </cell>
          <cell r="B45" t="str">
            <v>CD-JUN-SHE</v>
          </cell>
          <cell r="C45">
            <v>0</v>
          </cell>
          <cell r="D45">
            <v>0</v>
          </cell>
          <cell r="E45" t="str">
            <v>SHE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 t="str">
            <v>H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1</v>
          </cell>
          <cell r="AB45" t="str">
            <v>H, Q</v>
          </cell>
          <cell r="AC45">
            <v>0</v>
          </cell>
          <cell r="AD45">
            <v>0</v>
          </cell>
          <cell r="AE45" t="str">
            <v>5/4: will void after issue local 96231180155, 4/27: off change to local, 4/8: wait prepayment, 4/1: wait sending PI, off, 3/4: wait TRF online- GLOBAL OUTDOOR</v>
          </cell>
          <cell r="AF45" t="str">
            <v>GLOBAL OUTDOORS, INC.</v>
          </cell>
          <cell r="AG45" t="str">
            <v>KROGER COMPANY</v>
          </cell>
          <cell r="AH45" t="str">
            <v>REGULAR</v>
          </cell>
          <cell r="AI45">
            <v>44988</v>
          </cell>
          <cell r="AJ45">
            <v>45024</v>
          </cell>
          <cell r="AK45">
            <v>45043</v>
          </cell>
          <cell r="AL45">
            <v>45057</v>
          </cell>
          <cell r="AM45">
            <v>45057</v>
          </cell>
          <cell r="AN45"/>
          <cell r="AO45">
            <v>45058</v>
          </cell>
          <cell r="AP45" t="str">
            <v>OFF HOLD</v>
          </cell>
        </row>
        <row r="46">
          <cell r="A46">
            <v>96230630407</v>
          </cell>
          <cell r="B46" t="str">
            <v>CD-JUN-SHE</v>
          </cell>
          <cell r="C46">
            <v>0</v>
          </cell>
          <cell r="D46">
            <v>0</v>
          </cell>
          <cell r="E46" t="str">
            <v>SHE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 t="str">
            <v>H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1</v>
          </cell>
          <cell r="AB46" t="str">
            <v>H, Q</v>
          </cell>
          <cell r="AC46">
            <v>0</v>
          </cell>
          <cell r="AD46">
            <v>0</v>
          </cell>
          <cell r="AE46" t="str">
            <v>5/4: will void after issue local 96231180107, 4/27: off change to local, 4/8: wait prepayment, 4/1: wait sending PI, off, 3/4: wait TRF online- GLOBAL OUTDOOR</v>
          </cell>
          <cell r="AF46" t="str">
            <v>GLOBAL OUTDOORS, INC.</v>
          </cell>
          <cell r="AG46" t="str">
            <v>KROGER COMPANY</v>
          </cell>
          <cell r="AH46" t="str">
            <v>REGULAR</v>
          </cell>
          <cell r="AI46">
            <v>44989</v>
          </cell>
          <cell r="AJ46">
            <v>45024</v>
          </cell>
          <cell r="AK46">
            <v>45043</v>
          </cell>
          <cell r="AL46">
            <v>45057</v>
          </cell>
          <cell r="AM46">
            <v>45057</v>
          </cell>
          <cell r="AN46"/>
          <cell r="AO46">
            <v>45058</v>
          </cell>
          <cell r="AP46" t="str">
            <v>OFF HOLD</v>
          </cell>
        </row>
        <row r="47">
          <cell r="A47">
            <v>96230650329</v>
          </cell>
          <cell r="B47" t="str">
            <v>CD-JUN-SHE</v>
          </cell>
          <cell r="C47">
            <v>0</v>
          </cell>
          <cell r="D47">
            <v>0</v>
          </cell>
          <cell r="E47" t="str">
            <v>SHE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 t="str">
            <v>H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1</v>
          </cell>
          <cell r="AB47" t="str">
            <v>H, Q</v>
          </cell>
          <cell r="AC47">
            <v>0</v>
          </cell>
          <cell r="AD47">
            <v>0</v>
          </cell>
          <cell r="AE47" t="str">
            <v>5/4: will void after issue local 96231180145, 4/27: off change to local, 4/8: wait prepayment, 4/1: wait sending PI, off, 3/4: wait TRF online- GLOBAL OUTDOOR</v>
          </cell>
          <cell r="AF47" t="str">
            <v>GLOBAL OUTDOORS, INC.</v>
          </cell>
          <cell r="AG47" t="str">
            <v>KROGER COMPANY</v>
          </cell>
          <cell r="AH47" t="str">
            <v>REGULAR</v>
          </cell>
          <cell r="AI47">
            <v>44991</v>
          </cell>
          <cell r="AJ47">
            <v>45024</v>
          </cell>
          <cell r="AK47">
            <v>45043</v>
          </cell>
          <cell r="AL47">
            <v>45057</v>
          </cell>
          <cell r="AM47">
            <v>45057</v>
          </cell>
          <cell r="AN47"/>
          <cell r="AO47">
            <v>45058</v>
          </cell>
          <cell r="AP47" t="str">
            <v>OFF HOLD</v>
          </cell>
        </row>
        <row r="48">
          <cell r="A48">
            <v>96230650600</v>
          </cell>
          <cell r="B48" t="str">
            <v>CD-JUN-SHE</v>
          </cell>
          <cell r="C48">
            <v>0</v>
          </cell>
          <cell r="D48">
            <v>0</v>
          </cell>
          <cell r="E48" t="str">
            <v>SHE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 t="str">
            <v>H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1</v>
          </cell>
          <cell r="AB48" t="str">
            <v>H, Q, V</v>
          </cell>
          <cell r="AC48">
            <v>0</v>
          </cell>
          <cell r="AD48">
            <v>0</v>
          </cell>
          <cell r="AE48" t="str">
            <v>5/4: will void after issue local 96231180075, 4/27: off change to local, 4/8: wait prepayment, 4/1: wait sending PI, off, 3/4: wait TRF online- GLOBAL OUTDOOR</v>
          </cell>
          <cell r="AF48" t="str">
            <v>GLOBAL OUTDOORS, INC.</v>
          </cell>
          <cell r="AG48" t="str">
            <v>KROGER COMPANY</v>
          </cell>
          <cell r="AH48" t="str">
            <v>REGULAR</v>
          </cell>
          <cell r="AI48">
            <v>44992</v>
          </cell>
          <cell r="AJ48">
            <v>45024</v>
          </cell>
          <cell r="AK48">
            <v>45043</v>
          </cell>
          <cell r="AL48">
            <v>45057</v>
          </cell>
          <cell r="AM48">
            <v>45057</v>
          </cell>
          <cell r="AN48"/>
          <cell r="AO48">
            <v>45058</v>
          </cell>
          <cell r="AP48" t="str">
            <v>OFF HOLD</v>
          </cell>
        </row>
        <row r="49">
          <cell r="A49">
            <v>96230670430</v>
          </cell>
          <cell r="B49" t="str">
            <v>US2-NOB</v>
          </cell>
          <cell r="C49">
            <v>0</v>
          </cell>
          <cell r="D49">
            <v>0</v>
          </cell>
          <cell r="E49" t="str">
            <v>SHE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 t="str">
            <v>H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1</v>
          </cell>
          <cell r="AB49" t="str">
            <v>H</v>
          </cell>
          <cell r="AC49">
            <v>0</v>
          </cell>
          <cell r="AD49">
            <v>0</v>
          </cell>
          <cell r="AE49" t="str">
            <v>4/20: OFF PI, WAIT SEND DISPOTE 50%,  4/1: wait to confirm revise PI, 3/9: wait confirm PI, ACCOUNT JANUS OK</v>
          </cell>
          <cell r="AF49" t="str">
            <v>JANUS ET CIE</v>
          </cell>
          <cell r="AG49" t="str">
            <v>JANUS ET CIE</v>
          </cell>
          <cell r="AH49" t="str">
            <v>REGULAR</v>
          </cell>
          <cell r="AI49">
            <v>44993</v>
          </cell>
          <cell r="AJ49">
            <v>45017</v>
          </cell>
          <cell r="AK49">
            <v>45036</v>
          </cell>
          <cell r="AL49">
            <v>45187</v>
          </cell>
          <cell r="AM49">
            <v>45187</v>
          </cell>
          <cell r="AN49"/>
          <cell r="AO49">
            <v>45188</v>
          </cell>
          <cell r="AP49" t="str">
            <v>OFF HOLD</v>
          </cell>
        </row>
        <row r="50">
          <cell r="A50">
            <v>96230670792</v>
          </cell>
          <cell r="B50" t="str">
            <v>EU</v>
          </cell>
          <cell r="C50">
            <v>0</v>
          </cell>
          <cell r="D50">
            <v>0</v>
          </cell>
          <cell r="E50" t="str">
            <v>VAN</v>
          </cell>
          <cell r="F50">
            <v>0</v>
          </cell>
          <cell r="G50">
            <v>0</v>
          </cell>
          <cell r="H50" t="str">
            <v>E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 t="str">
            <v>P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2</v>
          </cell>
          <cell r="AB50" t="str">
            <v>E, P</v>
          </cell>
          <cell r="AC50">
            <v>0</v>
          </cell>
          <cell r="AD50">
            <v>0</v>
          </cell>
          <cell r="AE50" t="str">
            <v>4/28: pass 1000 hrs, continue testing; 4/4: result for 500hrs passed, continue testing</v>
          </cell>
          <cell r="AF50" t="str">
            <v>PACIFIC TRENDS INTERNATIONAL</v>
          </cell>
          <cell r="AG50" t="str">
            <v>PACIFIC TRENDS INTERNATIONAL</v>
          </cell>
          <cell r="AH50" t="str">
            <v>REGULAR</v>
          </cell>
          <cell r="AI50">
            <v>44993</v>
          </cell>
          <cell r="AJ50"/>
          <cell r="AK50"/>
          <cell r="AL50">
            <v>45064</v>
          </cell>
          <cell r="AM50">
            <v>45064</v>
          </cell>
          <cell r="AN50">
            <v>45044</v>
          </cell>
          <cell r="AO50">
            <v>45064</v>
          </cell>
          <cell r="AP50" t="str">
            <v>ACTIVE</v>
          </cell>
        </row>
        <row r="51">
          <cell r="A51">
            <v>96230670853</v>
          </cell>
          <cell r="B51" t="str">
            <v>US2-NOB</v>
          </cell>
          <cell r="C51">
            <v>0</v>
          </cell>
          <cell r="D51">
            <v>0</v>
          </cell>
          <cell r="E51" t="str">
            <v>SHE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 t="str">
            <v>H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1</v>
          </cell>
          <cell r="AB51" t="str">
            <v>H</v>
          </cell>
          <cell r="AC51">
            <v>0</v>
          </cell>
          <cell r="AD51">
            <v>0</v>
          </cell>
          <cell r="AE51" t="str">
            <v>4/20: OFF PI, WAIT SEND DISPOTE 50%, 4/1: WAIT CONFIRM REVISE PI, 3/21: wait to confirm revise PI, 3/10: wait confirm PI</v>
          </cell>
          <cell r="AF51" t="str">
            <v>JANUS ET CIE</v>
          </cell>
          <cell r="AG51" t="str">
            <v>JANUS ET CIE</v>
          </cell>
          <cell r="AH51" t="str">
            <v>REGULAR</v>
          </cell>
          <cell r="AI51">
            <v>44994</v>
          </cell>
          <cell r="AJ51">
            <v>45017</v>
          </cell>
          <cell r="AK51">
            <v>45036</v>
          </cell>
          <cell r="AL51">
            <v>45187</v>
          </cell>
          <cell r="AM51">
            <v>45187</v>
          </cell>
          <cell r="AN51"/>
          <cell r="AO51">
            <v>45188</v>
          </cell>
          <cell r="AP51" t="str">
            <v>OFF HOLD</v>
          </cell>
        </row>
        <row r="52">
          <cell r="A52">
            <v>96230680409</v>
          </cell>
          <cell r="B52" t="str">
            <v>JP</v>
          </cell>
          <cell r="C52" t="str">
            <v>Wait add test</v>
          </cell>
          <cell r="D52" t="str">
            <v>van</v>
          </cell>
          <cell r="E52" t="str">
            <v>TAN</v>
          </cell>
          <cell r="F52" t="str">
            <v>done 0424
MAKING 0422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 t="str">
            <v>H, T, J, A, Q, V</v>
          </cell>
          <cell r="AC52">
            <v>0</v>
          </cell>
          <cell r="AD52" t="str">
            <v>YES</v>
          </cell>
          <cell r="AE52" t="str">
            <v xml:space="preserve">5/3, 4/25: client request hold report to add test, checking billing 3/31: PI confimed, off hold, 3/24, 3/17, 3/16: confirming PI 3/15: pend extra sample, wait Pi from lab </v>
          </cell>
          <cell r="AF52" t="str">
            <v>YANG CHENG WOODEN INDUSTRIES INTERNATIONAL (VIETNAM) CO LTD</v>
          </cell>
          <cell r="AG52" t="str">
            <v xml:space="preserve">CRATE &amp; BARREL </v>
          </cell>
          <cell r="AH52" t="str">
            <v>REGULAR</v>
          </cell>
          <cell r="AI52">
            <v>44994</v>
          </cell>
          <cell r="AJ52">
            <v>45043</v>
          </cell>
          <cell r="AK52">
            <v>45042</v>
          </cell>
          <cell r="AL52">
            <v>45050</v>
          </cell>
          <cell r="AM52">
            <v>45050</v>
          </cell>
          <cell r="AN52"/>
          <cell r="AO52">
            <v>45051</v>
          </cell>
          <cell r="AP52" t="str">
            <v>ON HOLD</v>
          </cell>
        </row>
        <row r="53">
          <cell r="A53">
            <v>96230690017</v>
          </cell>
          <cell r="B53" t="str">
            <v>US2</v>
          </cell>
          <cell r="C53">
            <v>0</v>
          </cell>
          <cell r="D53">
            <v>0</v>
          </cell>
          <cell r="E53" t="str">
            <v>FLO</v>
          </cell>
          <cell r="F53" t="str">
            <v>FIRST MAKING 0425-SL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 t="str">
            <v>P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1</v>
          </cell>
          <cell r="AB53" t="str">
            <v>H, R, P, F, L, Y, A, Q, V</v>
          </cell>
          <cell r="AC53">
            <v>0</v>
          </cell>
          <cell r="AD53">
            <v>0</v>
          </cell>
          <cell r="AE53" t="str">
            <v>05/04: no CS pending
04/28; 04/11: update submitter, no CS pending
03/24: pend doc</v>
          </cell>
          <cell r="AF53" t="str">
            <v>MAGNUSSEN HOME FURNISHING INC</v>
          </cell>
          <cell r="AG53" t="str">
            <v>AMERICAN SIGNATURE INC</v>
          </cell>
          <cell r="AH53" t="str">
            <v>REGULAR</v>
          </cell>
          <cell r="AI53">
            <v>44995</v>
          </cell>
          <cell r="AJ53">
            <v>45035</v>
          </cell>
          <cell r="AK53">
            <v>45038</v>
          </cell>
          <cell r="AL53">
            <v>45073</v>
          </cell>
          <cell r="AM53">
            <v>45073</v>
          </cell>
          <cell r="AN53"/>
          <cell r="AO53">
            <v>45075</v>
          </cell>
          <cell r="AP53" t="str">
            <v>OFF HOLD</v>
          </cell>
        </row>
        <row r="54">
          <cell r="A54">
            <v>96230690130</v>
          </cell>
          <cell r="B54" t="str">
            <v>EE-QTY-LYNN</v>
          </cell>
          <cell r="C54">
            <v>0</v>
          </cell>
          <cell r="D54">
            <v>0</v>
          </cell>
          <cell r="E54" t="str">
            <v>LYNN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 t="str">
            <v>EE REPORT</v>
          </cell>
          <cell r="AC54" t="str">
            <v>Anh Hoang</v>
          </cell>
          <cell r="AD54" t="str">
            <v>YES</v>
          </cell>
          <cell r="AE54" t="str">
            <v xml:space="preserve">0406: No CS pending </v>
          </cell>
          <cell r="AF54" t="str">
            <v>LIGHTING SAIGON CO LTD</v>
          </cell>
          <cell r="AG54" t="str">
            <v xml:space="preserve">CRATE &amp; BARREL </v>
          </cell>
          <cell r="AH54" t="str">
            <v>REGULAR</v>
          </cell>
          <cell r="AI54">
            <v>44995</v>
          </cell>
          <cell r="AJ54">
            <v>45029</v>
          </cell>
          <cell r="AK54">
            <v>45021</v>
          </cell>
          <cell r="AL54">
            <v>45026</v>
          </cell>
          <cell r="AM54">
            <v>45026</v>
          </cell>
          <cell r="AN54"/>
          <cell r="AO54">
            <v>45028</v>
          </cell>
          <cell r="AP54" t="str">
            <v>ON HOLD</v>
          </cell>
        </row>
        <row r="55">
          <cell r="A55">
            <v>96230690133</v>
          </cell>
          <cell r="B55" t="str">
            <v>EE-QTY-LYNN</v>
          </cell>
          <cell r="C55">
            <v>0</v>
          </cell>
          <cell r="D55">
            <v>0</v>
          </cell>
          <cell r="E55" t="str">
            <v>LYNN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 t="str">
            <v>EE REPORT</v>
          </cell>
          <cell r="AC55" t="str">
            <v>Anh Hoang</v>
          </cell>
          <cell r="AD55" t="str">
            <v>YES</v>
          </cell>
          <cell r="AE55">
            <v>0</v>
          </cell>
          <cell r="AF55" t="str">
            <v>LIGHTING SAIGON CO LTD</v>
          </cell>
          <cell r="AG55" t="str">
            <v xml:space="preserve">CRATE &amp; BARREL </v>
          </cell>
          <cell r="AH55" t="str">
            <v>REGULAR</v>
          </cell>
          <cell r="AI55">
            <v>44995</v>
          </cell>
          <cell r="AJ55">
            <v>45031</v>
          </cell>
          <cell r="AK55">
            <v>45054</v>
          </cell>
          <cell r="AL55">
            <v>45058</v>
          </cell>
          <cell r="AM55">
            <v>45058</v>
          </cell>
          <cell r="AN55"/>
          <cell r="AO55">
            <v>45061</v>
          </cell>
          <cell r="AP55" t="str">
            <v>OFF HOLD</v>
          </cell>
        </row>
        <row r="56">
          <cell r="A56">
            <v>96230700420</v>
          </cell>
          <cell r="B56" t="str">
            <v>CD</v>
          </cell>
          <cell r="C56">
            <v>0</v>
          </cell>
          <cell r="D56">
            <v>0</v>
          </cell>
          <cell r="E56" t="str">
            <v>SHE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 t="str">
            <v>H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1</v>
          </cell>
          <cell r="AB56" t="str">
            <v>H, Q, V</v>
          </cell>
          <cell r="AC56">
            <v>0</v>
          </cell>
          <cell r="AD56">
            <v>0</v>
          </cell>
          <cell r="AE56" t="str">
            <v>5/4: will void after issue local 96231180065, 4/27: off change to local, 4/8: wait prepayment, 4/1: wait sending PI, off, 3/4: wait TRF online- GLOBAL OUTDOOR</v>
          </cell>
          <cell r="AF56" t="str">
            <v>GLOBAL OUTDOORS, INC.</v>
          </cell>
          <cell r="AG56" t="str">
            <v>KROGER COMPANY</v>
          </cell>
          <cell r="AH56" t="str">
            <v>REGULAR</v>
          </cell>
          <cell r="AI56">
            <v>44996</v>
          </cell>
          <cell r="AJ56">
            <v>45021</v>
          </cell>
          <cell r="AK56">
            <v>45043</v>
          </cell>
          <cell r="AL56">
            <v>45051</v>
          </cell>
          <cell r="AM56">
            <v>45051</v>
          </cell>
          <cell r="AN56">
            <v>45052</v>
          </cell>
          <cell r="AO56">
            <v>45058</v>
          </cell>
          <cell r="AP56" t="str">
            <v>OFF HOLD</v>
          </cell>
        </row>
        <row r="57">
          <cell r="A57">
            <v>96230700475</v>
          </cell>
          <cell r="B57" t="str">
            <v>AN</v>
          </cell>
          <cell r="C57">
            <v>0</v>
          </cell>
          <cell r="D57">
            <v>0</v>
          </cell>
          <cell r="E57" t="str">
            <v>SHE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 t="str">
            <v>AN HANDLE</v>
          </cell>
          <cell r="AC57">
            <v>0</v>
          </cell>
          <cell r="AD57">
            <v>0</v>
          </cell>
          <cell r="AE57" t="str">
            <v>4/25: due date on May 25, 4/25 CHECK PASS/FAIL</v>
          </cell>
          <cell r="AF57" t="str">
            <v>BERJAYAPAK VIETNAM COMPANY LIMITED</v>
          </cell>
          <cell r="AG57" t="str">
            <v>BERJAYAPAK VIETNAM COMPANY LIMITED</v>
          </cell>
          <cell r="AH57" t="str">
            <v>REGULAR</v>
          </cell>
          <cell r="AI57">
            <v>44996</v>
          </cell>
          <cell r="AJ57"/>
          <cell r="AK57">
            <v>45035</v>
          </cell>
          <cell r="AL57">
            <v>45029</v>
          </cell>
          <cell r="AM57">
            <v>45029</v>
          </cell>
          <cell r="AN57"/>
          <cell r="AO57">
            <v>45030</v>
          </cell>
          <cell r="AP57" t="str">
            <v>AN HANDLE</v>
          </cell>
        </row>
        <row r="58">
          <cell r="A58">
            <v>96230720463</v>
          </cell>
          <cell r="B58" t="str">
            <v>US2-RF SP 96230670430</v>
          </cell>
          <cell r="C58">
            <v>0</v>
          </cell>
          <cell r="D58">
            <v>0</v>
          </cell>
          <cell r="E58" t="str">
            <v>SHE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 t="str">
            <v>H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1</v>
          </cell>
          <cell r="AB58" t="str">
            <v>H</v>
          </cell>
          <cell r="AC58">
            <v>0</v>
          </cell>
          <cell r="AD58">
            <v>0</v>
          </cell>
          <cell r="AE58" t="str">
            <v>4/20: OFF PI, WAIT SEND DISPOTE 50%, 4/1: wait to confirm revise PI, 3/9: wait confirm PI, ACCOUNT JANUS OK</v>
          </cell>
          <cell r="AF58" t="str">
            <v>JANUS ET CIE</v>
          </cell>
          <cell r="AG58" t="str">
            <v>JANUS ET CIE</v>
          </cell>
          <cell r="AH58" t="str">
            <v>REGULAR</v>
          </cell>
          <cell r="AI58">
            <v>44998</v>
          </cell>
          <cell r="AJ58">
            <v>45017</v>
          </cell>
          <cell r="AK58">
            <v>45036</v>
          </cell>
          <cell r="AL58">
            <v>45138</v>
          </cell>
          <cell r="AM58">
            <v>45138</v>
          </cell>
          <cell r="AN58"/>
          <cell r="AO58">
            <v>45139</v>
          </cell>
          <cell r="AP58" t="str">
            <v>OFF HOLD</v>
          </cell>
        </row>
        <row r="59">
          <cell r="A59">
            <v>96230740293</v>
          </cell>
          <cell r="B59" t="str">
            <v>TY</v>
          </cell>
          <cell r="C59" t="str">
            <v>0415: DISNEY KOREA</v>
          </cell>
          <cell r="D59">
            <v>0</v>
          </cell>
          <cell r="E59" t="str">
            <v>ELV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T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B</v>
          </cell>
          <cell r="Z59">
            <v>0</v>
          </cell>
          <cell r="AA59">
            <v>2</v>
          </cell>
          <cell r="AB59" t="str">
            <v>T, B</v>
          </cell>
          <cell r="AC59">
            <v>0</v>
          </cell>
          <cell r="AD59" t="str">
            <v>YES</v>
          </cell>
          <cell r="AE59" t="str">
            <v xml:space="preserve">0420: KR, pushing </v>
          </cell>
          <cell r="AF59" t="str">
            <v>DREAM INTERNATIONAL LIMITED</v>
          </cell>
          <cell r="AG59" t="str">
            <v>THE DISNEY STORE, INC (CA)</v>
          </cell>
          <cell r="AH59" t="str">
            <v>REGULAR</v>
          </cell>
          <cell r="AI59">
            <v>45000</v>
          </cell>
          <cell r="AJ59">
            <v>45044</v>
          </cell>
          <cell r="AK59">
            <v>45049</v>
          </cell>
          <cell r="AL59">
            <v>45079</v>
          </cell>
          <cell r="AM59">
            <v>45079</v>
          </cell>
          <cell r="AN59"/>
          <cell r="AO59">
            <v>45080</v>
          </cell>
          <cell r="AP59" t="str">
            <v>OFF HOLD</v>
          </cell>
        </row>
        <row r="60">
          <cell r="A60">
            <v>96230740552</v>
          </cell>
          <cell r="B60" t="str">
            <v>TY</v>
          </cell>
          <cell r="C60" t="str">
            <v>0415: DISNEY KOREA</v>
          </cell>
          <cell r="D60">
            <v>0</v>
          </cell>
          <cell r="E60" t="str">
            <v>ELV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T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B</v>
          </cell>
          <cell r="Z60">
            <v>0</v>
          </cell>
          <cell r="AA60">
            <v>2</v>
          </cell>
          <cell r="AB60" t="str">
            <v>T, B</v>
          </cell>
          <cell r="AC60" t="str">
            <v>x</v>
          </cell>
          <cell r="AD60" t="str">
            <v>YES</v>
          </cell>
          <cell r="AE60" t="str">
            <v xml:space="preserve">0420: KR, pushing </v>
          </cell>
          <cell r="AF60" t="str">
            <v>DREAM INTERNATIONAL LIMITED</v>
          </cell>
          <cell r="AG60" t="str">
            <v>THE DISNEY STORE, INC (CA)</v>
          </cell>
          <cell r="AH60" t="str">
            <v>REGULAR</v>
          </cell>
          <cell r="AI60">
            <v>45001</v>
          </cell>
          <cell r="AJ60">
            <v>45049</v>
          </cell>
          <cell r="AK60">
            <v>45044</v>
          </cell>
          <cell r="AL60">
            <v>45080</v>
          </cell>
          <cell r="AM60">
            <v>45080</v>
          </cell>
          <cell r="AN60"/>
          <cell r="AO60">
            <v>45082</v>
          </cell>
          <cell r="AP60" t="str">
            <v>ON HOLD</v>
          </cell>
        </row>
        <row r="61">
          <cell r="A61">
            <v>96230750666</v>
          </cell>
          <cell r="B61" t="str">
            <v>EE-QTY-LYNN</v>
          </cell>
          <cell r="C61">
            <v>0</v>
          </cell>
          <cell r="D61">
            <v>0</v>
          </cell>
          <cell r="E61" t="str">
            <v>LYNN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 t="str">
            <v>EE REPORT</v>
          </cell>
          <cell r="AC61" t="str">
            <v>Anh Hoang</v>
          </cell>
          <cell r="AD61">
            <v>0</v>
          </cell>
          <cell r="AE61">
            <v>0</v>
          </cell>
          <cell r="AF61" t="str">
            <v>DONGGUAN CE LINK LIMITED</v>
          </cell>
          <cell r="AG61" t="str">
            <v>AMAZON.COM SERVICES LLC (HPB)</v>
          </cell>
          <cell r="AH61" t="str">
            <v>REGULAR</v>
          </cell>
          <cell r="AI61">
            <v>45001</v>
          </cell>
          <cell r="AJ61">
            <v>45015</v>
          </cell>
          <cell r="AK61"/>
          <cell r="AL61">
            <v>45010</v>
          </cell>
          <cell r="AM61">
            <v>45010</v>
          </cell>
          <cell r="AN61"/>
          <cell r="AO61">
            <v>45013</v>
          </cell>
          <cell r="AP61" t="str">
            <v>ON HOLD</v>
          </cell>
        </row>
        <row r="62">
          <cell r="A62">
            <v>96230750770</v>
          </cell>
          <cell r="B62" t="str">
            <v>JP- RF SP 96230740380</v>
          </cell>
          <cell r="C62" t="str">
            <v>0329: CSE</v>
          </cell>
          <cell r="D62">
            <v>0</v>
          </cell>
          <cell r="E62" t="str">
            <v>TAN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 t="str">
            <v>J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J, M, Q</v>
          </cell>
          <cell r="AC62">
            <v>0</v>
          </cell>
          <cell r="AD62" t="str">
            <v>YES</v>
          </cell>
          <cell r="AE62" t="str">
            <v xml:space="preserve">5/4: wait revise label 5/3: wait tech reply  4/18: PEND WARNING LABEL DRESSER 3/31: CSFU 3/29: CSE 3/24: pend label </v>
          </cell>
          <cell r="AF62" t="str">
            <v>MILLION DOLLAR BABY</v>
          </cell>
          <cell r="AG62" t="str">
            <v>MILLION DOLLAR BABY</v>
          </cell>
          <cell r="AH62" t="str">
            <v>REGULAR</v>
          </cell>
          <cell r="AI62">
            <v>45002</v>
          </cell>
          <cell r="AJ62">
            <v>45051</v>
          </cell>
          <cell r="AK62">
            <v>45042</v>
          </cell>
          <cell r="AL62">
            <v>45050</v>
          </cell>
          <cell r="AM62">
            <v>45050</v>
          </cell>
          <cell r="AN62"/>
          <cell r="AO62">
            <v>45051</v>
          </cell>
          <cell r="AP62" t="str">
            <v>ON HOLD</v>
          </cell>
        </row>
        <row r="63">
          <cell r="A63">
            <v>96230760422</v>
          </cell>
          <cell r="B63" t="str">
            <v>US2</v>
          </cell>
          <cell r="C63">
            <v>0</v>
          </cell>
          <cell r="D63">
            <v>0</v>
          </cell>
          <cell r="E63" t="str">
            <v>TAN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 t="str">
            <v>H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H, Q</v>
          </cell>
          <cell r="AC63">
            <v>0</v>
          </cell>
          <cell r="AD63">
            <v>0</v>
          </cell>
          <cell r="AE63" t="str">
            <v>5/4: no cs pend 3/31: OEM 3/27: got docs, wait tech check 3/24: pend docs</v>
          </cell>
          <cell r="AF63" t="str">
            <v>HEARTH &amp; HOME TECHNOLOGY</v>
          </cell>
          <cell r="AG63" t="str">
            <v>TRACTOR SUPPLY COMPANY</v>
          </cell>
          <cell r="AH63" t="str">
            <v>REGULAR</v>
          </cell>
          <cell r="AI63">
            <v>45002</v>
          </cell>
          <cell r="AJ63">
            <v>45049</v>
          </cell>
          <cell r="AK63">
            <v>45050</v>
          </cell>
          <cell r="AL63">
            <v>45055</v>
          </cell>
          <cell r="AM63">
            <v>45055</v>
          </cell>
          <cell r="AN63"/>
          <cell r="AO63">
            <v>45056</v>
          </cell>
          <cell r="AP63" t="str">
            <v>MUST</v>
          </cell>
        </row>
        <row r="64">
          <cell r="A64">
            <v>96230770276</v>
          </cell>
          <cell r="B64" t="str">
            <v>CD-NOB</v>
          </cell>
          <cell r="C64">
            <v>0</v>
          </cell>
          <cell r="D64">
            <v>0</v>
          </cell>
          <cell r="E64" t="str">
            <v>ELV</v>
          </cell>
          <cell r="F64" t="str">
            <v>FIRST MAKING 0404 - AN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 t="str">
            <v>Q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H, Q</v>
          </cell>
          <cell r="AC64" t="str">
            <v>x</v>
          </cell>
          <cell r="AD64">
            <v>0</v>
          </cell>
          <cell r="AE64" t="str">
            <v>ELV 0421: Revise PI, revise online TRF and work with PM to add more test; 04/13, 03/31: wait confirm PI</v>
          </cell>
          <cell r="AF64" t="str">
            <v>KIDDEE TAMDEE CO.,LTD.</v>
          </cell>
          <cell r="AG64" t="str">
            <v>KIDDEE TAMDEE CO.,LTD.</v>
          </cell>
          <cell r="AH64" t="str">
            <v>REGULAR</v>
          </cell>
          <cell r="AI64">
            <v>45003</v>
          </cell>
          <cell r="AJ64">
            <v>45049</v>
          </cell>
          <cell r="AK64">
            <v>45044</v>
          </cell>
          <cell r="AL64">
            <v>45054</v>
          </cell>
          <cell r="AM64">
            <v>45054</v>
          </cell>
          <cell r="AN64"/>
          <cell r="AO64">
            <v>45055</v>
          </cell>
          <cell r="AP64" t="str">
            <v>ON HOLD</v>
          </cell>
        </row>
        <row r="65">
          <cell r="A65">
            <v>96230770370</v>
          </cell>
          <cell r="B65" t="str">
            <v>US1-USD (REFER SAMPLE 96230770367)</v>
          </cell>
          <cell r="C65">
            <v>0</v>
          </cell>
          <cell r="D65">
            <v>0</v>
          </cell>
          <cell r="E65" t="str">
            <v>MIN</v>
          </cell>
          <cell r="F65" t="str">
            <v>FIRST MAKING 0320 - US1</v>
          </cell>
          <cell r="G65">
            <v>0</v>
          </cell>
          <cell r="H65">
            <v>0</v>
          </cell>
          <cell r="I65">
            <v>0</v>
          </cell>
          <cell r="J65" t="str">
            <v>H</v>
          </cell>
          <cell r="K65">
            <v>0</v>
          </cell>
          <cell r="L65">
            <v>0</v>
          </cell>
          <cell r="M65">
            <v>0</v>
          </cell>
          <cell r="N65">
            <v>4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2</v>
          </cell>
          <cell r="AB65" t="str">
            <v>H, Z, 4, A, Q, V</v>
          </cell>
          <cell r="AC65">
            <v>0</v>
          </cell>
          <cell r="AD65">
            <v>0</v>
          </cell>
          <cell r="AE65" t="str">
            <v>0429: remove Spain inspection, may cancel - 03/27: pend extra sample cup holder, control edge, docs</v>
          </cell>
          <cell r="AF65" t="str">
            <v>KUKA (HK) TRADE CO LIMITED</v>
          </cell>
          <cell r="AG65" t="str">
            <v>COSTCO WHOLESALE CORPORATION</v>
          </cell>
          <cell r="AH65" t="str">
            <v>REGULAR</v>
          </cell>
          <cell r="AI65">
            <v>45003</v>
          </cell>
          <cell r="AJ65">
            <v>45049</v>
          </cell>
          <cell r="AK65">
            <v>45044</v>
          </cell>
          <cell r="AL65">
            <v>45057</v>
          </cell>
          <cell r="AM65">
            <v>45057</v>
          </cell>
          <cell r="AN65"/>
          <cell r="AO65">
            <v>45058</v>
          </cell>
          <cell r="AP65" t="str">
            <v>ON HOLD</v>
          </cell>
        </row>
        <row r="66">
          <cell r="A66">
            <v>96230790216</v>
          </cell>
          <cell r="B66" t="str">
            <v>USD-NOB</v>
          </cell>
          <cell r="C66">
            <v>0</v>
          </cell>
          <cell r="D66">
            <v>0</v>
          </cell>
          <cell r="E66" t="str">
            <v>SHE</v>
          </cell>
          <cell r="F66" t="str">
            <v>ON HOLD
MAKING 0329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 t="str">
            <v>Z</v>
          </cell>
          <cell r="AC66" t="str">
            <v>x</v>
          </cell>
          <cell r="AD66">
            <v>0</v>
          </cell>
          <cell r="AE66" t="str">
            <v>0428: Vendor confirm will pay after Holiday; 4/4: lock account, nhờ c Sarah push phụ, 3/27: lock account, 3/25: off, 3/23: wait confirm pi, hướng, 3/21: off account, change to Greenwork, ok test request, Globel (jiangsu)Co., LTD- NOB</v>
          </cell>
          <cell r="AF66" t="str">
            <v>GREENWORKS (JIANGSU) CO LTD</v>
          </cell>
          <cell r="AG66" t="str">
            <v>GREENWORKS (JIANGSU) CO LTD</v>
          </cell>
          <cell r="AH66" t="str">
            <v>REGULAR</v>
          </cell>
          <cell r="AI66">
            <v>45005</v>
          </cell>
          <cell r="AJ66">
            <v>45049</v>
          </cell>
          <cell r="AK66">
            <v>45044</v>
          </cell>
          <cell r="AL66">
            <v>45054</v>
          </cell>
          <cell r="AM66">
            <v>45054</v>
          </cell>
          <cell r="AN66"/>
          <cell r="AO66">
            <v>45055</v>
          </cell>
          <cell r="AP66" t="str">
            <v>ON HOLD</v>
          </cell>
        </row>
        <row r="67">
          <cell r="A67">
            <v>96230790217</v>
          </cell>
          <cell r="B67" t="str">
            <v>USD-NOB</v>
          </cell>
          <cell r="C67">
            <v>0</v>
          </cell>
          <cell r="D67" t="str">
            <v>van</v>
          </cell>
          <cell r="E67" t="str">
            <v>SHE</v>
          </cell>
          <cell r="F67" t="str">
            <v>ON HOLD
MAKING 0329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 t="str">
            <v>Z</v>
          </cell>
          <cell r="AC67" t="str">
            <v>x</v>
          </cell>
          <cell r="AD67">
            <v>0</v>
          </cell>
          <cell r="AE67" t="str">
            <v>0428: Vendor confirm will pay after Holiday; 4/4: lock account, nhờ c Sarah push phụ, 3/27: lock account, 3/25: off, 3/23: wait confirm pi, hướng, 3/21: off account, change to Greenwork, ok test request, Globel (jiangsu)Co., LTD- NOB</v>
          </cell>
          <cell r="AF67" t="str">
            <v>GREENWORKS (JIANGSU) CO LTD</v>
          </cell>
          <cell r="AG67" t="str">
            <v>GREENWORKS (JIANGSU) CO LTD</v>
          </cell>
          <cell r="AH67" t="str">
            <v>REGULAR</v>
          </cell>
          <cell r="AI67">
            <v>45005</v>
          </cell>
          <cell r="AJ67">
            <v>45049</v>
          </cell>
          <cell r="AK67">
            <v>45044</v>
          </cell>
          <cell r="AL67">
            <v>45054</v>
          </cell>
          <cell r="AM67">
            <v>45054</v>
          </cell>
          <cell r="AN67"/>
          <cell r="AO67">
            <v>45055</v>
          </cell>
          <cell r="AP67" t="str">
            <v>ON HOLD</v>
          </cell>
        </row>
        <row r="68">
          <cell r="A68">
            <v>96230800409</v>
          </cell>
          <cell r="B68" t="str">
            <v>US1-USD (RF SAMPLE 96230800354)</v>
          </cell>
          <cell r="C68">
            <v>0</v>
          </cell>
          <cell r="D68">
            <v>0</v>
          </cell>
          <cell r="E68" t="str">
            <v>MIN</v>
          </cell>
          <cell r="F68" t="str">
            <v>FIRST MAKING 0324 - US1</v>
          </cell>
          <cell r="G68">
            <v>0</v>
          </cell>
          <cell r="H68">
            <v>0</v>
          </cell>
          <cell r="I68">
            <v>0</v>
          </cell>
          <cell r="J68" t="str">
            <v>H</v>
          </cell>
          <cell r="K68">
            <v>0</v>
          </cell>
          <cell r="L68">
            <v>0</v>
          </cell>
          <cell r="M68">
            <v>0</v>
          </cell>
          <cell r="N68">
            <v>4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2</v>
          </cell>
          <cell r="AB68" t="str">
            <v>H, Z, 4, A, Q, V</v>
          </cell>
          <cell r="AC68">
            <v>0</v>
          </cell>
          <cell r="AD68">
            <v>0</v>
          </cell>
          <cell r="AE68" t="str">
            <v>0429: may remove Spain, cancel test - 0422: pend EE docs</v>
          </cell>
          <cell r="AF68" t="str">
            <v>KUKA (HK) TRADE CO LIMITED</v>
          </cell>
          <cell r="AG68" t="str">
            <v>COSTCO WHOLESALE CORPORATION</v>
          </cell>
          <cell r="AH68" t="str">
            <v>REGULAR</v>
          </cell>
          <cell r="AI68">
            <v>45006</v>
          </cell>
          <cell r="AJ68">
            <v>45049</v>
          </cell>
          <cell r="AK68">
            <v>45044</v>
          </cell>
          <cell r="AL68">
            <v>45057</v>
          </cell>
          <cell r="AM68">
            <v>45057</v>
          </cell>
          <cell r="AN68"/>
          <cell r="AO68">
            <v>45058</v>
          </cell>
          <cell r="AP68" t="str">
            <v>ON HOLD</v>
          </cell>
        </row>
        <row r="69">
          <cell r="A69">
            <v>96230800413</v>
          </cell>
          <cell r="B69" t="str">
            <v>US1-USD (RF SAMPLE 96230800354)</v>
          </cell>
          <cell r="C69">
            <v>0</v>
          </cell>
          <cell r="D69" t="str">
            <v>DUC</v>
          </cell>
          <cell r="E69" t="str">
            <v>MIN</v>
          </cell>
          <cell r="F69" t="str">
            <v>DONE 0509
FISR MAKING 0417-EE
FIRST MAKING 0324 - US1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4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1</v>
          </cell>
          <cell r="AB69" t="str">
            <v>H, Z, A, Q, V, 4</v>
          </cell>
          <cell r="AC69">
            <v>0</v>
          </cell>
          <cell r="AD69">
            <v>0</v>
          </cell>
          <cell r="AE69" t="str">
            <v>0509: no CS pend - 0429-0422: pend EE docs - 04/03: pend label, docs</v>
          </cell>
          <cell r="AF69" t="str">
            <v>KUKA (HK) TRADE CO LIMITED</v>
          </cell>
          <cell r="AG69" t="str">
            <v>COSTCO WHOLESALE CORPORATION</v>
          </cell>
          <cell r="AH69" t="str">
            <v>REGULAR</v>
          </cell>
          <cell r="AI69">
            <v>45006</v>
          </cell>
          <cell r="AJ69">
            <v>45049</v>
          </cell>
          <cell r="AK69">
            <v>45044</v>
          </cell>
          <cell r="AL69">
            <v>45057</v>
          </cell>
          <cell r="AM69">
            <v>45057</v>
          </cell>
          <cell r="AN69"/>
          <cell r="AO69">
            <v>45058</v>
          </cell>
          <cell r="AP69" t="str">
            <v>LATECS</v>
          </cell>
        </row>
        <row r="70">
          <cell r="A70">
            <v>96230800415</v>
          </cell>
          <cell r="B70" t="str">
            <v>US1-USD (RF SAMPLE 96230800354)</v>
          </cell>
          <cell r="C70">
            <v>0</v>
          </cell>
          <cell r="D70">
            <v>0</v>
          </cell>
          <cell r="E70" t="str">
            <v>MIN</v>
          </cell>
          <cell r="F70" t="str">
            <v>FIRST MAKING 0324 - US1</v>
          </cell>
          <cell r="G70">
            <v>0</v>
          </cell>
          <cell r="H70">
            <v>0</v>
          </cell>
          <cell r="I70">
            <v>0</v>
          </cell>
          <cell r="J70" t="str">
            <v>H</v>
          </cell>
          <cell r="K70">
            <v>0</v>
          </cell>
          <cell r="L70">
            <v>0</v>
          </cell>
          <cell r="M70">
            <v>0</v>
          </cell>
          <cell r="N70">
            <v>4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2</v>
          </cell>
          <cell r="AB70" t="str">
            <v>H, Z, V, A, Q, 4</v>
          </cell>
          <cell r="AC70">
            <v>0</v>
          </cell>
          <cell r="AD70">
            <v>0</v>
          </cell>
          <cell r="AE70" t="str">
            <v>0429: may remove France, cancel test ?- 0422: pend EE docs</v>
          </cell>
          <cell r="AF70" t="str">
            <v>KUKA (HK) TRADE CO LIMITED</v>
          </cell>
          <cell r="AG70" t="str">
            <v>COSTCO WHOLESALE CORPORATION</v>
          </cell>
          <cell r="AH70" t="str">
            <v>REGULAR</v>
          </cell>
          <cell r="AI70">
            <v>45006</v>
          </cell>
          <cell r="AJ70">
            <v>45049</v>
          </cell>
          <cell r="AK70">
            <v>45044</v>
          </cell>
          <cell r="AL70">
            <v>45057</v>
          </cell>
          <cell r="AM70">
            <v>45057</v>
          </cell>
          <cell r="AN70"/>
          <cell r="AO70">
            <v>45058</v>
          </cell>
          <cell r="AP70" t="str">
            <v>ON HOLD</v>
          </cell>
        </row>
        <row r="71">
          <cell r="A71">
            <v>96230800422</v>
          </cell>
          <cell r="B71" t="str">
            <v>US1-USD (RF SAMPLE 96230800354)</v>
          </cell>
          <cell r="C71">
            <v>0</v>
          </cell>
          <cell r="D71">
            <v>0</v>
          </cell>
          <cell r="E71" t="str">
            <v>MIN</v>
          </cell>
          <cell r="F71" t="str">
            <v>FIRST MAKING 0324 - US1</v>
          </cell>
          <cell r="G71">
            <v>0</v>
          </cell>
          <cell r="H71">
            <v>0</v>
          </cell>
          <cell r="I71">
            <v>0</v>
          </cell>
          <cell r="J71" t="str">
            <v>H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1</v>
          </cell>
          <cell r="AB71" t="str">
            <v>H, Z, 4, A, Q, V</v>
          </cell>
          <cell r="AC71">
            <v>0</v>
          </cell>
          <cell r="AD71">
            <v>0</v>
          </cell>
          <cell r="AE71" t="str">
            <v>0429: still confirm TWN order, may cancel test? 0422: pend EE docs</v>
          </cell>
          <cell r="AF71" t="str">
            <v>KUKA (HK) TRADE CO LIMITED</v>
          </cell>
          <cell r="AG71" t="str">
            <v>COSTCO WHOLESALE CORPORATION</v>
          </cell>
          <cell r="AH71" t="str">
            <v>REGULAR</v>
          </cell>
          <cell r="AI71">
            <v>45006</v>
          </cell>
          <cell r="AJ71">
            <v>45049</v>
          </cell>
          <cell r="AK71">
            <v>45044</v>
          </cell>
          <cell r="AL71">
            <v>45057</v>
          </cell>
          <cell r="AM71">
            <v>45057</v>
          </cell>
          <cell r="AN71"/>
          <cell r="AO71">
            <v>45058</v>
          </cell>
          <cell r="AP71" t="str">
            <v>ON HOLD</v>
          </cell>
        </row>
        <row r="72">
          <cell r="A72">
            <v>96230800476</v>
          </cell>
          <cell r="B72" t="str">
            <v>TY</v>
          </cell>
          <cell r="C72" t="str">
            <v>0415: DISNEY KOREA</v>
          </cell>
          <cell r="D72">
            <v>0</v>
          </cell>
          <cell r="E72" t="str">
            <v>ELV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 t="str">
            <v>YES</v>
          </cell>
          <cell r="AE72" t="str">
            <v xml:space="preserve">0420: Unlock report </v>
          </cell>
          <cell r="AF72" t="str">
            <v>DREAM INTERNATIONAL LIMITED</v>
          </cell>
          <cell r="AG72" t="str">
            <v>DISNEY PRODUCT INTEGRITY FLORIDA</v>
          </cell>
          <cell r="AH72" t="str">
            <v>REGULAR</v>
          </cell>
          <cell r="AI72">
            <v>45006</v>
          </cell>
          <cell r="AJ72">
            <v>45044</v>
          </cell>
          <cell r="AK72">
            <v>45044</v>
          </cell>
          <cell r="AL72">
            <v>45054</v>
          </cell>
          <cell r="AM72">
            <v>45054</v>
          </cell>
          <cell r="AN72"/>
          <cell r="AO72">
            <v>45055</v>
          </cell>
          <cell r="AP72" t="str">
            <v>UNLOCK</v>
          </cell>
        </row>
        <row r="73">
          <cell r="A73">
            <v>96230800480</v>
          </cell>
          <cell r="B73" t="str">
            <v>US1-USD (REFER SAMPLE 96230800468)</v>
          </cell>
          <cell r="C73">
            <v>0</v>
          </cell>
          <cell r="D73">
            <v>0</v>
          </cell>
          <cell r="E73" t="str">
            <v>MIN</v>
          </cell>
          <cell r="F73" t="str">
            <v>FIRST MAKING 0324 - US1</v>
          </cell>
          <cell r="G73">
            <v>0</v>
          </cell>
          <cell r="H73">
            <v>0</v>
          </cell>
          <cell r="I73">
            <v>0</v>
          </cell>
          <cell r="J73" t="str">
            <v>H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2</v>
          </cell>
          <cell r="AB73" t="str">
            <v>H, Z</v>
          </cell>
          <cell r="AC73">
            <v>0</v>
          </cell>
          <cell r="AD73">
            <v>0</v>
          </cell>
          <cell r="AE73" t="str">
            <v>0429: remove Spain, may cancel test - 0422: pend EE docs</v>
          </cell>
          <cell r="AF73" t="str">
            <v>KUKA (HK) TRADE CO LIMITED</v>
          </cell>
          <cell r="AG73" t="str">
            <v>COSTCO WHOLESALE CORPORATION</v>
          </cell>
          <cell r="AH73" t="str">
            <v>REGULAR</v>
          </cell>
          <cell r="AI73">
            <v>45006</v>
          </cell>
          <cell r="AJ73">
            <v>45049</v>
          </cell>
          <cell r="AK73">
            <v>45044</v>
          </cell>
          <cell r="AL73">
            <v>45061</v>
          </cell>
          <cell r="AM73">
            <v>45061</v>
          </cell>
          <cell r="AN73"/>
          <cell r="AO73">
            <v>45062</v>
          </cell>
          <cell r="AP73" t="str">
            <v>ON HOLD</v>
          </cell>
        </row>
        <row r="74">
          <cell r="A74">
            <v>96230800505</v>
          </cell>
          <cell r="B74" t="str">
            <v>US1-USD</v>
          </cell>
          <cell r="C74">
            <v>0</v>
          </cell>
          <cell r="D74">
            <v>0</v>
          </cell>
          <cell r="E74" t="str">
            <v>MIN</v>
          </cell>
          <cell r="F74" t="str">
            <v>FIRST MAKING 0324 - US1</v>
          </cell>
          <cell r="G74">
            <v>0</v>
          </cell>
          <cell r="H74">
            <v>0</v>
          </cell>
          <cell r="I74">
            <v>0</v>
          </cell>
          <cell r="J74" t="str">
            <v>H</v>
          </cell>
          <cell r="K74">
            <v>0</v>
          </cell>
          <cell r="L74">
            <v>0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2</v>
          </cell>
          <cell r="AB74" t="str">
            <v>H, Z, 4, A, Q, V</v>
          </cell>
          <cell r="AC74">
            <v>0</v>
          </cell>
          <cell r="AD74">
            <v>0</v>
          </cell>
          <cell r="AE74" t="str">
            <v>0429: pend artwork, EE - 0422: pend EE docs -0415: pend docs -0411-03/31: no CS pend</v>
          </cell>
          <cell r="AF74" t="str">
            <v>KUKA (HK) TRADE CO LIMITED</v>
          </cell>
          <cell r="AG74" t="str">
            <v>COSTCO WHOLESALE CORPORATION</v>
          </cell>
          <cell r="AH74" t="str">
            <v>REGULAR</v>
          </cell>
          <cell r="AI74">
            <v>45006</v>
          </cell>
          <cell r="AJ74">
            <v>45049</v>
          </cell>
          <cell r="AK74">
            <v>45044</v>
          </cell>
          <cell r="AL74">
            <v>45057</v>
          </cell>
          <cell r="AM74">
            <v>45057</v>
          </cell>
          <cell r="AN74"/>
          <cell r="AO74">
            <v>45058</v>
          </cell>
          <cell r="AP74" t="str">
            <v>ON HOLD</v>
          </cell>
        </row>
        <row r="75">
          <cell r="A75">
            <v>96230810450</v>
          </cell>
          <cell r="B75" t="str">
            <v>EE-QTY-LYNN</v>
          </cell>
          <cell r="C75">
            <v>0</v>
          </cell>
          <cell r="D75">
            <v>0</v>
          </cell>
          <cell r="E75" t="str">
            <v>LYNN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 t="str">
            <v>EE REPORT</v>
          </cell>
          <cell r="AC75" t="str">
            <v>Anh Hoang</v>
          </cell>
          <cell r="AD75">
            <v>0</v>
          </cell>
          <cell r="AE75">
            <v>0</v>
          </cell>
          <cell r="AF75" t="str">
            <v>CARTEC INTERNATIONAL LTD</v>
          </cell>
          <cell r="AG75" t="str">
            <v>AMAZON.COM SERVICES LLC (HPB)</v>
          </cell>
          <cell r="AH75" t="str">
            <v>REGULAR</v>
          </cell>
          <cell r="AI75">
            <v>45007</v>
          </cell>
          <cell r="AJ75"/>
          <cell r="AK75"/>
          <cell r="AL75">
            <v>45016</v>
          </cell>
          <cell r="AM75">
            <v>45016</v>
          </cell>
          <cell r="AN75"/>
          <cell r="AO75">
            <v>45019</v>
          </cell>
          <cell r="AP75" t="str">
            <v>LATE</v>
          </cell>
        </row>
        <row r="76">
          <cell r="A76">
            <v>96230810555</v>
          </cell>
          <cell r="B76" t="str">
            <v>US1</v>
          </cell>
          <cell r="C76">
            <v>0</v>
          </cell>
          <cell r="D76">
            <v>0</v>
          </cell>
          <cell r="E76" t="str">
            <v>MIN</v>
          </cell>
          <cell r="F76">
            <v>0</v>
          </cell>
          <cell r="G76" t="str">
            <v>R</v>
          </cell>
          <cell r="H76">
            <v>0</v>
          </cell>
          <cell r="I76">
            <v>0</v>
          </cell>
          <cell r="J76" t="str">
            <v>H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 t="str">
            <v>W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3</v>
          </cell>
          <cell r="AB76" t="str">
            <v>H, R, P, W, F, Q</v>
          </cell>
          <cell r="AC76">
            <v>0</v>
          </cell>
          <cell r="AD76">
            <v>0</v>
          </cell>
          <cell r="AE76" t="str">
            <v>0506: pend TSCA, BOM - 0422: provide docs to tech, pend extra zipper  -03/31: no cs pending</v>
          </cell>
          <cell r="AF76" t="str">
            <v>KIM HONG THANH CO LTD</v>
          </cell>
          <cell r="AG76" t="str">
            <v>KIM HONG THANH CO LTD</v>
          </cell>
          <cell r="AH76" t="str">
            <v>REGULAR</v>
          </cell>
          <cell r="AI76">
            <v>45007</v>
          </cell>
          <cell r="AJ76">
            <v>45054</v>
          </cell>
          <cell r="AK76">
            <v>45054</v>
          </cell>
          <cell r="AL76">
            <v>45058</v>
          </cell>
          <cell r="AM76">
            <v>45058</v>
          </cell>
          <cell r="AN76"/>
          <cell r="AO76">
            <v>45059</v>
          </cell>
          <cell r="AP76" t="str">
            <v>OFF HOLD</v>
          </cell>
        </row>
        <row r="77">
          <cell r="A77">
            <v>96230810572</v>
          </cell>
          <cell r="B77" t="str">
            <v>US2-SAMPLE TEST BV MALAY</v>
          </cell>
          <cell r="C77">
            <v>0</v>
          </cell>
          <cell r="D77">
            <v>0</v>
          </cell>
          <cell r="E77" t="str">
            <v>VAN</v>
          </cell>
          <cell r="F77">
            <v>0</v>
          </cell>
          <cell r="G77" t="str">
            <v>R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1</v>
          </cell>
          <cell r="AB77" t="str">
            <v>R</v>
          </cell>
          <cell r="AC77" t="str">
            <v>x</v>
          </cell>
          <cell r="AD77">
            <v>0</v>
          </cell>
          <cell r="AE77" t="str">
            <v>5/6: waiting pre-payment; 3/28: waiting for prepayment; 3/23: đợi TA rồi run PI lấy prepayment</v>
          </cell>
          <cell r="AF77" t="str">
            <v>TECHCENTIAL SDN BHD</v>
          </cell>
          <cell r="AG77" t="str">
            <v>TECHCENTIAL SDN BHD</v>
          </cell>
          <cell r="AH77" t="str">
            <v>REGULAR</v>
          </cell>
          <cell r="AI77">
            <v>45007</v>
          </cell>
          <cell r="AJ77">
            <v>45049</v>
          </cell>
          <cell r="AK77">
            <v>45044</v>
          </cell>
          <cell r="AL77">
            <v>45054</v>
          </cell>
          <cell r="AM77">
            <v>45054</v>
          </cell>
          <cell r="AN77"/>
          <cell r="AO77">
            <v>45055</v>
          </cell>
          <cell r="AP77" t="str">
            <v>ON HOLD</v>
          </cell>
        </row>
        <row r="78">
          <cell r="A78">
            <v>96230810583</v>
          </cell>
          <cell r="B78" t="str">
            <v>US2-SAMPLE TEST BV MALAY</v>
          </cell>
          <cell r="C78">
            <v>0</v>
          </cell>
          <cell r="D78">
            <v>0</v>
          </cell>
          <cell r="E78" t="str">
            <v>VAN</v>
          </cell>
          <cell r="F78">
            <v>0</v>
          </cell>
          <cell r="G78" t="str">
            <v>R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1</v>
          </cell>
          <cell r="AB78" t="str">
            <v>R</v>
          </cell>
          <cell r="AC78" t="str">
            <v>x</v>
          </cell>
          <cell r="AD78">
            <v>0</v>
          </cell>
          <cell r="AE78" t="str">
            <v>5/6: waiting pre-payment; 3/28: waiting for prepayment; 3/23: đợi TA rồi run PI lấy prepayment</v>
          </cell>
          <cell r="AF78" t="str">
            <v>TECHCENTIAL SDN BHD</v>
          </cell>
          <cell r="AG78" t="str">
            <v>TECHCENTIAL SDN BHD</v>
          </cell>
          <cell r="AH78" t="str">
            <v>REGULAR</v>
          </cell>
          <cell r="AI78">
            <v>45007</v>
          </cell>
          <cell r="AJ78">
            <v>45049</v>
          </cell>
          <cell r="AK78">
            <v>45044</v>
          </cell>
          <cell r="AL78">
            <v>45054</v>
          </cell>
          <cell r="AM78">
            <v>45054</v>
          </cell>
          <cell r="AN78"/>
          <cell r="AO78">
            <v>45055</v>
          </cell>
          <cell r="AP78" t="str">
            <v>ON HOLD</v>
          </cell>
        </row>
        <row r="79">
          <cell r="A79">
            <v>96230810587</v>
          </cell>
          <cell r="B79" t="str">
            <v>US2-SAMPLE TEST BV MALAY</v>
          </cell>
          <cell r="C79">
            <v>0</v>
          </cell>
          <cell r="D79">
            <v>0</v>
          </cell>
          <cell r="E79" t="str">
            <v>VAN</v>
          </cell>
          <cell r="F79">
            <v>0</v>
          </cell>
          <cell r="G79" t="str">
            <v>R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1</v>
          </cell>
          <cell r="AB79" t="str">
            <v>R</v>
          </cell>
          <cell r="AC79" t="str">
            <v>x</v>
          </cell>
          <cell r="AD79">
            <v>0</v>
          </cell>
          <cell r="AE79" t="str">
            <v>5/6: waiting pre-payment; 3/28: waiting for prepayment; 3/23: đợi TA rồi run PI lấy prepayment</v>
          </cell>
          <cell r="AF79" t="str">
            <v>TECHCENTIAL SDN BHD</v>
          </cell>
          <cell r="AG79" t="str">
            <v>TECHCENTIAL SDN BHD</v>
          </cell>
          <cell r="AH79" t="str">
            <v>REGULAR</v>
          </cell>
          <cell r="AI79">
            <v>45007</v>
          </cell>
          <cell r="AJ79">
            <v>45049</v>
          </cell>
          <cell r="AK79">
            <v>45044</v>
          </cell>
          <cell r="AL79">
            <v>45054</v>
          </cell>
          <cell r="AM79">
            <v>45054</v>
          </cell>
          <cell r="AN79"/>
          <cell r="AO79">
            <v>45055</v>
          </cell>
          <cell r="AP79" t="str">
            <v>ON HOLD</v>
          </cell>
        </row>
        <row r="80">
          <cell r="A80">
            <v>96230810588</v>
          </cell>
          <cell r="B80" t="str">
            <v>US2-SAMPLE TEST BV MALAY</v>
          </cell>
          <cell r="C80">
            <v>0</v>
          </cell>
          <cell r="D80">
            <v>0</v>
          </cell>
          <cell r="E80" t="str">
            <v>VAN</v>
          </cell>
          <cell r="F80">
            <v>0</v>
          </cell>
          <cell r="G80" t="str">
            <v>R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1</v>
          </cell>
          <cell r="AB80" t="str">
            <v>R</v>
          </cell>
          <cell r="AC80" t="str">
            <v>x</v>
          </cell>
          <cell r="AD80">
            <v>0</v>
          </cell>
          <cell r="AE80" t="str">
            <v>5/6: waiting pre-payment; 3/28: waiting for prepayment; 3/23: đợi TA rồi run PI lấy prepayment</v>
          </cell>
          <cell r="AF80" t="str">
            <v>TECHCENTIAL SDN BHD</v>
          </cell>
          <cell r="AG80" t="str">
            <v>TECHCENTIAL SDN BHD</v>
          </cell>
          <cell r="AH80" t="str">
            <v>REGULAR</v>
          </cell>
          <cell r="AI80">
            <v>45007</v>
          </cell>
          <cell r="AJ80">
            <v>45049</v>
          </cell>
          <cell r="AK80">
            <v>45044</v>
          </cell>
          <cell r="AL80">
            <v>45054</v>
          </cell>
          <cell r="AM80">
            <v>45054</v>
          </cell>
          <cell r="AN80"/>
          <cell r="AO80">
            <v>45055</v>
          </cell>
          <cell r="AP80" t="str">
            <v>ON HOLD</v>
          </cell>
        </row>
        <row r="81">
          <cell r="A81">
            <v>96230820449</v>
          </cell>
          <cell r="B81" t="str">
            <v>US2</v>
          </cell>
          <cell r="C81">
            <v>0</v>
          </cell>
          <cell r="D81">
            <v>0</v>
          </cell>
          <cell r="E81" t="str">
            <v>SHE</v>
          </cell>
          <cell r="F81" t="str">
            <v>TECH KEEP
FIRST MAKING 0403 - SL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 t="str">
            <v>H, R, P, F, L, M, A, V</v>
          </cell>
          <cell r="AC81" t="str">
            <v>x</v>
          </cell>
          <cell r="AD81" t="str">
            <v>YES</v>
          </cell>
          <cell r="AE81" t="str">
            <v>5/8: fail abrasion lần 2, 5/6: no pend cs, 4/28: charge local rồi, 4/22: nhận mẫu retest rồi, 4/14: fail abrasion, bow &amp; skew</v>
          </cell>
          <cell r="AF81" t="str">
            <v>SCANDINAVIAN DESIGN VIETNAM LTD</v>
          </cell>
          <cell r="AG81" t="str">
            <v xml:space="preserve">CRATE &amp; BARREL </v>
          </cell>
          <cell r="AH81" t="str">
            <v>REGULAR</v>
          </cell>
          <cell r="AI81">
            <v>45008</v>
          </cell>
          <cell r="AJ81">
            <v>45054</v>
          </cell>
          <cell r="AK81">
            <v>45044</v>
          </cell>
          <cell r="AL81">
            <v>45052</v>
          </cell>
          <cell r="AM81">
            <v>45052</v>
          </cell>
          <cell r="AN81">
            <v>45055</v>
          </cell>
          <cell r="AO81">
            <v>45052</v>
          </cell>
          <cell r="AP81" t="str">
            <v>ON HOLD</v>
          </cell>
        </row>
        <row r="82">
          <cell r="A82">
            <v>96230830158</v>
          </cell>
          <cell r="B82" t="str">
            <v>TY</v>
          </cell>
          <cell r="C82">
            <v>0</v>
          </cell>
          <cell r="D82">
            <v>0</v>
          </cell>
          <cell r="E82" t="str">
            <v>SHE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 t="str">
            <v>H</v>
          </cell>
          <cell r="K82" t="str">
            <v>T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 t="str">
            <v>X</v>
          </cell>
          <cell r="Z82">
            <v>0</v>
          </cell>
          <cell r="AA82">
            <v>3</v>
          </cell>
          <cell r="AB82" t="str">
            <v>H, T, Q, V, B, X</v>
          </cell>
          <cell r="AC82" t="str">
            <v>x</v>
          </cell>
          <cell r="AD82">
            <v>0</v>
          </cell>
          <cell r="AE82" t="str">
            <v>5/4: off confirm same to US, 4/28: wait confirm again for formulation, Nancy tran confirm test hết, 3/31: wait confirm issue CPC, COI BAO GIA3/30: off not test and AN tự assign theo c Suri huong dan, 3/27: wait docs</v>
          </cell>
          <cell r="AF82" t="str">
            <v>IFG CORP</v>
          </cell>
          <cell r="AG82" t="str">
            <v>IFG CORP</v>
          </cell>
          <cell r="AH82" t="str">
            <v>REGULAR</v>
          </cell>
          <cell r="AI82">
            <v>45009</v>
          </cell>
          <cell r="AJ82">
            <v>45044</v>
          </cell>
          <cell r="AK82">
            <v>45044</v>
          </cell>
          <cell r="AL82">
            <v>45085</v>
          </cell>
          <cell r="AM82">
            <v>45087</v>
          </cell>
          <cell r="AN82"/>
          <cell r="AO82">
            <v>45087</v>
          </cell>
          <cell r="AP82" t="str">
            <v>OFF HOLD</v>
          </cell>
        </row>
        <row r="83">
          <cell r="A83">
            <v>96230830317</v>
          </cell>
          <cell r="B83" t="str">
            <v>US2-RF SP 96230830111</v>
          </cell>
          <cell r="C83">
            <v>0</v>
          </cell>
          <cell r="D83">
            <v>0</v>
          </cell>
          <cell r="E83" t="str">
            <v>FLO</v>
          </cell>
          <cell r="F83" t="str">
            <v>FIRST MAKING 0328 - SL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 t="str">
            <v>F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1</v>
          </cell>
          <cell r="AB83" t="str">
            <v>F</v>
          </cell>
          <cell r="AC83">
            <v>0</v>
          </cell>
          <cell r="AD83">
            <v>0</v>
          </cell>
          <cell r="AE83" t="str">
            <v>05/04; 04/28; 04/27: no CS pending, long test</v>
          </cell>
          <cell r="AF83" t="str">
            <v>NAD DESIGN BV</v>
          </cell>
          <cell r="AG83" t="str">
            <v>NAD DESIGN BV</v>
          </cell>
          <cell r="AH83" t="str">
            <v>REGULAR</v>
          </cell>
          <cell r="AI83">
            <v>45009</v>
          </cell>
          <cell r="AJ83"/>
          <cell r="AK83"/>
          <cell r="AL83">
            <v>45129</v>
          </cell>
          <cell r="AM83">
            <v>45129</v>
          </cell>
          <cell r="AN83"/>
          <cell r="AO83">
            <v>45131</v>
          </cell>
          <cell r="AP83" t="str">
            <v>ACTIVE</v>
          </cell>
        </row>
        <row r="84">
          <cell r="A84">
            <v>96230830546</v>
          </cell>
          <cell r="B84" t="str">
            <v>EU</v>
          </cell>
          <cell r="C84">
            <v>0</v>
          </cell>
          <cell r="D84">
            <v>0</v>
          </cell>
          <cell r="E84" t="str">
            <v>TAN</v>
          </cell>
          <cell r="F84">
            <v>0</v>
          </cell>
          <cell r="G84">
            <v>0</v>
          </cell>
          <cell r="H84" t="str">
            <v>E</v>
          </cell>
          <cell r="I84">
            <v>0</v>
          </cell>
          <cell r="J84" t="str">
            <v>H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2</v>
          </cell>
          <cell r="AB84" t="str">
            <v>H, E</v>
          </cell>
          <cell r="AC84">
            <v>0</v>
          </cell>
          <cell r="AD84" t="str">
            <v>YES</v>
          </cell>
          <cell r="AE84" t="str">
            <v>5/4, 4/22: no cs pend /15: vendor cannot provide extra 4/4: request extra 3/31: OEM, Account on hold</v>
          </cell>
          <cell r="AF84" t="str">
            <v>VIETNAM HANG LAM FURNITURE CO LTD</v>
          </cell>
          <cell r="AG84" t="str">
            <v>IKEA OF SWEDEN AB</v>
          </cell>
          <cell r="AH84" t="str">
            <v>REGULAR</v>
          </cell>
          <cell r="AI84">
            <v>45009</v>
          </cell>
          <cell r="AJ84">
            <v>45042</v>
          </cell>
          <cell r="AK84">
            <v>45042</v>
          </cell>
          <cell r="AL84">
            <v>45050</v>
          </cell>
          <cell r="AM84">
            <v>45050</v>
          </cell>
          <cell r="AN84"/>
          <cell r="AO84">
            <v>45051</v>
          </cell>
          <cell r="AP84" t="str">
            <v>MUST</v>
          </cell>
        </row>
        <row r="85">
          <cell r="A85">
            <v>96230840220</v>
          </cell>
          <cell r="B85" t="str">
            <v>JP-NOB</v>
          </cell>
          <cell r="C85">
            <v>0</v>
          </cell>
          <cell r="D85">
            <v>0</v>
          </cell>
          <cell r="E85" t="str">
            <v>TAN</v>
          </cell>
          <cell r="F85">
            <v>0</v>
          </cell>
          <cell r="G85" t="str">
            <v>R</v>
          </cell>
          <cell r="H85">
            <v>0</v>
          </cell>
          <cell r="I85">
            <v>0</v>
          </cell>
          <cell r="J85" t="str">
            <v>H</v>
          </cell>
          <cell r="K85">
            <v>0</v>
          </cell>
          <cell r="L85" t="str">
            <v>J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 t="str">
            <v>Q</v>
          </cell>
          <cell r="W85" t="str">
            <v>V</v>
          </cell>
          <cell r="X85">
            <v>0</v>
          </cell>
          <cell r="Y85">
            <v>0</v>
          </cell>
          <cell r="Z85">
            <v>0</v>
          </cell>
          <cell r="AA85">
            <v>5</v>
          </cell>
          <cell r="AB85" t="str">
            <v>H, J, R, Q, V</v>
          </cell>
          <cell r="AC85" t="str">
            <v>OEM, CSFU</v>
          </cell>
          <cell r="AD85">
            <v>0</v>
          </cell>
          <cell r="AE85" t="str">
            <v xml:space="preserve">5/3: wait prepayment 4/21: confirming PI - prepayment 4/10: wait blower 3/31: OEM </v>
          </cell>
          <cell r="AF85" t="str">
            <v>S AND B HARDWARE INC DBA TENTANDTABLE COM LLC</v>
          </cell>
          <cell r="AG85" t="str">
            <v>GLOBAL SELLERS PROGRAM</v>
          </cell>
          <cell r="AH85" t="str">
            <v>REGULAR</v>
          </cell>
          <cell r="AI85">
            <v>45010</v>
          </cell>
          <cell r="AJ85">
            <v>45049</v>
          </cell>
          <cell r="AK85">
            <v>45044</v>
          </cell>
          <cell r="AL85">
            <v>45054</v>
          </cell>
          <cell r="AM85">
            <v>45054</v>
          </cell>
          <cell r="AN85"/>
          <cell r="AO85">
            <v>45055</v>
          </cell>
          <cell r="AP85" t="str">
            <v>DUE</v>
          </cell>
        </row>
        <row r="86">
          <cell r="A86">
            <v>96230840223</v>
          </cell>
          <cell r="B86" t="str">
            <v>JP-NOB</v>
          </cell>
          <cell r="C86" t="str">
            <v>testing</v>
          </cell>
          <cell r="D86">
            <v>0</v>
          </cell>
          <cell r="E86" t="str">
            <v>TAN</v>
          </cell>
          <cell r="F86">
            <v>0</v>
          </cell>
          <cell r="G86" t="str">
            <v>R</v>
          </cell>
          <cell r="H86">
            <v>0</v>
          </cell>
          <cell r="I86">
            <v>0</v>
          </cell>
          <cell r="J86" t="str">
            <v>H</v>
          </cell>
          <cell r="K86">
            <v>0</v>
          </cell>
          <cell r="L86" t="str">
            <v>J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 t="str">
            <v>Q</v>
          </cell>
          <cell r="W86" t="str">
            <v>V</v>
          </cell>
          <cell r="X86">
            <v>0</v>
          </cell>
          <cell r="Y86">
            <v>0</v>
          </cell>
          <cell r="Z86">
            <v>0</v>
          </cell>
          <cell r="AA86">
            <v>5</v>
          </cell>
          <cell r="AB86" t="str">
            <v>H, J, R, Q, V</v>
          </cell>
          <cell r="AC86" t="str">
            <v>OEM, CSFU</v>
          </cell>
          <cell r="AD86">
            <v>0</v>
          </cell>
          <cell r="AE86" t="str">
            <v xml:space="preserve">5/3: wait prepayment 4/21: confirming PI - prepayment 4/10: wait blower 3/31: OEM </v>
          </cell>
          <cell r="AF86" t="str">
            <v>S AND B HARDWARE INC DBA TENTANDTABLE COM LLC</v>
          </cell>
          <cell r="AG86" t="str">
            <v>GLOBAL SELLERS PROGRAM</v>
          </cell>
          <cell r="AH86" t="str">
            <v>REGULAR</v>
          </cell>
          <cell r="AI86">
            <v>45010</v>
          </cell>
          <cell r="AJ86">
            <v>45019</v>
          </cell>
          <cell r="AK86">
            <v>45016</v>
          </cell>
          <cell r="AL86">
            <v>45021</v>
          </cell>
          <cell r="AM86">
            <v>45021</v>
          </cell>
          <cell r="AN86"/>
          <cell r="AO86">
            <v>45022</v>
          </cell>
          <cell r="AP86" t="str">
            <v>ON HOLD</v>
          </cell>
        </row>
        <row r="87">
          <cell r="A87">
            <v>96230840231</v>
          </cell>
          <cell r="B87" t="str">
            <v>JP-NOB</v>
          </cell>
          <cell r="C87" t="str">
            <v>testing</v>
          </cell>
          <cell r="D87">
            <v>0</v>
          </cell>
          <cell r="E87" t="str">
            <v>TAN</v>
          </cell>
          <cell r="F87">
            <v>0</v>
          </cell>
          <cell r="G87" t="str">
            <v>R</v>
          </cell>
          <cell r="H87">
            <v>0</v>
          </cell>
          <cell r="I87">
            <v>0</v>
          </cell>
          <cell r="J87" t="str">
            <v>H</v>
          </cell>
          <cell r="K87">
            <v>0</v>
          </cell>
          <cell r="L87" t="str">
            <v>J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 t="str">
            <v>Q</v>
          </cell>
          <cell r="W87" t="str">
            <v>V</v>
          </cell>
          <cell r="X87">
            <v>0</v>
          </cell>
          <cell r="Y87">
            <v>0</v>
          </cell>
          <cell r="Z87">
            <v>0</v>
          </cell>
          <cell r="AA87">
            <v>5</v>
          </cell>
          <cell r="AB87" t="str">
            <v>H, J, R, Q, V</v>
          </cell>
          <cell r="AC87" t="str">
            <v>OEM, CSFU</v>
          </cell>
          <cell r="AD87">
            <v>0</v>
          </cell>
          <cell r="AE87" t="str">
            <v xml:space="preserve">5/3: wait prepayment 4/21: confirming PI - prepayment 4/10: wait blower 3/31: OEM </v>
          </cell>
          <cell r="AF87" t="str">
            <v>S AND B HARDWARE INC DBA TENTANDTABLE COM LLC</v>
          </cell>
          <cell r="AG87" t="str">
            <v>GLOBAL SELLERS PROGRAM</v>
          </cell>
          <cell r="AH87" t="str">
            <v>REGULAR</v>
          </cell>
          <cell r="AI87">
            <v>45010</v>
          </cell>
          <cell r="AJ87">
            <v>45019</v>
          </cell>
          <cell r="AK87">
            <v>45016</v>
          </cell>
          <cell r="AL87">
            <v>45021</v>
          </cell>
          <cell r="AM87">
            <v>45021</v>
          </cell>
          <cell r="AN87"/>
          <cell r="AO87">
            <v>45022</v>
          </cell>
          <cell r="AP87" t="str">
            <v>ON HOLD</v>
          </cell>
        </row>
        <row r="88">
          <cell r="A88">
            <v>96230840233</v>
          </cell>
          <cell r="B88" t="str">
            <v>JP-NOB</v>
          </cell>
          <cell r="C88" t="str">
            <v>testing</v>
          </cell>
          <cell r="D88">
            <v>0</v>
          </cell>
          <cell r="E88" t="str">
            <v>TAN</v>
          </cell>
          <cell r="F88">
            <v>0</v>
          </cell>
          <cell r="G88" t="str">
            <v>R</v>
          </cell>
          <cell r="H88">
            <v>0</v>
          </cell>
          <cell r="I88">
            <v>0</v>
          </cell>
          <cell r="J88" t="str">
            <v>H</v>
          </cell>
          <cell r="K88">
            <v>0</v>
          </cell>
          <cell r="L88" t="str">
            <v>J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Q</v>
          </cell>
          <cell r="W88" t="str">
            <v>V</v>
          </cell>
          <cell r="X88">
            <v>0</v>
          </cell>
          <cell r="Y88">
            <v>0</v>
          </cell>
          <cell r="Z88">
            <v>0</v>
          </cell>
          <cell r="AA88">
            <v>5</v>
          </cell>
          <cell r="AB88" t="str">
            <v>H, J, R, Q, V</v>
          </cell>
          <cell r="AC88" t="str">
            <v>OEM, CSFU</v>
          </cell>
          <cell r="AD88">
            <v>0</v>
          </cell>
          <cell r="AE88" t="str">
            <v xml:space="preserve">5/3: wait prepayment 4/21: confirming PI - prepayment 4/10: wait blower 3/31: OEM </v>
          </cell>
          <cell r="AF88" t="str">
            <v>S AND B HARDWARE INC DBA TENTANDTABLE COM LLC</v>
          </cell>
          <cell r="AG88" t="str">
            <v>GLOBAL SELLERS PROGRAM</v>
          </cell>
          <cell r="AH88" t="str">
            <v>REGULAR</v>
          </cell>
          <cell r="AI88">
            <v>45010</v>
          </cell>
          <cell r="AJ88">
            <v>45019</v>
          </cell>
          <cell r="AK88">
            <v>45016</v>
          </cell>
          <cell r="AL88">
            <v>45021</v>
          </cell>
          <cell r="AM88">
            <v>45021</v>
          </cell>
          <cell r="AN88"/>
          <cell r="AO88">
            <v>45022</v>
          </cell>
          <cell r="AP88" t="str">
            <v>ON HOLD</v>
          </cell>
        </row>
        <row r="89">
          <cell r="A89">
            <v>96230840235</v>
          </cell>
          <cell r="B89" t="str">
            <v>JP-NOB</v>
          </cell>
          <cell r="C89" t="str">
            <v>testing</v>
          </cell>
          <cell r="D89">
            <v>0</v>
          </cell>
          <cell r="E89" t="str">
            <v>TAN</v>
          </cell>
          <cell r="F89">
            <v>0</v>
          </cell>
          <cell r="G89" t="str">
            <v>R</v>
          </cell>
          <cell r="H89">
            <v>0</v>
          </cell>
          <cell r="I89">
            <v>0</v>
          </cell>
          <cell r="J89" t="str">
            <v>H</v>
          </cell>
          <cell r="K89">
            <v>0</v>
          </cell>
          <cell r="L89" t="str">
            <v>J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 t="str">
            <v>Q</v>
          </cell>
          <cell r="W89" t="str">
            <v>V</v>
          </cell>
          <cell r="X89">
            <v>0</v>
          </cell>
          <cell r="Y89">
            <v>0</v>
          </cell>
          <cell r="Z89">
            <v>0</v>
          </cell>
          <cell r="AA89">
            <v>5</v>
          </cell>
          <cell r="AB89" t="str">
            <v>H, J, R, Q, V</v>
          </cell>
          <cell r="AC89" t="str">
            <v>OEM, CSFU</v>
          </cell>
          <cell r="AD89">
            <v>0</v>
          </cell>
          <cell r="AE89" t="str">
            <v xml:space="preserve">5/3: wait prepayment 4/21: confirming PI - prepayment 4/10: wait blower 3/31: OEM </v>
          </cell>
          <cell r="AF89" t="str">
            <v>S AND B HARDWARE INC DBA TENTANDTABLE COM LLC</v>
          </cell>
          <cell r="AG89" t="str">
            <v>GLOBAL SELLERS PROGRAM</v>
          </cell>
          <cell r="AH89" t="str">
            <v>REGULAR</v>
          </cell>
          <cell r="AI89">
            <v>45010</v>
          </cell>
          <cell r="AJ89">
            <v>45019</v>
          </cell>
          <cell r="AK89">
            <v>45016</v>
          </cell>
          <cell r="AL89">
            <v>45021</v>
          </cell>
          <cell r="AM89">
            <v>45021</v>
          </cell>
          <cell r="AN89"/>
          <cell r="AO89">
            <v>45022</v>
          </cell>
          <cell r="AP89" t="str">
            <v>ON HOLD</v>
          </cell>
        </row>
        <row r="90">
          <cell r="A90">
            <v>96230840236</v>
          </cell>
          <cell r="B90" t="str">
            <v>JP-NOB</v>
          </cell>
          <cell r="C90" t="str">
            <v>testing</v>
          </cell>
          <cell r="D90">
            <v>0</v>
          </cell>
          <cell r="E90" t="str">
            <v>TAN</v>
          </cell>
          <cell r="F90">
            <v>0</v>
          </cell>
          <cell r="G90" t="str">
            <v>R</v>
          </cell>
          <cell r="H90">
            <v>0</v>
          </cell>
          <cell r="I90">
            <v>0</v>
          </cell>
          <cell r="J90" t="str">
            <v>H</v>
          </cell>
          <cell r="K90">
            <v>0</v>
          </cell>
          <cell r="L90" t="str">
            <v>J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 t="str">
            <v>Q</v>
          </cell>
          <cell r="W90" t="str">
            <v>V</v>
          </cell>
          <cell r="X90">
            <v>0</v>
          </cell>
          <cell r="Y90">
            <v>0</v>
          </cell>
          <cell r="Z90">
            <v>0</v>
          </cell>
          <cell r="AA90">
            <v>5</v>
          </cell>
          <cell r="AB90" t="str">
            <v>H, J, R, Q, V</v>
          </cell>
          <cell r="AC90" t="str">
            <v>OEM, CSFU</v>
          </cell>
          <cell r="AD90">
            <v>0</v>
          </cell>
          <cell r="AE90" t="str">
            <v xml:space="preserve">5/3: wait prepayment 4/21: confirming PI - prepayment 4/10: wait blower 3/31: OEM </v>
          </cell>
          <cell r="AF90" t="str">
            <v>S AND B HARDWARE INC DBA TENTANDTABLE COM LLC</v>
          </cell>
          <cell r="AG90" t="str">
            <v>GLOBAL SELLERS PROGRAM</v>
          </cell>
          <cell r="AH90" t="str">
            <v>REGULAR</v>
          </cell>
          <cell r="AI90">
            <v>45010</v>
          </cell>
          <cell r="AJ90">
            <v>45019</v>
          </cell>
          <cell r="AK90">
            <v>45016</v>
          </cell>
          <cell r="AL90">
            <v>45021</v>
          </cell>
          <cell r="AM90">
            <v>45021</v>
          </cell>
          <cell r="AN90"/>
          <cell r="AO90">
            <v>45022</v>
          </cell>
          <cell r="AP90" t="str">
            <v>ON HOLD</v>
          </cell>
        </row>
        <row r="91">
          <cell r="A91">
            <v>96230840237</v>
          </cell>
          <cell r="B91" t="str">
            <v>JP-NOB</v>
          </cell>
          <cell r="C91" t="str">
            <v>testing</v>
          </cell>
          <cell r="D91">
            <v>0</v>
          </cell>
          <cell r="E91" t="str">
            <v>TAN</v>
          </cell>
          <cell r="F91">
            <v>0</v>
          </cell>
          <cell r="G91" t="str">
            <v>R</v>
          </cell>
          <cell r="H91">
            <v>0</v>
          </cell>
          <cell r="I91">
            <v>0</v>
          </cell>
          <cell r="J91" t="str">
            <v>H</v>
          </cell>
          <cell r="K91">
            <v>0</v>
          </cell>
          <cell r="L91" t="str">
            <v>J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 t="str">
            <v>Q</v>
          </cell>
          <cell r="W91" t="str">
            <v>V</v>
          </cell>
          <cell r="X91">
            <v>0</v>
          </cell>
          <cell r="Y91">
            <v>0</v>
          </cell>
          <cell r="Z91">
            <v>0</v>
          </cell>
          <cell r="AA91">
            <v>5</v>
          </cell>
          <cell r="AB91" t="str">
            <v>H, J, R, Q, V</v>
          </cell>
          <cell r="AC91" t="str">
            <v>OEM, CSFU</v>
          </cell>
          <cell r="AD91">
            <v>0</v>
          </cell>
          <cell r="AE91" t="str">
            <v xml:space="preserve">5/3: wait prepayment 4/21: confirming PI - prepayment 4/10: wait blower 3/31: OEM </v>
          </cell>
          <cell r="AF91" t="str">
            <v>S AND B HARDWARE INC DBA TENTANDTABLE COM LLC</v>
          </cell>
          <cell r="AG91" t="str">
            <v>GLOBAL SELLERS PROGRAM</v>
          </cell>
          <cell r="AH91" t="str">
            <v>REGULAR</v>
          </cell>
          <cell r="AI91">
            <v>45010</v>
          </cell>
          <cell r="AJ91">
            <v>45019</v>
          </cell>
          <cell r="AK91">
            <v>45016</v>
          </cell>
          <cell r="AL91">
            <v>45021</v>
          </cell>
          <cell r="AM91">
            <v>45021</v>
          </cell>
          <cell r="AN91"/>
          <cell r="AO91">
            <v>45022</v>
          </cell>
          <cell r="AP91" t="str">
            <v>ON HOLD</v>
          </cell>
        </row>
        <row r="92">
          <cell r="A92">
            <v>96230840238</v>
          </cell>
          <cell r="B92" t="str">
            <v>JP-NOB</v>
          </cell>
          <cell r="C92" t="str">
            <v>testing</v>
          </cell>
          <cell r="D92">
            <v>0</v>
          </cell>
          <cell r="E92" t="str">
            <v>TAN</v>
          </cell>
          <cell r="F92">
            <v>0</v>
          </cell>
          <cell r="G92" t="str">
            <v>R</v>
          </cell>
          <cell r="H92">
            <v>0</v>
          </cell>
          <cell r="I92">
            <v>0</v>
          </cell>
          <cell r="J92" t="str">
            <v>H</v>
          </cell>
          <cell r="K92">
            <v>0</v>
          </cell>
          <cell r="L92" t="str">
            <v>J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 t="str">
            <v>Q</v>
          </cell>
          <cell r="W92" t="str">
            <v>V</v>
          </cell>
          <cell r="X92">
            <v>0</v>
          </cell>
          <cell r="Y92">
            <v>0</v>
          </cell>
          <cell r="Z92">
            <v>0</v>
          </cell>
          <cell r="AA92">
            <v>5</v>
          </cell>
          <cell r="AB92" t="str">
            <v>H, J, R, Q, V</v>
          </cell>
          <cell r="AC92" t="str">
            <v>OEM, CSFU</v>
          </cell>
          <cell r="AD92">
            <v>0</v>
          </cell>
          <cell r="AE92" t="str">
            <v xml:space="preserve">5/3: wait prepayment 4/21: confirming PI - prepayment 4/10: wait blower 3/31: OEM </v>
          </cell>
          <cell r="AF92" t="str">
            <v>S AND B HARDWARE INC DBA TENTANDTABLE COM LLC</v>
          </cell>
          <cell r="AG92" t="str">
            <v>GLOBAL SELLERS PROGRAM</v>
          </cell>
          <cell r="AH92" t="str">
            <v>REGULAR</v>
          </cell>
          <cell r="AI92">
            <v>45010</v>
          </cell>
          <cell r="AJ92">
            <v>45019</v>
          </cell>
          <cell r="AK92">
            <v>45016</v>
          </cell>
          <cell r="AL92">
            <v>45021</v>
          </cell>
          <cell r="AM92">
            <v>45021</v>
          </cell>
          <cell r="AN92"/>
          <cell r="AO92">
            <v>45022</v>
          </cell>
          <cell r="AP92" t="str">
            <v>ON HOLD</v>
          </cell>
        </row>
        <row r="93">
          <cell r="A93">
            <v>96230840279</v>
          </cell>
          <cell r="B93" t="str">
            <v>US2</v>
          </cell>
          <cell r="C93">
            <v>0</v>
          </cell>
          <cell r="D93">
            <v>0</v>
          </cell>
          <cell r="E93" t="str">
            <v>TAN</v>
          </cell>
          <cell r="F93">
            <v>0</v>
          </cell>
          <cell r="G93" t="str">
            <v>R</v>
          </cell>
          <cell r="H93">
            <v>0</v>
          </cell>
          <cell r="I93">
            <v>0</v>
          </cell>
          <cell r="J93" t="str">
            <v>H</v>
          </cell>
          <cell r="K93">
            <v>0</v>
          </cell>
          <cell r="L93">
            <v>0</v>
          </cell>
          <cell r="M93">
            <v>0</v>
          </cell>
          <cell r="N93">
            <v>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 t="str">
            <v>A</v>
          </cell>
          <cell r="V93" t="str">
            <v>Q</v>
          </cell>
          <cell r="W93" t="str">
            <v>V</v>
          </cell>
          <cell r="X93">
            <v>0</v>
          </cell>
          <cell r="Y93">
            <v>0</v>
          </cell>
          <cell r="Z93">
            <v>0</v>
          </cell>
          <cell r="AA93">
            <v>6</v>
          </cell>
          <cell r="AB93" t="str">
            <v>H, R, 4., A, Q, V</v>
          </cell>
          <cell r="AC93">
            <v>0</v>
          </cell>
          <cell r="AD93" t="str">
            <v>YES</v>
          </cell>
          <cell r="AE93" t="str">
            <v xml:space="preserve">5/3: pend extra 4/7: pend docs, sample 3/29: request add test 3/20: received extra </v>
          </cell>
          <cell r="AF93" t="str">
            <v>DELTA ENTERPRISE CORP. D/B/A DELTA CHILDREN'S PRODUCTS</v>
          </cell>
          <cell r="AG93" t="str">
            <v>DELTA ENTERPRISE CORP. D/B/A DELTA CHILDREN'S PRODUCTS</v>
          </cell>
          <cell r="AH93" t="str">
            <v>REGULAR</v>
          </cell>
          <cell r="AI93">
            <v>45010</v>
          </cell>
          <cell r="AJ93">
            <v>45049</v>
          </cell>
          <cell r="AK93">
            <v>45016</v>
          </cell>
          <cell r="AL93">
            <v>45021</v>
          </cell>
          <cell r="AM93">
            <v>45021</v>
          </cell>
          <cell r="AN93"/>
          <cell r="AO93">
            <v>45022</v>
          </cell>
          <cell r="AP93" t="str">
            <v>ON HOLD</v>
          </cell>
        </row>
        <row r="94">
          <cell r="A94">
            <v>96230860326</v>
          </cell>
          <cell r="B94" t="str">
            <v>JP</v>
          </cell>
          <cell r="C94" t="str">
            <v>PEND-SAMPLE</v>
          </cell>
          <cell r="D94">
            <v>0</v>
          </cell>
          <cell r="E94" t="str">
            <v>ELV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 t="str">
            <v>H</v>
          </cell>
          <cell r="K94" t="str">
            <v>T</v>
          </cell>
          <cell r="L94" t="str">
            <v>J</v>
          </cell>
          <cell r="M94">
            <v>0</v>
          </cell>
          <cell r="N94">
            <v>0</v>
          </cell>
          <cell r="O94" t="str">
            <v>P</v>
          </cell>
          <cell r="P94">
            <v>0</v>
          </cell>
          <cell r="Q94">
            <v>0</v>
          </cell>
          <cell r="R94" t="str">
            <v>L</v>
          </cell>
          <cell r="S94" t="str">
            <v>M</v>
          </cell>
          <cell r="T94">
            <v>0</v>
          </cell>
          <cell r="U94">
            <v>0</v>
          </cell>
          <cell r="V94" t="str">
            <v>Q</v>
          </cell>
          <cell r="W94" t="str">
            <v>V</v>
          </cell>
          <cell r="X94">
            <v>0</v>
          </cell>
          <cell r="Y94">
            <v>0</v>
          </cell>
          <cell r="Z94">
            <v>0</v>
          </cell>
          <cell r="AA94">
            <v>8</v>
          </cell>
          <cell r="AB94" t="str">
            <v>H, T, J, P, L, M, Q, V</v>
          </cell>
          <cell r="AC94" t="str">
            <v>x</v>
          </cell>
          <cell r="AD94" t="str">
            <v>YES</v>
          </cell>
          <cell r="AE94" t="str">
            <v xml:space="preserve">0420: Provide info to tech; still pending many info; 0415: Just asking vendor for pending docs and sample </v>
          </cell>
          <cell r="AF94" t="str">
            <v>PALI DESIGN INC.</v>
          </cell>
          <cell r="AG94" t="str">
            <v>WAYFAIR LLC</v>
          </cell>
          <cell r="AH94" t="str">
            <v>REGULAR</v>
          </cell>
          <cell r="AI94">
            <v>45012</v>
          </cell>
          <cell r="AJ94">
            <v>45049</v>
          </cell>
          <cell r="AK94">
            <v>45044</v>
          </cell>
          <cell r="AL94">
            <v>45054</v>
          </cell>
          <cell r="AM94">
            <v>45054</v>
          </cell>
          <cell r="AN94"/>
          <cell r="AO94">
            <v>45055</v>
          </cell>
          <cell r="AP94" t="str">
            <v>ON HOLD</v>
          </cell>
        </row>
        <row r="95">
          <cell r="A95">
            <v>96230860366</v>
          </cell>
          <cell r="B95" t="str">
            <v>JP</v>
          </cell>
          <cell r="C95" t="str">
            <v>PEND-SAMPLE</v>
          </cell>
          <cell r="D95">
            <v>0</v>
          </cell>
          <cell r="E95" t="str">
            <v>ELV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 t="str">
            <v>J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 t="str">
            <v>Q</v>
          </cell>
          <cell r="W95" t="str">
            <v>V</v>
          </cell>
          <cell r="X95">
            <v>0</v>
          </cell>
          <cell r="Y95">
            <v>0</v>
          </cell>
          <cell r="Z95">
            <v>0</v>
          </cell>
          <cell r="AA95">
            <v>3</v>
          </cell>
          <cell r="AB95" t="str">
            <v>J, Q, V</v>
          </cell>
          <cell r="AC95" t="str">
            <v>x</v>
          </cell>
          <cell r="AD95" t="str">
            <v>YES</v>
          </cell>
          <cell r="AE95" t="str">
            <v xml:space="preserve">0424: Received extra sample; 0421; push extra sample; 0419: Push extra sample again </v>
          </cell>
          <cell r="AF95" t="str">
            <v>CHIEN (VIETNAM) FURNITURE MFG. CO LTD</v>
          </cell>
          <cell r="AG95" t="str">
            <v>WILLIAMS-SONOMA INC</v>
          </cell>
          <cell r="AH95" t="str">
            <v>REGULAR</v>
          </cell>
          <cell r="AI95">
            <v>45012</v>
          </cell>
          <cell r="AJ95">
            <v>45049</v>
          </cell>
          <cell r="AK95">
            <v>45044</v>
          </cell>
          <cell r="AL95">
            <v>45054</v>
          </cell>
          <cell r="AM95">
            <v>45054</v>
          </cell>
          <cell r="AN95"/>
          <cell r="AO95">
            <v>45055</v>
          </cell>
          <cell r="AP95" t="str">
            <v>ON HOLD</v>
          </cell>
        </row>
        <row r="96">
          <cell r="A96">
            <v>96230870391</v>
          </cell>
          <cell r="B96" t="str">
            <v>US2-2000H</v>
          </cell>
          <cell r="C96">
            <v>0</v>
          </cell>
          <cell r="D96">
            <v>0</v>
          </cell>
          <cell r="E96" t="str">
            <v>SHE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 t="str">
            <v>H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1</v>
          </cell>
          <cell r="AB96" t="str">
            <v>H</v>
          </cell>
          <cell r="AC96">
            <v>0</v>
          </cell>
          <cell r="AD96">
            <v>0</v>
          </cell>
          <cell r="AE96" t="str">
            <v>4/20: OFF PI, WAIT SEND DISPOTE 50%, 4/1: wait confirm PI</v>
          </cell>
          <cell r="AF96" t="str">
            <v>JANUS ET CIE</v>
          </cell>
          <cell r="AG96" t="str">
            <v>JANUS ET CIE</v>
          </cell>
          <cell r="AH96" t="str">
            <v>REGULAR</v>
          </cell>
          <cell r="AI96">
            <v>45013</v>
          </cell>
          <cell r="AJ96">
            <v>45017</v>
          </cell>
          <cell r="AK96">
            <v>45036</v>
          </cell>
          <cell r="AL96">
            <v>45139</v>
          </cell>
          <cell r="AM96">
            <v>45139</v>
          </cell>
          <cell r="AN96"/>
          <cell r="AO96">
            <v>45140</v>
          </cell>
          <cell r="AP96" t="str">
            <v>OFF HOLD</v>
          </cell>
        </row>
        <row r="97">
          <cell r="A97">
            <v>96230870408</v>
          </cell>
          <cell r="B97" t="str">
            <v>US2-3000H</v>
          </cell>
          <cell r="C97">
            <v>0</v>
          </cell>
          <cell r="D97">
            <v>0</v>
          </cell>
          <cell r="E97" t="str">
            <v>SHE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 t="str">
            <v>H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1</v>
          </cell>
          <cell r="AB97" t="str">
            <v>H</v>
          </cell>
          <cell r="AC97">
            <v>0</v>
          </cell>
          <cell r="AD97">
            <v>0</v>
          </cell>
          <cell r="AE97" t="str">
            <v>4/20: OFF PI, WAIT SEND DISPOTE 50%, 4/1: wait confirm PI</v>
          </cell>
          <cell r="AF97" t="str">
            <v>JANUS ET CIE</v>
          </cell>
          <cell r="AG97" t="str">
            <v>JANUS ET CIE</v>
          </cell>
          <cell r="AH97" t="str">
            <v>REGULAR</v>
          </cell>
          <cell r="AI97">
            <v>45013</v>
          </cell>
          <cell r="AJ97">
            <v>45017</v>
          </cell>
          <cell r="AK97">
            <v>45036</v>
          </cell>
          <cell r="AL97">
            <v>45188</v>
          </cell>
          <cell r="AM97">
            <v>45188</v>
          </cell>
          <cell r="AN97"/>
          <cell r="AO97">
            <v>45189</v>
          </cell>
          <cell r="AP97" t="str">
            <v>OFF HOLD</v>
          </cell>
        </row>
        <row r="98">
          <cell r="A98">
            <v>96230870413</v>
          </cell>
          <cell r="B98" t="str">
            <v>US2-3000H</v>
          </cell>
          <cell r="C98">
            <v>0</v>
          </cell>
          <cell r="D98">
            <v>0</v>
          </cell>
          <cell r="E98" t="str">
            <v>SHE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 t="str">
            <v>H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1</v>
          </cell>
          <cell r="AB98" t="str">
            <v>H</v>
          </cell>
          <cell r="AC98">
            <v>0</v>
          </cell>
          <cell r="AD98">
            <v>0</v>
          </cell>
          <cell r="AE98" t="str">
            <v>4/20: OFF PI, WAIT SEND DISPOTE 50%, 4/1: wait confirm PI</v>
          </cell>
          <cell r="AF98" t="str">
            <v>JANUS ET CIE</v>
          </cell>
          <cell r="AG98" t="str">
            <v>JANUS ET CIE</v>
          </cell>
          <cell r="AH98" t="str">
            <v>REGULAR</v>
          </cell>
          <cell r="AI98">
            <v>45013</v>
          </cell>
          <cell r="AJ98">
            <v>45017</v>
          </cell>
          <cell r="AK98">
            <v>45036</v>
          </cell>
          <cell r="AL98">
            <v>45188</v>
          </cell>
          <cell r="AM98">
            <v>45188</v>
          </cell>
          <cell r="AN98"/>
          <cell r="AO98">
            <v>45189</v>
          </cell>
          <cell r="AP98" t="str">
            <v>OFF HOLD</v>
          </cell>
        </row>
        <row r="99">
          <cell r="A99">
            <v>96230870417</v>
          </cell>
          <cell r="B99" t="str">
            <v>US2-2000H</v>
          </cell>
          <cell r="C99">
            <v>0</v>
          </cell>
          <cell r="D99">
            <v>0</v>
          </cell>
          <cell r="E99" t="str">
            <v>SHE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 t="str">
            <v>H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1</v>
          </cell>
          <cell r="AB99" t="str">
            <v>H</v>
          </cell>
          <cell r="AC99">
            <v>0</v>
          </cell>
          <cell r="AD99">
            <v>0</v>
          </cell>
          <cell r="AE99" t="str">
            <v>4/20: OFF PI, WAIT SEND DISPOTE 50%, 4/1: wait confirm PI</v>
          </cell>
          <cell r="AF99" t="str">
            <v>JANUS ET CIE</v>
          </cell>
          <cell r="AG99" t="str">
            <v>JANUS ET CIE</v>
          </cell>
          <cell r="AH99" t="str">
            <v>REGULAR</v>
          </cell>
          <cell r="AI99">
            <v>45013</v>
          </cell>
          <cell r="AJ99">
            <v>45017</v>
          </cell>
          <cell r="AK99">
            <v>45036</v>
          </cell>
          <cell r="AL99">
            <v>45139</v>
          </cell>
          <cell r="AM99">
            <v>45139</v>
          </cell>
          <cell r="AN99"/>
          <cell r="AO99">
            <v>45140</v>
          </cell>
          <cell r="AP99" t="str">
            <v>OFF HOLD</v>
          </cell>
        </row>
        <row r="100">
          <cell r="A100">
            <v>96230870420</v>
          </cell>
          <cell r="B100" t="str">
            <v>US2-2000H</v>
          </cell>
          <cell r="C100">
            <v>0</v>
          </cell>
          <cell r="D100">
            <v>0</v>
          </cell>
          <cell r="E100" t="str">
            <v>SHE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 t="str">
            <v>H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1</v>
          </cell>
          <cell r="AB100" t="str">
            <v>H</v>
          </cell>
          <cell r="AC100">
            <v>0</v>
          </cell>
          <cell r="AD100">
            <v>0</v>
          </cell>
          <cell r="AE100" t="str">
            <v>4/20: OFF PI, WAIT SEND DISPOTE 50%, 4/1: wait confirm PI</v>
          </cell>
          <cell r="AF100" t="str">
            <v>JANUS ET CIE</v>
          </cell>
          <cell r="AG100" t="str">
            <v>JANUS ET CIE</v>
          </cell>
          <cell r="AH100" t="str">
            <v>REGULAR</v>
          </cell>
          <cell r="AI100">
            <v>45013</v>
          </cell>
          <cell r="AJ100">
            <v>45017</v>
          </cell>
          <cell r="AK100">
            <v>45036</v>
          </cell>
          <cell r="AL100">
            <v>45139</v>
          </cell>
          <cell r="AM100">
            <v>45139</v>
          </cell>
          <cell r="AN100"/>
          <cell r="AO100">
            <v>45140</v>
          </cell>
          <cell r="AP100" t="str">
            <v>OFF HOLD</v>
          </cell>
        </row>
        <row r="101">
          <cell r="A101">
            <v>96230870421</v>
          </cell>
          <cell r="B101" t="str">
            <v>US2-3000H</v>
          </cell>
          <cell r="C101">
            <v>0</v>
          </cell>
          <cell r="D101">
            <v>0</v>
          </cell>
          <cell r="E101" t="str">
            <v>SHE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 t="str">
            <v>H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1</v>
          </cell>
          <cell r="AB101" t="str">
            <v>H</v>
          </cell>
          <cell r="AC101">
            <v>0</v>
          </cell>
          <cell r="AD101">
            <v>0</v>
          </cell>
          <cell r="AE101" t="str">
            <v>4/20: OFF PI, WAIT SEND DISPOTE 50%, 4/1: wait confirm PI</v>
          </cell>
          <cell r="AF101" t="str">
            <v>JANUS ET CIE</v>
          </cell>
          <cell r="AG101" t="str">
            <v>JANUS ET CIE</v>
          </cell>
          <cell r="AH101" t="str">
            <v>REGULAR</v>
          </cell>
          <cell r="AI101">
            <v>45013</v>
          </cell>
          <cell r="AJ101">
            <v>45017</v>
          </cell>
          <cell r="AK101">
            <v>45036</v>
          </cell>
          <cell r="AL101">
            <v>45188</v>
          </cell>
          <cell r="AM101">
            <v>45188</v>
          </cell>
          <cell r="AN101"/>
          <cell r="AO101">
            <v>45189</v>
          </cell>
          <cell r="AP101" t="str">
            <v>OFF HOLD</v>
          </cell>
        </row>
        <row r="102">
          <cell r="A102">
            <v>96230870548</v>
          </cell>
          <cell r="B102" t="str">
            <v>US2-RF SP 96230670853-2000HOURS</v>
          </cell>
          <cell r="C102">
            <v>0</v>
          </cell>
          <cell r="D102">
            <v>0</v>
          </cell>
          <cell r="E102" t="str">
            <v>SHE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 t="str">
            <v>H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1</v>
          </cell>
          <cell r="AB102" t="str">
            <v>H</v>
          </cell>
          <cell r="AC102">
            <v>0</v>
          </cell>
          <cell r="AD102">
            <v>0</v>
          </cell>
          <cell r="AE102" t="str">
            <v>4/20: OFF PI, WAIT SEND DISPOTE 50%, 4/1: wait confirm PI</v>
          </cell>
          <cell r="AF102" t="str">
            <v>JANUS ET CIE</v>
          </cell>
          <cell r="AG102" t="str">
            <v>JANUS ET CIE</v>
          </cell>
          <cell r="AH102" t="str">
            <v>REGULAR</v>
          </cell>
          <cell r="AI102">
            <v>45013</v>
          </cell>
          <cell r="AJ102">
            <v>45017</v>
          </cell>
          <cell r="AK102">
            <v>45036</v>
          </cell>
          <cell r="AL102">
            <v>45139</v>
          </cell>
          <cell r="AM102">
            <v>45139</v>
          </cell>
          <cell r="AN102"/>
          <cell r="AO102">
            <v>45140</v>
          </cell>
          <cell r="AP102" t="str">
            <v>OFF HOLD</v>
          </cell>
        </row>
        <row r="103">
          <cell r="A103">
            <v>96230880115</v>
          </cell>
          <cell r="B103" t="str">
            <v>JP</v>
          </cell>
          <cell r="C103" t="str">
            <v>wait AN</v>
          </cell>
          <cell r="D103">
            <v>0</v>
          </cell>
          <cell r="E103" t="str">
            <v>TAN</v>
          </cell>
          <cell r="F103" t="str">
            <v>FIRST MAKING 0508-AN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 t="str">
            <v>A</v>
          </cell>
          <cell r="V103" t="str">
            <v>Q</v>
          </cell>
          <cell r="W103" t="str">
            <v>V</v>
          </cell>
          <cell r="X103">
            <v>0</v>
          </cell>
          <cell r="Y103">
            <v>0</v>
          </cell>
          <cell r="Z103">
            <v>0</v>
          </cell>
          <cell r="AA103">
            <v>3</v>
          </cell>
          <cell r="AB103" t="str">
            <v>H, J, A, Q, V</v>
          </cell>
          <cell r="AC103">
            <v>0</v>
          </cell>
          <cell r="AD103" t="str">
            <v>YES</v>
          </cell>
          <cell r="AE103" t="str">
            <v>5/3: waiting extra clear customs ,4/26: pend extra, vendor sent through DHL</v>
          </cell>
          <cell r="AF103" t="str">
            <v>STORK CRAFT MANUFACTURING USA INC</v>
          </cell>
          <cell r="AG103" t="str">
            <v>JUVENILE PRODUCTS MANUFACTURERS ASSOCIATION INC / JPMA</v>
          </cell>
          <cell r="AH103" t="str">
            <v>REGULAR</v>
          </cell>
          <cell r="AI103">
            <v>45014</v>
          </cell>
          <cell r="AJ103">
            <v>45022</v>
          </cell>
          <cell r="AK103"/>
          <cell r="AL103">
            <v>45020</v>
          </cell>
          <cell r="AM103">
            <v>45020</v>
          </cell>
          <cell r="AN103"/>
          <cell r="AO103">
            <v>45021</v>
          </cell>
          <cell r="AP103" t="str">
            <v>ON HOLD</v>
          </cell>
        </row>
        <row r="104">
          <cell r="A104">
            <v>96230880199</v>
          </cell>
          <cell r="B104" t="str">
            <v>CD</v>
          </cell>
          <cell r="C104">
            <v>0</v>
          </cell>
          <cell r="D104">
            <v>0</v>
          </cell>
          <cell r="E104" t="str">
            <v>FLO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 t="str">
            <v>H</v>
          </cell>
          <cell r="K104">
            <v>0</v>
          </cell>
          <cell r="L104" t="str">
            <v>J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 t="str">
            <v>Q</v>
          </cell>
          <cell r="W104" t="str">
            <v>V</v>
          </cell>
          <cell r="X104">
            <v>0</v>
          </cell>
          <cell r="Y104">
            <v>0</v>
          </cell>
          <cell r="Z104">
            <v>0</v>
          </cell>
          <cell r="AA104">
            <v>4</v>
          </cell>
          <cell r="AB104" t="str">
            <v>H, J, Q, V</v>
          </cell>
          <cell r="AC104">
            <v>0</v>
          </cell>
          <cell r="AD104">
            <v>0</v>
          </cell>
          <cell r="AE104" t="str">
            <v>05/04: pend doc
04/28; 04/22: no CS pending
04/04: recheck SKU</v>
          </cell>
          <cell r="AF104" t="str">
            <v>CRA-Z-ART CORPORATION</v>
          </cell>
          <cell r="AG104" t="str">
            <v>CRA-Z-ART CORPORATION</v>
          </cell>
          <cell r="AH104" t="str">
            <v>REGULAR</v>
          </cell>
          <cell r="AI104">
            <v>45014</v>
          </cell>
          <cell r="AJ104">
            <v>45050</v>
          </cell>
          <cell r="AK104">
            <v>45038</v>
          </cell>
          <cell r="AL104">
            <v>45043</v>
          </cell>
          <cell r="AM104">
            <v>45049</v>
          </cell>
          <cell r="AN104"/>
          <cell r="AO104">
            <v>45049</v>
          </cell>
          <cell r="AP104" t="str">
            <v>ON HOLD</v>
          </cell>
        </row>
        <row r="105">
          <cell r="A105">
            <v>96230880202</v>
          </cell>
          <cell r="B105" t="str">
            <v>CD</v>
          </cell>
          <cell r="C105">
            <v>0</v>
          </cell>
          <cell r="D105">
            <v>0</v>
          </cell>
          <cell r="E105" t="str">
            <v>FLO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 t="str">
            <v>H</v>
          </cell>
          <cell r="K105">
            <v>0</v>
          </cell>
          <cell r="L105" t="str">
            <v>J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 t="str">
            <v>Q</v>
          </cell>
          <cell r="W105" t="str">
            <v>V</v>
          </cell>
          <cell r="X105">
            <v>0</v>
          </cell>
          <cell r="Y105">
            <v>0</v>
          </cell>
          <cell r="Z105">
            <v>0</v>
          </cell>
          <cell r="AA105">
            <v>4</v>
          </cell>
          <cell r="AB105" t="str">
            <v>H, J, Q, V</v>
          </cell>
          <cell r="AC105">
            <v>0</v>
          </cell>
          <cell r="AD105">
            <v>0</v>
          </cell>
          <cell r="AE105" t="str">
            <v>05/04: pend doc
04/28; 04/22: no CS pending
04/04: recheck SKU</v>
          </cell>
          <cell r="AF105" t="str">
            <v>CRA-Z-ART CORPORATION</v>
          </cell>
          <cell r="AG105" t="str">
            <v>CRA-Z-ART CORPORATION</v>
          </cell>
          <cell r="AH105" t="str">
            <v>REGULAR</v>
          </cell>
          <cell r="AI105">
            <v>45014</v>
          </cell>
          <cell r="AJ105">
            <v>45050</v>
          </cell>
          <cell r="AK105">
            <v>45038</v>
          </cell>
          <cell r="AL105">
            <v>45043</v>
          </cell>
          <cell r="AM105">
            <v>45049</v>
          </cell>
          <cell r="AN105"/>
          <cell r="AO105">
            <v>45049</v>
          </cell>
          <cell r="AP105" t="str">
            <v>ON HOLD</v>
          </cell>
        </row>
        <row r="106">
          <cell r="A106">
            <v>96230880216</v>
          </cell>
          <cell r="B106" t="str">
            <v>CD</v>
          </cell>
          <cell r="C106">
            <v>0</v>
          </cell>
          <cell r="D106">
            <v>0</v>
          </cell>
          <cell r="E106" t="str">
            <v>FLO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 t="str">
            <v>H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 t="str">
            <v>F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 t="str">
            <v>Q</v>
          </cell>
          <cell r="W106" t="str">
            <v>V</v>
          </cell>
          <cell r="X106" t="str">
            <v>X</v>
          </cell>
          <cell r="Y106" t="str">
            <v>B</v>
          </cell>
          <cell r="Z106">
            <v>0</v>
          </cell>
          <cell r="AA106">
            <v>6</v>
          </cell>
          <cell r="AB106" t="str">
            <v>H, F, Q, V, X, B</v>
          </cell>
          <cell r="AC106">
            <v>0</v>
          </cell>
          <cell r="AD106">
            <v>0</v>
          </cell>
          <cell r="AE106" t="str">
            <v>05/04: pend doc
04/28; 04/22: no CS pending
04/04: recheck SKU</v>
          </cell>
          <cell r="AF106" t="str">
            <v>CRA-Z-ART CORPORATION</v>
          </cell>
          <cell r="AG106" t="str">
            <v>CRA-Z-ART CORPORATION</v>
          </cell>
          <cell r="AH106" t="str">
            <v>REGULAR</v>
          </cell>
          <cell r="AI106">
            <v>45014</v>
          </cell>
          <cell r="AJ106">
            <v>45050</v>
          </cell>
          <cell r="AK106">
            <v>45038</v>
          </cell>
          <cell r="AL106">
            <v>45043</v>
          </cell>
          <cell r="AM106">
            <v>45049</v>
          </cell>
          <cell r="AN106"/>
          <cell r="AO106">
            <v>45049</v>
          </cell>
          <cell r="AP106" t="str">
            <v>ON HOLD</v>
          </cell>
        </row>
        <row r="107">
          <cell r="A107">
            <v>96230880223</v>
          </cell>
          <cell r="B107" t="str">
            <v>CD</v>
          </cell>
          <cell r="C107">
            <v>0</v>
          </cell>
          <cell r="D107">
            <v>0</v>
          </cell>
          <cell r="E107" t="str">
            <v>FLO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 t="str">
            <v>H</v>
          </cell>
          <cell r="K107">
            <v>0</v>
          </cell>
          <cell r="L107" t="str">
            <v>J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 t="str">
            <v>Q</v>
          </cell>
          <cell r="W107" t="str">
            <v>V</v>
          </cell>
          <cell r="X107">
            <v>0</v>
          </cell>
          <cell r="Y107">
            <v>0</v>
          </cell>
          <cell r="Z107">
            <v>0</v>
          </cell>
          <cell r="AA107">
            <v>4</v>
          </cell>
          <cell r="AB107" t="str">
            <v>H, J, Q, V</v>
          </cell>
          <cell r="AC107">
            <v>0</v>
          </cell>
          <cell r="AD107">
            <v>0</v>
          </cell>
          <cell r="AE107" t="str">
            <v>05/04: pend doc
04/28; 04/22: no CS pending
04/04: recheck SKU</v>
          </cell>
          <cell r="AF107" t="str">
            <v>CRA-Z-ART CORPORATION</v>
          </cell>
          <cell r="AG107" t="str">
            <v>CRA-Z-ART CORPORATION</v>
          </cell>
          <cell r="AH107" t="str">
            <v>REGULAR</v>
          </cell>
          <cell r="AI107">
            <v>45014</v>
          </cell>
          <cell r="AJ107">
            <v>45050</v>
          </cell>
          <cell r="AK107">
            <v>45038</v>
          </cell>
          <cell r="AL107">
            <v>45043</v>
          </cell>
          <cell r="AM107">
            <v>45049</v>
          </cell>
          <cell r="AN107"/>
          <cell r="AO107">
            <v>45049</v>
          </cell>
          <cell r="AP107" t="str">
            <v>ON HOLD</v>
          </cell>
        </row>
        <row r="108">
          <cell r="A108">
            <v>96230890354</v>
          </cell>
          <cell r="B108" t="str">
            <v>JP</v>
          </cell>
          <cell r="C108" t="str">
            <v>WAIT AN</v>
          </cell>
          <cell r="D108" t="str">
            <v>van</v>
          </cell>
          <cell r="E108" t="str">
            <v>VAN</v>
          </cell>
          <cell r="F108" t="str">
            <v>DONE 0509
IRST MAKING 0508-AN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 t="str">
            <v>Q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1</v>
          </cell>
          <cell r="AB108" t="str">
            <v>J, Q, V</v>
          </cell>
          <cell r="AC108">
            <v>0</v>
          </cell>
          <cell r="AD108" t="str">
            <v>YES</v>
          </cell>
          <cell r="AE108" t="str">
            <v xml:space="preserve">5/8: no CS pend; 4/27: waiting Reg. card layout for GR; 4/22: waiting for hardware, label; 4/3: NO CS PEND </v>
          </cell>
          <cell r="AF108" t="str">
            <v>M DESIGN VILLAGE LLC</v>
          </cell>
          <cell r="AG108" t="str">
            <v>M DESIGN VILLAGE LLC</v>
          </cell>
          <cell r="AH108" t="str">
            <v>REGULAR</v>
          </cell>
          <cell r="AI108">
            <v>45015</v>
          </cell>
          <cell r="AJ108">
            <v>45054</v>
          </cell>
          <cell r="AK108">
            <v>45054</v>
          </cell>
          <cell r="AL108">
            <v>45058</v>
          </cell>
          <cell r="AM108">
            <v>45058</v>
          </cell>
          <cell r="AN108"/>
          <cell r="AO108">
            <v>45059</v>
          </cell>
          <cell r="AP108" t="str">
            <v>OFF HOLD</v>
          </cell>
        </row>
        <row r="109">
          <cell r="A109">
            <v>96230890569</v>
          </cell>
          <cell r="B109" t="str">
            <v>JP</v>
          </cell>
          <cell r="C109" t="str">
            <v>WAIT RESULT OVERSEA</v>
          </cell>
          <cell r="D109">
            <v>0</v>
          </cell>
          <cell r="E109" t="str">
            <v>TAN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 t="str">
            <v>J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 t="str">
            <v>V</v>
          </cell>
          <cell r="X109">
            <v>0</v>
          </cell>
          <cell r="Y109" t="str">
            <v>B</v>
          </cell>
          <cell r="Z109">
            <v>0</v>
          </cell>
          <cell r="AA109">
            <v>3</v>
          </cell>
          <cell r="AB109" t="str">
            <v>J, Q, V, B</v>
          </cell>
          <cell r="AC109">
            <v>0</v>
          </cell>
          <cell r="AD109" t="str">
            <v>YES</v>
          </cell>
          <cell r="AE109" t="str">
            <v xml:space="preserve">5/3: got extra, no cs pend </v>
          </cell>
          <cell r="AF109" t="str">
            <v>MILLION DOLLAR BABY</v>
          </cell>
          <cell r="AG109" t="str">
            <v>MILLION DOLLAR BABY</v>
          </cell>
          <cell r="AH109" t="str">
            <v>REGULAR</v>
          </cell>
          <cell r="AI109">
            <v>45015</v>
          </cell>
          <cell r="AJ109">
            <v>45049</v>
          </cell>
          <cell r="AK109">
            <v>45049</v>
          </cell>
          <cell r="AL109">
            <v>45055</v>
          </cell>
          <cell r="AM109">
            <v>45055</v>
          </cell>
          <cell r="AN109"/>
          <cell r="AO109">
            <v>45056</v>
          </cell>
          <cell r="AP109" t="str">
            <v>MUST</v>
          </cell>
        </row>
        <row r="110">
          <cell r="A110">
            <v>96230890598</v>
          </cell>
          <cell r="B110" t="str">
            <v>EU</v>
          </cell>
          <cell r="C110">
            <v>0</v>
          </cell>
          <cell r="D110">
            <v>0</v>
          </cell>
          <cell r="E110" t="str">
            <v>FLO</v>
          </cell>
          <cell r="F110">
            <v>0</v>
          </cell>
          <cell r="G110" t="str">
            <v>R</v>
          </cell>
          <cell r="H110" t="str">
            <v>E</v>
          </cell>
          <cell r="I110">
            <v>0</v>
          </cell>
          <cell r="J110" t="str">
            <v>H</v>
          </cell>
          <cell r="K110">
            <v>0</v>
          </cell>
          <cell r="L110" t="str">
            <v>J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4</v>
          </cell>
          <cell r="AB110" t="str">
            <v>H, J, R, E</v>
          </cell>
          <cell r="AC110" t="str">
            <v>x</v>
          </cell>
          <cell r="AD110" t="str">
            <v>YES</v>
          </cell>
          <cell r="AE110" t="str">
            <v>05/04: PI confirmed
 04/28: wait confirm PI
04/10: PI confirmed</v>
          </cell>
          <cell r="AF110" t="str">
            <v>VIETNAM HOUSEWARES CORPORATION</v>
          </cell>
          <cell r="AG110" t="str">
            <v>VIETNAM HOUSEWARES CORPORATION</v>
          </cell>
          <cell r="AH110" t="str">
            <v>REGULAR</v>
          </cell>
          <cell r="AI110">
            <v>45015</v>
          </cell>
          <cell r="AJ110">
            <v>45049</v>
          </cell>
          <cell r="AK110">
            <v>45050</v>
          </cell>
          <cell r="AL110">
            <v>45055</v>
          </cell>
          <cell r="AM110">
            <v>45055</v>
          </cell>
          <cell r="AN110"/>
          <cell r="AO110">
            <v>45056</v>
          </cell>
          <cell r="AP110" t="str">
            <v>MUST</v>
          </cell>
        </row>
        <row r="111">
          <cell r="A111">
            <v>96230890599</v>
          </cell>
          <cell r="B111" t="str">
            <v>EU</v>
          </cell>
          <cell r="C111">
            <v>0</v>
          </cell>
          <cell r="D111">
            <v>0</v>
          </cell>
          <cell r="E111" t="str">
            <v>FLO</v>
          </cell>
          <cell r="F111">
            <v>0</v>
          </cell>
          <cell r="G111" t="str">
            <v>R</v>
          </cell>
          <cell r="H111" t="str">
            <v>E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 t="str">
            <v>Q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3</v>
          </cell>
          <cell r="AB111" t="str">
            <v>R, E, Q</v>
          </cell>
          <cell r="AC111" t="str">
            <v>x</v>
          </cell>
          <cell r="AD111" t="str">
            <v>YES</v>
          </cell>
          <cell r="AE111" t="str">
            <v>05/04: PI confirmed
 04/28: wait confirm PI
04/10: PI confirmed</v>
          </cell>
          <cell r="AF111" t="str">
            <v>VIETNAM HOUSEWARES CORPORATION</v>
          </cell>
          <cell r="AG111" t="str">
            <v>VIETNAM HOUSEWARES CORPORATION</v>
          </cell>
          <cell r="AH111" t="str">
            <v>REGULAR</v>
          </cell>
          <cell r="AI111">
            <v>45015</v>
          </cell>
          <cell r="AJ111">
            <v>45049</v>
          </cell>
          <cell r="AK111">
            <v>45050</v>
          </cell>
          <cell r="AL111">
            <v>45055</v>
          </cell>
          <cell r="AM111">
            <v>45055</v>
          </cell>
          <cell r="AN111"/>
          <cell r="AO111">
            <v>45056</v>
          </cell>
          <cell r="AP111" t="str">
            <v>MUST</v>
          </cell>
        </row>
        <row r="112">
          <cell r="A112">
            <v>96230890642</v>
          </cell>
          <cell r="B112" t="str">
            <v>EU</v>
          </cell>
          <cell r="C112">
            <v>0</v>
          </cell>
          <cell r="D112">
            <v>0</v>
          </cell>
          <cell r="E112" t="str">
            <v>FLO</v>
          </cell>
          <cell r="F112">
            <v>0</v>
          </cell>
          <cell r="G112" t="str">
            <v>R</v>
          </cell>
          <cell r="H112" t="str">
            <v>E</v>
          </cell>
          <cell r="I112">
            <v>0</v>
          </cell>
          <cell r="J112" t="str">
            <v>H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 t="str">
            <v>Q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4</v>
          </cell>
          <cell r="AB112" t="str">
            <v>H, R, E, Q</v>
          </cell>
          <cell r="AC112" t="str">
            <v>x</v>
          </cell>
          <cell r="AD112" t="str">
            <v>YES</v>
          </cell>
          <cell r="AE112" t="str">
            <v>05/04: PI confirmed
 04/28: wait confirm PI
04/10: PI confirmed</v>
          </cell>
          <cell r="AF112" t="str">
            <v>VIETNAM HOUSEWARES CORPORATION</v>
          </cell>
          <cell r="AG112" t="str">
            <v>VIETNAM HOUSEWARES CORPORATION</v>
          </cell>
          <cell r="AH112" t="str">
            <v>REGULAR</v>
          </cell>
          <cell r="AI112">
            <v>45015</v>
          </cell>
          <cell r="AJ112">
            <v>45049</v>
          </cell>
          <cell r="AK112">
            <v>45050</v>
          </cell>
          <cell r="AL112">
            <v>45055</v>
          </cell>
          <cell r="AM112">
            <v>45055</v>
          </cell>
          <cell r="AN112"/>
          <cell r="AO112">
            <v>45056</v>
          </cell>
          <cell r="AP112" t="str">
            <v>MUST</v>
          </cell>
        </row>
        <row r="113">
          <cell r="A113">
            <v>96230890643</v>
          </cell>
          <cell r="B113" t="str">
            <v>EU</v>
          </cell>
          <cell r="C113">
            <v>0</v>
          </cell>
          <cell r="D113">
            <v>0</v>
          </cell>
          <cell r="E113" t="str">
            <v>FLO</v>
          </cell>
          <cell r="F113">
            <v>0</v>
          </cell>
          <cell r="G113" t="str">
            <v>R</v>
          </cell>
          <cell r="H113" t="str">
            <v>E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 t="str">
            <v>Q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3</v>
          </cell>
          <cell r="AB113" t="str">
            <v>R, E, Q</v>
          </cell>
          <cell r="AC113" t="str">
            <v>x</v>
          </cell>
          <cell r="AD113" t="str">
            <v>YES</v>
          </cell>
          <cell r="AE113" t="str">
            <v>05/04: PI confirmed
 04/28: wait confirm PI
04/10: PI confirmed</v>
          </cell>
          <cell r="AF113" t="str">
            <v>VIETNAM HOUSEWARES CORPORATION</v>
          </cell>
          <cell r="AG113" t="str">
            <v>VIETNAM HOUSEWARES CORPORATION</v>
          </cell>
          <cell r="AH113" t="str">
            <v>REGULAR</v>
          </cell>
          <cell r="AI113">
            <v>45015</v>
          </cell>
          <cell r="AJ113">
            <v>45049</v>
          </cell>
          <cell r="AK113">
            <v>45050</v>
          </cell>
          <cell r="AL113">
            <v>45055</v>
          </cell>
          <cell r="AM113">
            <v>45055</v>
          </cell>
          <cell r="AN113"/>
          <cell r="AO113">
            <v>45056</v>
          </cell>
          <cell r="AP113" t="str">
            <v>MUST</v>
          </cell>
        </row>
        <row r="114">
          <cell r="A114">
            <v>96230890654</v>
          </cell>
          <cell r="B114" t="str">
            <v>US1</v>
          </cell>
          <cell r="C114">
            <v>0</v>
          </cell>
          <cell r="D114">
            <v>0</v>
          </cell>
          <cell r="E114" t="str">
            <v>MIN</v>
          </cell>
          <cell r="F114">
            <v>0</v>
          </cell>
          <cell r="G114" t="str">
            <v>R</v>
          </cell>
          <cell r="H114">
            <v>0</v>
          </cell>
          <cell r="I114">
            <v>0</v>
          </cell>
          <cell r="J114" t="str">
            <v>H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 t="str">
            <v>Q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3</v>
          </cell>
          <cell r="AB114" t="str">
            <v>H, R, P, F, Q</v>
          </cell>
          <cell r="AC114">
            <v>0</v>
          </cell>
          <cell r="AD114">
            <v>0</v>
          </cell>
          <cell r="AE114" t="str">
            <v>0509-0429-0422-0410: pend docs,wait  PI confirm</v>
          </cell>
          <cell r="AF114" t="str">
            <v>SEDO VINA CO LTD</v>
          </cell>
          <cell r="AG114" t="str">
            <v>SEDO VINA CO LTD</v>
          </cell>
          <cell r="AH114" t="str">
            <v>REGULAR</v>
          </cell>
          <cell r="AI114">
            <v>45016</v>
          </cell>
          <cell r="AJ114">
            <v>45049</v>
          </cell>
          <cell r="AK114">
            <v>45044</v>
          </cell>
          <cell r="AL114">
            <v>45054</v>
          </cell>
          <cell r="AM114">
            <v>45054</v>
          </cell>
          <cell r="AN114"/>
          <cell r="AO114">
            <v>45055</v>
          </cell>
          <cell r="AP114" t="str">
            <v>ON HOLD</v>
          </cell>
        </row>
        <row r="115">
          <cell r="A115">
            <v>96230900208</v>
          </cell>
          <cell r="B115" t="str">
            <v>TY</v>
          </cell>
          <cell r="C115">
            <v>0</v>
          </cell>
          <cell r="D115">
            <v>0</v>
          </cell>
          <cell r="E115" t="str">
            <v>SHE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 t="str">
            <v>H</v>
          </cell>
          <cell r="K115" t="str">
            <v>T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 t="str">
            <v>V</v>
          </cell>
          <cell r="X115" t="str">
            <v>X</v>
          </cell>
          <cell r="Y115">
            <v>0</v>
          </cell>
          <cell r="Z115">
            <v>0</v>
          </cell>
          <cell r="AA115">
            <v>4</v>
          </cell>
          <cell r="AB115" t="str">
            <v>H, T, Q, V, X, B</v>
          </cell>
          <cell r="AC115" t="str">
            <v>x</v>
          </cell>
          <cell r="AD115">
            <v>0</v>
          </cell>
          <cell r="AE115" t="str">
            <v>4/4: Wait extra, on hold from US</v>
          </cell>
          <cell r="AF115" t="str">
            <v>IFG CORP</v>
          </cell>
          <cell r="AG115" t="str">
            <v>IFG CORP</v>
          </cell>
          <cell r="AH115" t="str">
            <v>REGULAR</v>
          </cell>
          <cell r="AI115">
            <v>45016</v>
          </cell>
          <cell r="AJ115">
            <v>45049</v>
          </cell>
          <cell r="AK115">
            <v>45044</v>
          </cell>
          <cell r="AL115">
            <v>45085</v>
          </cell>
          <cell r="AM115">
            <v>45087</v>
          </cell>
          <cell r="AN115"/>
          <cell r="AO115">
            <v>45087</v>
          </cell>
          <cell r="AP115" t="str">
            <v>ON HOLD</v>
          </cell>
        </row>
        <row r="116">
          <cell r="A116">
            <v>96230900500</v>
          </cell>
          <cell r="B116" t="str">
            <v>JP</v>
          </cell>
          <cell r="C116" t="str">
            <v>PEND-SAMPLE</v>
          </cell>
          <cell r="D116">
            <v>0</v>
          </cell>
          <cell r="E116" t="str">
            <v>MIN</v>
          </cell>
          <cell r="F116">
            <v>0</v>
          </cell>
          <cell r="G116" t="str">
            <v>R</v>
          </cell>
          <cell r="H116">
            <v>0</v>
          </cell>
          <cell r="I116">
            <v>0</v>
          </cell>
          <cell r="J116" t="str">
            <v>H</v>
          </cell>
          <cell r="K116">
            <v>0</v>
          </cell>
          <cell r="L116" t="str">
            <v>J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 t="str">
            <v>Q</v>
          </cell>
          <cell r="W116" t="str">
            <v>V</v>
          </cell>
          <cell r="X116">
            <v>0</v>
          </cell>
          <cell r="Y116">
            <v>0</v>
          </cell>
          <cell r="Z116">
            <v>0</v>
          </cell>
          <cell r="AA116">
            <v>5</v>
          </cell>
          <cell r="AB116" t="str">
            <v>H, J, R, Q, V</v>
          </cell>
          <cell r="AC116">
            <v>0</v>
          </cell>
          <cell r="AD116">
            <v>0</v>
          </cell>
          <cell r="AE116" t="str">
            <v>0505: Wait sample to have full report; 0429: pend extra color panel</v>
          </cell>
          <cell r="AF116" t="str">
            <v>JIN YI FONG ENTERPRISE CO LTD</v>
          </cell>
          <cell r="AG116" t="str">
            <v>JIN YI FONG ENTERPRISE CO LTD</v>
          </cell>
          <cell r="AH116" t="str">
            <v>REGULAR</v>
          </cell>
          <cell r="AI116">
            <v>45016</v>
          </cell>
          <cell r="AJ116">
            <v>45049</v>
          </cell>
          <cell r="AK116">
            <v>45044</v>
          </cell>
          <cell r="AL116">
            <v>45054</v>
          </cell>
          <cell r="AM116">
            <v>45056</v>
          </cell>
          <cell r="AN116"/>
          <cell r="AO116">
            <v>45056</v>
          </cell>
          <cell r="AP116" t="str">
            <v>ON HOLD</v>
          </cell>
        </row>
        <row r="117">
          <cell r="A117">
            <v>96230900501</v>
          </cell>
          <cell r="B117" t="str">
            <v>JP</v>
          </cell>
          <cell r="C117" t="str">
            <v>PEND-SAMPLE</v>
          </cell>
          <cell r="D117">
            <v>0</v>
          </cell>
          <cell r="E117" t="str">
            <v>MIN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 t="str">
            <v>H</v>
          </cell>
          <cell r="K117">
            <v>0</v>
          </cell>
          <cell r="L117" t="str">
            <v>J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2</v>
          </cell>
          <cell r="AB117" t="str">
            <v>H, J, Q, V</v>
          </cell>
          <cell r="AC117">
            <v>0</v>
          </cell>
          <cell r="AD117" t="str">
            <v>YES</v>
          </cell>
          <cell r="AE117" t="str">
            <v>0429: pend extra color panel, hardware check</v>
          </cell>
          <cell r="AF117" t="str">
            <v>DOREL HOME PRODUCTS (CANADA)</v>
          </cell>
          <cell r="AG117" t="str">
            <v>DOREL HOME PRODUCTS (CANADA)</v>
          </cell>
          <cell r="AH117" t="str">
            <v>REGULAR</v>
          </cell>
          <cell r="AI117">
            <v>45016</v>
          </cell>
          <cell r="AJ117">
            <v>45049</v>
          </cell>
          <cell r="AK117">
            <v>45044</v>
          </cell>
          <cell r="AL117">
            <v>45054</v>
          </cell>
          <cell r="AM117">
            <v>45054</v>
          </cell>
          <cell r="AN117"/>
          <cell r="AO117">
            <v>45055</v>
          </cell>
          <cell r="AP117" t="str">
            <v>ON HOLD</v>
          </cell>
        </row>
        <row r="118">
          <cell r="A118">
            <v>96230910429</v>
          </cell>
          <cell r="B118" t="str">
            <v>US2</v>
          </cell>
          <cell r="C118">
            <v>0</v>
          </cell>
          <cell r="D118">
            <v>0</v>
          </cell>
          <cell r="E118" t="str">
            <v>MIN</v>
          </cell>
          <cell r="F118">
            <v>0</v>
          </cell>
          <cell r="G118" t="str">
            <v>R</v>
          </cell>
          <cell r="H118">
            <v>0</v>
          </cell>
          <cell r="I118">
            <v>0</v>
          </cell>
          <cell r="J118" t="str">
            <v>H</v>
          </cell>
          <cell r="K118">
            <v>0</v>
          </cell>
          <cell r="L118">
            <v>0</v>
          </cell>
          <cell r="M118">
            <v>0</v>
          </cell>
          <cell r="N118">
            <v>4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3</v>
          </cell>
          <cell r="AB118" t="str">
            <v>H, R, 4., Q</v>
          </cell>
          <cell r="AC118">
            <v>0</v>
          </cell>
          <cell r="AD118">
            <v>0</v>
          </cell>
          <cell r="AE118" t="str">
            <v>0504-0429-0422: pend vendor confirm PI, docs</v>
          </cell>
          <cell r="AF118" t="str">
            <v>SAMSON INTERNATIONAL ENTERPRISES LTD</v>
          </cell>
          <cell r="AG118" t="str">
            <v>RAYMOUR &amp; FLANIGAN</v>
          </cell>
          <cell r="AH118" t="str">
            <v>REGULAR</v>
          </cell>
          <cell r="AI118">
            <v>45019</v>
          </cell>
          <cell r="AJ118">
            <v>45038</v>
          </cell>
          <cell r="AK118">
            <v>45038</v>
          </cell>
          <cell r="AL118">
            <v>45043</v>
          </cell>
          <cell r="AM118">
            <v>45043</v>
          </cell>
          <cell r="AN118"/>
          <cell r="AO118">
            <v>45044</v>
          </cell>
          <cell r="AP118" t="str">
            <v>ON HOLD</v>
          </cell>
        </row>
        <row r="119">
          <cell r="A119">
            <v>96230910432</v>
          </cell>
          <cell r="B119" t="str">
            <v>JP-RF SP 96230870107</v>
          </cell>
          <cell r="C119" t="str">
            <v>pend-pi</v>
          </cell>
          <cell r="D119">
            <v>0</v>
          </cell>
          <cell r="E119" t="str">
            <v>ELV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 t="str">
            <v>H</v>
          </cell>
          <cell r="K119" t="str">
            <v>T</v>
          </cell>
          <cell r="L119" t="str">
            <v>J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3</v>
          </cell>
          <cell r="AB119" t="str">
            <v>H, T, J</v>
          </cell>
          <cell r="AC119" t="str">
            <v>x</v>
          </cell>
          <cell r="AD119" t="str">
            <v>YES</v>
          </cell>
          <cell r="AE119">
            <v>0</v>
          </cell>
          <cell r="AF119" t="str">
            <v>CHIEN (VIETNAM) FURNITURE MFG. CO LTD</v>
          </cell>
          <cell r="AG119" t="str">
            <v>WILLIAMS-SONOMA INC</v>
          </cell>
          <cell r="AH119" t="str">
            <v>REGULAR</v>
          </cell>
          <cell r="AI119">
            <v>45019</v>
          </cell>
          <cell r="AJ119">
            <v>45049</v>
          </cell>
          <cell r="AK119">
            <v>45044</v>
          </cell>
          <cell r="AL119">
            <v>45054</v>
          </cell>
          <cell r="AM119">
            <v>45054</v>
          </cell>
          <cell r="AN119"/>
          <cell r="AO119">
            <v>45055</v>
          </cell>
          <cell r="AP119" t="str">
            <v>ON HOLD</v>
          </cell>
        </row>
        <row r="120">
          <cell r="A120">
            <v>96230930245</v>
          </cell>
          <cell r="B120" t="str">
            <v>US2</v>
          </cell>
          <cell r="C120">
            <v>0</v>
          </cell>
          <cell r="D120">
            <v>0</v>
          </cell>
          <cell r="E120" t="str">
            <v>SHE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 t="str">
            <v>H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1</v>
          </cell>
          <cell r="AB120" t="str">
            <v>H</v>
          </cell>
          <cell r="AC120">
            <v>0</v>
          </cell>
          <cell r="AD120">
            <v>0</v>
          </cell>
          <cell r="AE120" t="str">
            <v>4/20: OFF PI, WAIT SEND DISPOTE 50%, 4/1: wait confirm PI</v>
          </cell>
          <cell r="AF120" t="str">
            <v>JANUS ET CIE</v>
          </cell>
          <cell r="AG120" t="str">
            <v>JANUS ET CIE</v>
          </cell>
          <cell r="AH120" t="str">
            <v>REGULAR</v>
          </cell>
          <cell r="AI120">
            <v>45019</v>
          </cell>
          <cell r="AJ120">
            <v>45020</v>
          </cell>
          <cell r="AK120">
            <v>45036</v>
          </cell>
          <cell r="AL120">
            <v>45139</v>
          </cell>
          <cell r="AM120">
            <v>45139</v>
          </cell>
          <cell r="AN120"/>
          <cell r="AO120">
            <v>45140</v>
          </cell>
          <cell r="AP120" t="str">
            <v>OFF HOLD</v>
          </cell>
        </row>
        <row r="121">
          <cell r="A121">
            <v>96230930250</v>
          </cell>
          <cell r="B121" t="str">
            <v>US2</v>
          </cell>
          <cell r="C121">
            <v>0</v>
          </cell>
          <cell r="D121">
            <v>0</v>
          </cell>
          <cell r="E121" t="str">
            <v>SHE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 t="str">
            <v>H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1</v>
          </cell>
          <cell r="AB121" t="str">
            <v>H</v>
          </cell>
          <cell r="AC121">
            <v>0</v>
          </cell>
          <cell r="AD121">
            <v>0</v>
          </cell>
          <cell r="AE121" t="str">
            <v>4/20: OFF PI, WAIT SEND DISPOTE 50%, 4/1: wait confirm PI</v>
          </cell>
          <cell r="AF121" t="str">
            <v>JANUS ET CIE</v>
          </cell>
          <cell r="AG121" t="str">
            <v>JANUS ET CIE</v>
          </cell>
          <cell r="AH121" t="str">
            <v>REGULAR</v>
          </cell>
          <cell r="AI121">
            <v>45019</v>
          </cell>
          <cell r="AJ121">
            <v>45020</v>
          </cell>
          <cell r="AK121">
            <v>45036</v>
          </cell>
          <cell r="AL121">
            <v>45188</v>
          </cell>
          <cell r="AM121">
            <v>45188</v>
          </cell>
          <cell r="AN121"/>
          <cell r="AO121">
            <v>45189</v>
          </cell>
          <cell r="AP121" t="str">
            <v>OFF HOLD</v>
          </cell>
        </row>
        <row r="122">
          <cell r="A122">
            <v>96230930256</v>
          </cell>
          <cell r="B122" t="str">
            <v>US2</v>
          </cell>
          <cell r="C122">
            <v>0</v>
          </cell>
          <cell r="D122">
            <v>0</v>
          </cell>
          <cell r="E122" t="str">
            <v>SHE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 t="str">
            <v>H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1</v>
          </cell>
          <cell r="AB122" t="str">
            <v>H</v>
          </cell>
          <cell r="AC122">
            <v>0</v>
          </cell>
          <cell r="AD122">
            <v>0</v>
          </cell>
          <cell r="AE122" t="str">
            <v>4/20: OFF PI, WAIT SEND DISPOTE 50%, 4/1: wait confirm PI</v>
          </cell>
          <cell r="AF122" t="str">
            <v>JANUS ET CIE</v>
          </cell>
          <cell r="AG122" t="str">
            <v>JANUS ET CIE</v>
          </cell>
          <cell r="AH122" t="str">
            <v>REGULAR</v>
          </cell>
          <cell r="AI122">
            <v>45019</v>
          </cell>
          <cell r="AJ122">
            <v>45020</v>
          </cell>
          <cell r="AK122">
            <v>45036</v>
          </cell>
          <cell r="AL122">
            <v>45188</v>
          </cell>
          <cell r="AM122">
            <v>45188</v>
          </cell>
          <cell r="AN122"/>
          <cell r="AO122">
            <v>45189</v>
          </cell>
          <cell r="AP122" t="str">
            <v>OFF HOLD</v>
          </cell>
        </row>
        <row r="123">
          <cell r="A123">
            <v>96230930264</v>
          </cell>
          <cell r="B123" t="str">
            <v>US2</v>
          </cell>
          <cell r="C123">
            <v>0</v>
          </cell>
          <cell r="D123">
            <v>0</v>
          </cell>
          <cell r="E123" t="str">
            <v>SHE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 t="str">
            <v>H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1</v>
          </cell>
          <cell r="AB123" t="str">
            <v>H</v>
          </cell>
          <cell r="AC123">
            <v>0</v>
          </cell>
          <cell r="AD123">
            <v>0</v>
          </cell>
          <cell r="AE123" t="str">
            <v>4/20: OFF PI, WAIT SEND DISPOTE 50%, 4/1: wait confirm PI</v>
          </cell>
          <cell r="AF123" t="str">
            <v>JANUS ET CIE</v>
          </cell>
          <cell r="AG123" t="str">
            <v>JANUS ET CIE</v>
          </cell>
          <cell r="AH123" t="str">
            <v>REGULAR</v>
          </cell>
          <cell r="AI123">
            <v>45019</v>
          </cell>
          <cell r="AJ123">
            <v>45020</v>
          </cell>
          <cell r="AK123">
            <v>45036</v>
          </cell>
          <cell r="AL123">
            <v>45139</v>
          </cell>
          <cell r="AM123">
            <v>45139</v>
          </cell>
          <cell r="AN123"/>
          <cell r="AO123">
            <v>45140</v>
          </cell>
          <cell r="AP123" t="str">
            <v>OFF HOLD</v>
          </cell>
        </row>
        <row r="124">
          <cell r="A124">
            <v>96230930321</v>
          </cell>
          <cell r="B124" t="str">
            <v>TY</v>
          </cell>
          <cell r="C124">
            <v>0</v>
          </cell>
          <cell r="D124">
            <v>0</v>
          </cell>
          <cell r="E124" t="str">
            <v>SHE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 t="str">
            <v>H</v>
          </cell>
          <cell r="K124" t="str">
            <v>T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 t="str">
            <v>X</v>
          </cell>
          <cell r="Y124">
            <v>0</v>
          </cell>
          <cell r="Z124">
            <v>0</v>
          </cell>
          <cell r="AA124">
            <v>3</v>
          </cell>
          <cell r="AB124" t="str">
            <v>H, T, Q, V, X, B</v>
          </cell>
          <cell r="AC124" t="str">
            <v>x</v>
          </cell>
          <cell r="AD124">
            <v>0</v>
          </cell>
          <cell r="AE124" t="str">
            <v>5/5: send docs to US and add us in loop with vendor, 4/20: Wait on hold from US</v>
          </cell>
          <cell r="AF124" t="str">
            <v>IFG CORP</v>
          </cell>
          <cell r="AG124" t="str">
            <v>IFG CORP</v>
          </cell>
          <cell r="AH124" t="str">
            <v>REGULAR</v>
          </cell>
          <cell r="AI124">
            <v>45019</v>
          </cell>
          <cell r="AJ124">
            <v>45020</v>
          </cell>
          <cell r="AK124">
            <v>45020</v>
          </cell>
          <cell r="AL124">
            <v>45059</v>
          </cell>
          <cell r="AM124">
            <v>45062</v>
          </cell>
          <cell r="AN124"/>
          <cell r="AO124">
            <v>45062</v>
          </cell>
          <cell r="AP124" t="str">
            <v>OFF HOLD</v>
          </cell>
        </row>
        <row r="125">
          <cell r="A125">
            <v>96230930323</v>
          </cell>
          <cell r="B125" t="str">
            <v>TY</v>
          </cell>
          <cell r="C125">
            <v>0</v>
          </cell>
          <cell r="D125">
            <v>0</v>
          </cell>
          <cell r="E125" t="str">
            <v>SHE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 t="str">
            <v>H</v>
          </cell>
          <cell r="K125" t="str">
            <v>T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 t="str">
            <v>X</v>
          </cell>
          <cell r="Y125">
            <v>0</v>
          </cell>
          <cell r="Z125">
            <v>0</v>
          </cell>
          <cell r="AA125">
            <v>3</v>
          </cell>
          <cell r="AB125" t="str">
            <v>H, T, Q, V, X, B</v>
          </cell>
          <cell r="AC125">
            <v>0</v>
          </cell>
          <cell r="AD125">
            <v>0</v>
          </cell>
          <cell r="AE125">
            <v>0</v>
          </cell>
          <cell r="AF125" t="str">
            <v>IFG CORP</v>
          </cell>
          <cell r="AG125" t="str">
            <v>IFG CORP</v>
          </cell>
          <cell r="AH125" t="str">
            <v>REGULAR</v>
          </cell>
          <cell r="AI125">
            <v>45019</v>
          </cell>
          <cell r="AJ125">
            <v>45020</v>
          </cell>
          <cell r="AK125">
            <v>45020</v>
          </cell>
          <cell r="AL125">
            <v>45059</v>
          </cell>
          <cell r="AM125">
            <v>45062</v>
          </cell>
          <cell r="AN125"/>
          <cell r="AO125">
            <v>45062</v>
          </cell>
          <cell r="AP125" t="str">
            <v>OFF HOLD</v>
          </cell>
        </row>
        <row r="126">
          <cell r="A126">
            <v>96230930325</v>
          </cell>
          <cell r="B126" t="str">
            <v>TY</v>
          </cell>
          <cell r="C126">
            <v>0</v>
          </cell>
          <cell r="D126">
            <v>0</v>
          </cell>
          <cell r="E126" t="str">
            <v>SHE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 t="str">
            <v>H</v>
          </cell>
          <cell r="K126" t="str">
            <v>T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 t="str">
            <v>X</v>
          </cell>
          <cell r="Y126">
            <v>0</v>
          </cell>
          <cell r="Z126">
            <v>0</v>
          </cell>
          <cell r="AA126">
            <v>3</v>
          </cell>
          <cell r="AB126" t="str">
            <v>H, T, Q, V, X, B</v>
          </cell>
          <cell r="AC126" t="str">
            <v>x</v>
          </cell>
          <cell r="AD126">
            <v>0</v>
          </cell>
          <cell r="AE126" t="str">
            <v>5/5: send docs to US and add us in loop with vendor, 4/20: Wait on hold from US</v>
          </cell>
          <cell r="AF126" t="str">
            <v>IFG CORP</v>
          </cell>
          <cell r="AG126" t="str">
            <v>IFG CORP</v>
          </cell>
          <cell r="AH126" t="str">
            <v>REGULAR</v>
          </cell>
          <cell r="AI126">
            <v>45019</v>
          </cell>
          <cell r="AJ126">
            <v>45020</v>
          </cell>
          <cell r="AK126">
            <v>45020</v>
          </cell>
          <cell r="AL126">
            <v>45059</v>
          </cell>
          <cell r="AM126">
            <v>45062</v>
          </cell>
          <cell r="AN126"/>
          <cell r="AO126">
            <v>45062</v>
          </cell>
          <cell r="AP126" t="str">
            <v>OFF HOLD</v>
          </cell>
        </row>
        <row r="127">
          <cell r="A127">
            <v>96230930327</v>
          </cell>
          <cell r="B127" t="str">
            <v>TY</v>
          </cell>
          <cell r="C127">
            <v>0</v>
          </cell>
          <cell r="D127">
            <v>0</v>
          </cell>
          <cell r="E127" t="str">
            <v>SHE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 t="str">
            <v>H</v>
          </cell>
          <cell r="K127" t="str">
            <v>T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 t="str">
            <v>X</v>
          </cell>
          <cell r="Y127">
            <v>0</v>
          </cell>
          <cell r="Z127">
            <v>0</v>
          </cell>
          <cell r="AA127">
            <v>3</v>
          </cell>
          <cell r="AB127" t="str">
            <v>H, T, Q, V, X, B</v>
          </cell>
          <cell r="AC127" t="str">
            <v>x</v>
          </cell>
          <cell r="AD127">
            <v>0</v>
          </cell>
          <cell r="AE127" t="str">
            <v>5/4: off confirm same to US 4/28: wait confirm again for formulation</v>
          </cell>
          <cell r="AF127" t="str">
            <v>IFG CORP</v>
          </cell>
          <cell r="AG127" t="str">
            <v>IFG CORP</v>
          </cell>
          <cell r="AH127" t="str">
            <v>REGULAR</v>
          </cell>
          <cell r="AI127">
            <v>45019</v>
          </cell>
          <cell r="AJ127">
            <v>45044</v>
          </cell>
          <cell r="AK127">
            <v>45044</v>
          </cell>
          <cell r="AL127">
            <v>45085</v>
          </cell>
          <cell r="AM127">
            <v>45087</v>
          </cell>
          <cell r="AN127"/>
          <cell r="AO127">
            <v>45087</v>
          </cell>
          <cell r="AP127" t="str">
            <v>OFF HOLD</v>
          </cell>
        </row>
        <row r="128">
          <cell r="A128">
            <v>96230930350</v>
          </cell>
          <cell r="B128" t="str">
            <v>JP</v>
          </cell>
          <cell r="C128" t="str">
            <v>PEND-SAMPLE</v>
          </cell>
          <cell r="D128">
            <v>0</v>
          </cell>
          <cell r="E128" t="str">
            <v>ELV</v>
          </cell>
          <cell r="F128" t="str">
            <v>FIRST MAKING 0505-AN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 t="str">
            <v>Q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1</v>
          </cell>
          <cell r="AB128" t="str">
            <v>H, J, A, Q, V</v>
          </cell>
          <cell r="AC128">
            <v>0</v>
          </cell>
          <cell r="AD128" t="str">
            <v>YES</v>
          </cell>
          <cell r="AE128" t="str">
            <v xml:space="preserve">0425: Pick up extra sample; 0420: Push extra sample </v>
          </cell>
          <cell r="AF128" t="str">
            <v>GREATREE INDUSTRIAL CORPORATION</v>
          </cell>
          <cell r="AG128" t="str">
            <v>WILLIAMS-SONOMA INC</v>
          </cell>
          <cell r="AH128" t="str">
            <v>REGULAR</v>
          </cell>
          <cell r="AI128">
            <v>45019</v>
          </cell>
          <cell r="AJ128">
            <v>45049</v>
          </cell>
          <cell r="AK128">
            <v>45049</v>
          </cell>
          <cell r="AL128">
            <v>45055</v>
          </cell>
          <cell r="AM128">
            <v>45055</v>
          </cell>
          <cell r="AN128"/>
          <cell r="AO128">
            <v>45056</v>
          </cell>
          <cell r="AP128" t="str">
            <v>MUST</v>
          </cell>
        </row>
        <row r="129">
          <cell r="A129">
            <v>96230940169</v>
          </cell>
          <cell r="B129" t="str">
            <v>US2</v>
          </cell>
          <cell r="C129">
            <v>0</v>
          </cell>
          <cell r="D129">
            <v>0</v>
          </cell>
          <cell r="E129" t="str">
            <v>SHE</v>
          </cell>
          <cell r="F129">
            <v>0</v>
          </cell>
          <cell r="G129" t="str">
            <v>R</v>
          </cell>
          <cell r="H129">
            <v>0</v>
          </cell>
          <cell r="I129">
            <v>0</v>
          </cell>
          <cell r="J129" t="str">
            <v>H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2</v>
          </cell>
          <cell r="AB129" t="str">
            <v>H, R, Q</v>
          </cell>
          <cell r="AC129">
            <v>0</v>
          </cell>
          <cell r="AD129">
            <v>0</v>
          </cell>
          <cell r="AE129" t="str">
            <v>5/5: off trc, csfu, will void after issue local 96231180376, 4/27: OFF TO TEST FULL TOP, CHANGE TO LOCAL, 4/18: WAIT APPROVAL, TEST FULL FIRST, 4/17: wait approval from CRB for Full test only top, no base, 4/6: WAIT CHECKING TEST REQUEST, TEST CHEMICAL FIRST AS CONFIRM FROM VENDOR, 4/5; off GF, TEST REQUEST</v>
          </cell>
          <cell r="AF129" t="str">
            <v>NTN CO LTD</v>
          </cell>
          <cell r="AG129" t="str">
            <v xml:space="preserve">CRATE &amp; BARREL </v>
          </cell>
          <cell r="AH129" t="str">
            <v>REGULAR</v>
          </cell>
          <cell r="AI129">
            <v>45020</v>
          </cell>
          <cell r="AJ129">
            <v>45050</v>
          </cell>
          <cell r="AK129">
            <v>45051</v>
          </cell>
          <cell r="AL129">
            <v>45057</v>
          </cell>
          <cell r="AM129">
            <v>45057</v>
          </cell>
          <cell r="AN129"/>
          <cell r="AO129">
            <v>45058</v>
          </cell>
          <cell r="AP129" t="str">
            <v>OFF HOLD</v>
          </cell>
        </row>
        <row r="130">
          <cell r="A130">
            <v>96230940218</v>
          </cell>
          <cell r="B130" t="str">
            <v>US2</v>
          </cell>
          <cell r="C130">
            <v>0</v>
          </cell>
          <cell r="D130">
            <v>0</v>
          </cell>
          <cell r="E130" t="str">
            <v>FLO</v>
          </cell>
          <cell r="F130">
            <v>0</v>
          </cell>
          <cell r="G130" t="str">
            <v>R</v>
          </cell>
          <cell r="H130">
            <v>0</v>
          </cell>
          <cell r="I130">
            <v>0</v>
          </cell>
          <cell r="J130" t="str">
            <v>H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 t="str">
            <v>P</v>
          </cell>
          <cell r="P130">
            <v>0</v>
          </cell>
          <cell r="Q130" t="str">
            <v>F</v>
          </cell>
          <cell r="R130" t="str">
            <v>L</v>
          </cell>
          <cell r="S130" t="str">
            <v>M</v>
          </cell>
          <cell r="T130">
            <v>0</v>
          </cell>
          <cell r="U130" t="str">
            <v>A</v>
          </cell>
          <cell r="V130">
            <v>0</v>
          </cell>
          <cell r="W130" t="str">
            <v>V</v>
          </cell>
          <cell r="X130">
            <v>0</v>
          </cell>
          <cell r="Y130">
            <v>0</v>
          </cell>
          <cell r="Z130">
            <v>0</v>
          </cell>
          <cell r="AA130">
            <v>8</v>
          </cell>
          <cell r="AB130" t="str">
            <v>H, R, P, F, L, M, A, V</v>
          </cell>
          <cell r="AC130" t="str">
            <v>x</v>
          </cell>
          <cell r="AD130">
            <v>0</v>
          </cell>
          <cell r="AE130" t="str">
            <v>05/06; 04/28; 04/22: pend approval for partial test</v>
          </cell>
          <cell r="AF130" t="str">
            <v>CASARREDO MANUFACTURING CO LTD</v>
          </cell>
          <cell r="AG130" t="str">
            <v xml:space="preserve">CRATE &amp; BARREL </v>
          </cell>
          <cell r="AH130" t="str">
            <v>REGULAR</v>
          </cell>
          <cell r="AI130">
            <v>45020</v>
          </cell>
          <cell r="AJ130">
            <v>45049</v>
          </cell>
          <cell r="AK130">
            <v>45044</v>
          </cell>
          <cell r="AL130">
            <v>45054</v>
          </cell>
          <cell r="AM130">
            <v>45054</v>
          </cell>
          <cell r="AN130"/>
          <cell r="AO130">
            <v>45055</v>
          </cell>
          <cell r="AP130" t="str">
            <v>ON HOLD</v>
          </cell>
        </row>
        <row r="131">
          <cell r="A131">
            <v>96230940498</v>
          </cell>
          <cell r="B131" t="str">
            <v>USD-NOB</v>
          </cell>
          <cell r="C131" t="str">
            <v>done</v>
          </cell>
          <cell r="D131" t="str">
            <v>VAN</v>
          </cell>
          <cell r="E131" t="str">
            <v>VAN</v>
          </cell>
          <cell r="F131" t="str">
            <v>done 0428
ON HOLD
MAKING 0410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 t="str">
            <v>Z</v>
          </cell>
          <cell r="AC131">
            <v>0</v>
          </cell>
          <cell r="AD131">
            <v>0</v>
          </cell>
          <cell r="AE131" t="str">
            <v>5/4, 4/28: waiting prepayment; 4/27: no CS pend; 4/22: waiting for prepayment</v>
          </cell>
          <cell r="AF131" t="str">
            <v>KAIDI ELECTRICAL VIETNAM COMPANY LIMITED</v>
          </cell>
          <cell r="AG131" t="str">
            <v>KAIDI ELECTRICAL VIETNAM COMPANY LIMITED</v>
          </cell>
          <cell r="AH131" t="str">
            <v>REGULAR</v>
          </cell>
          <cell r="AI131">
            <v>45020</v>
          </cell>
          <cell r="AJ131">
            <v>45044</v>
          </cell>
          <cell r="AK131">
            <v>45044</v>
          </cell>
          <cell r="AL131">
            <v>45054</v>
          </cell>
          <cell r="AM131">
            <v>45054</v>
          </cell>
          <cell r="AN131"/>
          <cell r="AO131">
            <v>45055</v>
          </cell>
          <cell r="AP131" t="str">
            <v>ON HOLD</v>
          </cell>
        </row>
        <row r="132">
          <cell r="A132">
            <v>96230940519</v>
          </cell>
          <cell r="B132" t="str">
            <v>USD-NOB</v>
          </cell>
          <cell r="C132" t="str">
            <v>done</v>
          </cell>
          <cell r="D132" t="str">
            <v>VAN</v>
          </cell>
          <cell r="E132" t="str">
            <v>VAN</v>
          </cell>
          <cell r="F132" t="str">
            <v>done 0428
ON HOLD
MAKING 0410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 t="str">
            <v>Z</v>
          </cell>
          <cell r="AC132">
            <v>0</v>
          </cell>
          <cell r="AD132">
            <v>0</v>
          </cell>
          <cell r="AE132" t="str">
            <v>5/4, 4/28: waiting prepayment; 4/27: no CS pend; 4/22: waiting for prepayment</v>
          </cell>
          <cell r="AF132" t="str">
            <v>KAIDI ELECTRICAL VIETNAM COMPANY LIMITED</v>
          </cell>
          <cell r="AG132" t="str">
            <v>KAIDI ELECTRICAL VIETNAM COMPANY LIMITED</v>
          </cell>
          <cell r="AH132" t="str">
            <v>REGULAR</v>
          </cell>
          <cell r="AI132">
            <v>45020</v>
          </cell>
          <cell r="AJ132">
            <v>45044</v>
          </cell>
          <cell r="AK132">
            <v>45043</v>
          </cell>
          <cell r="AL132">
            <v>45052</v>
          </cell>
          <cell r="AM132">
            <v>45052</v>
          </cell>
          <cell r="AN132"/>
          <cell r="AO132">
            <v>45054</v>
          </cell>
          <cell r="AP132" t="str">
            <v>ON HOLD</v>
          </cell>
        </row>
        <row r="133">
          <cell r="A133">
            <v>96230940526</v>
          </cell>
          <cell r="B133" t="str">
            <v>USD-NOB</v>
          </cell>
          <cell r="C133" t="str">
            <v>done</v>
          </cell>
          <cell r="D133" t="str">
            <v>VAN</v>
          </cell>
          <cell r="E133" t="str">
            <v>VAN</v>
          </cell>
          <cell r="F133" t="str">
            <v>done 0428
ON HOLD
MAKING 0410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 t="str">
            <v>Z</v>
          </cell>
          <cell r="AC133">
            <v>0</v>
          </cell>
          <cell r="AD133">
            <v>0</v>
          </cell>
          <cell r="AE133" t="str">
            <v>5/4, 4/28: waiting prepayment; 4/27: no CS pend; 4/22: waiting for prepayment</v>
          </cell>
          <cell r="AF133" t="str">
            <v>KAIDI ELECTRICAL VIETNAM COMPANY LIMITED</v>
          </cell>
          <cell r="AG133" t="str">
            <v>KAIDI ELECTRICAL VIETNAM COMPANY LIMITED</v>
          </cell>
          <cell r="AH133" t="str">
            <v>REGULAR</v>
          </cell>
          <cell r="AI133">
            <v>45020</v>
          </cell>
          <cell r="AJ133">
            <v>45044</v>
          </cell>
          <cell r="AK133">
            <v>45043</v>
          </cell>
          <cell r="AL133">
            <v>45052</v>
          </cell>
          <cell r="AM133">
            <v>45052</v>
          </cell>
          <cell r="AN133"/>
          <cell r="AO133">
            <v>45054</v>
          </cell>
          <cell r="AP133" t="str">
            <v>ON HOLD</v>
          </cell>
        </row>
        <row r="134">
          <cell r="A134">
            <v>96230940527</v>
          </cell>
          <cell r="B134" t="str">
            <v>USD-NOB</v>
          </cell>
          <cell r="C134" t="str">
            <v>done</v>
          </cell>
          <cell r="D134" t="str">
            <v>VAN</v>
          </cell>
          <cell r="E134" t="str">
            <v>VAN</v>
          </cell>
          <cell r="F134" t="str">
            <v>done 0428
ON HOLD
MAKING 0410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 t="str">
            <v>Z</v>
          </cell>
          <cell r="AC134">
            <v>0</v>
          </cell>
          <cell r="AD134">
            <v>0</v>
          </cell>
          <cell r="AE134" t="str">
            <v>5/4, 4/28: waiting prepayment; 4/27: no CS pend; 4/22: waiting for prepayment</v>
          </cell>
          <cell r="AF134" t="str">
            <v>KAIDI ELECTRICAL VIETNAM COMPANY LIMITED</v>
          </cell>
          <cell r="AG134" t="str">
            <v>KAIDI ELECTRICAL VIETNAM COMPANY LIMITED</v>
          </cell>
          <cell r="AH134" t="str">
            <v>REGULAR</v>
          </cell>
          <cell r="AI134">
            <v>45020</v>
          </cell>
          <cell r="AJ134">
            <v>45044</v>
          </cell>
          <cell r="AK134">
            <v>45043</v>
          </cell>
          <cell r="AL134">
            <v>45052</v>
          </cell>
          <cell r="AM134">
            <v>45052</v>
          </cell>
          <cell r="AN134"/>
          <cell r="AO134">
            <v>45054</v>
          </cell>
          <cell r="AP134" t="str">
            <v>ON HOLD</v>
          </cell>
        </row>
        <row r="135">
          <cell r="A135">
            <v>96230950645</v>
          </cell>
          <cell r="B135" t="str">
            <v>US2</v>
          </cell>
          <cell r="C135">
            <v>0</v>
          </cell>
          <cell r="D135">
            <v>0</v>
          </cell>
          <cell r="E135" t="str">
            <v>SHE</v>
          </cell>
          <cell r="F135">
            <v>0</v>
          </cell>
          <cell r="G135" t="str">
            <v>R</v>
          </cell>
          <cell r="H135">
            <v>0</v>
          </cell>
          <cell r="I135">
            <v>0</v>
          </cell>
          <cell r="J135" t="str">
            <v>H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 t="str">
            <v>Q</v>
          </cell>
          <cell r="W135" t="str">
            <v>V</v>
          </cell>
          <cell r="X135">
            <v>0</v>
          </cell>
          <cell r="Y135">
            <v>0</v>
          </cell>
          <cell r="Z135">
            <v>0</v>
          </cell>
          <cell r="AA135">
            <v>4</v>
          </cell>
          <cell r="AB135" t="str">
            <v>H, R, Q, V</v>
          </cell>
          <cell r="AC135" t="str">
            <v>x</v>
          </cell>
          <cell r="AD135">
            <v>0</v>
          </cell>
          <cell r="AE135" t="str">
            <v>4/27: off, 4/26: wait report to refer fiber from client, no need test for fabric, 4/24: wait extra+ LOG, 4/20: wait extra and confirm for same or not, wait report or LOG</v>
          </cell>
          <cell r="AF135" t="str">
            <v>BRIDGER UPHOLSTERY CO LTD</v>
          </cell>
          <cell r="AG135" t="str">
            <v>BURROW INC</v>
          </cell>
          <cell r="AH135" t="str">
            <v>REGULAR</v>
          </cell>
          <cell r="AI135">
            <v>45022</v>
          </cell>
          <cell r="AJ135">
            <v>45049</v>
          </cell>
          <cell r="AK135">
            <v>45050</v>
          </cell>
          <cell r="AL135">
            <v>45055</v>
          </cell>
          <cell r="AM135">
            <v>45055</v>
          </cell>
          <cell r="AN135"/>
          <cell r="AO135">
            <v>45056</v>
          </cell>
          <cell r="AP135" t="str">
            <v>MUST</v>
          </cell>
        </row>
        <row r="136">
          <cell r="A136">
            <v>96230960231</v>
          </cell>
          <cell r="B136" t="str">
            <v>TY-RF SP 96230960219</v>
          </cell>
          <cell r="C136" t="str">
            <v>0412: CSE</v>
          </cell>
          <cell r="D136">
            <v>0</v>
          </cell>
          <cell r="E136" t="str">
            <v>TAN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T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 t="str">
            <v>L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2</v>
          </cell>
          <cell r="AB136" t="str">
            <v>T, W, F, L, A, Q, V</v>
          </cell>
          <cell r="AC136">
            <v>0</v>
          </cell>
          <cell r="AD136" t="str">
            <v>YES</v>
          </cell>
          <cell r="AE136" t="str">
            <v xml:space="preserve">5/8: no cs pend 5/4: got extra 4/22: picking up extra 4/11: cse 4/10: no cs pend </v>
          </cell>
          <cell r="AF136" t="str">
            <v>INNOFLOW KOREA COMPANY LIMITED</v>
          </cell>
          <cell r="AG136" t="str">
            <v>THE DISNEY STORE, INC (CA)</v>
          </cell>
          <cell r="AH136" t="str">
            <v>REGULAR</v>
          </cell>
          <cell r="AI136">
            <v>45022</v>
          </cell>
          <cell r="AJ136">
            <v>45048</v>
          </cell>
          <cell r="AK136">
            <v>45050</v>
          </cell>
          <cell r="AL136">
            <v>45055</v>
          </cell>
          <cell r="AM136">
            <v>45055</v>
          </cell>
          <cell r="AN136"/>
          <cell r="AO136">
            <v>45056</v>
          </cell>
          <cell r="AP136" t="str">
            <v>MUST</v>
          </cell>
        </row>
        <row r="137">
          <cell r="A137">
            <v>96230970248</v>
          </cell>
          <cell r="B137" t="str">
            <v>TY-RF SP 96230740293</v>
          </cell>
          <cell r="C137" t="str">
            <v>0415: DISNEY KOREA</v>
          </cell>
          <cell r="D137">
            <v>0</v>
          </cell>
          <cell r="E137" t="str">
            <v>ELV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T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 t="str">
            <v>F</v>
          </cell>
          <cell r="R137" t="str">
            <v>L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 t="str">
            <v>V</v>
          </cell>
          <cell r="X137">
            <v>0</v>
          </cell>
          <cell r="Y137">
            <v>0</v>
          </cell>
          <cell r="Z137">
            <v>0</v>
          </cell>
          <cell r="AA137">
            <v>4</v>
          </cell>
          <cell r="AB137" t="str">
            <v>T, F, L, V</v>
          </cell>
          <cell r="AC137">
            <v>0</v>
          </cell>
          <cell r="AD137" t="str">
            <v>YES</v>
          </cell>
          <cell r="AE137">
            <v>0</v>
          </cell>
          <cell r="AF137" t="str">
            <v>DREAM INTERNATIONAL LIMITED</v>
          </cell>
          <cell r="AG137" t="str">
            <v>THE DISNEY STORE, INC (CA)</v>
          </cell>
          <cell r="AH137" t="str">
            <v>REGULAR</v>
          </cell>
          <cell r="AI137">
            <v>45023</v>
          </cell>
          <cell r="AJ137">
            <v>45044</v>
          </cell>
          <cell r="AK137">
            <v>45044</v>
          </cell>
          <cell r="AL137">
            <v>45078</v>
          </cell>
          <cell r="AM137">
            <v>45078</v>
          </cell>
          <cell r="AN137"/>
          <cell r="AO137">
            <v>45079</v>
          </cell>
          <cell r="AP137" t="str">
            <v>OFF HOLD</v>
          </cell>
        </row>
        <row r="138">
          <cell r="A138">
            <v>96230970250</v>
          </cell>
          <cell r="B138" t="str">
            <v>TY-RF SP 96230740552</v>
          </cell>
          <cell r="C138" t="str">
            <v>0415: DISNEY KOREA</v>
          </cell>
          <cell r="D138">
            <v>0</v>
          </cell>
          <cell r="E138" t="str">
            <v>ELV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T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 t="str">
            <v>A</v>
          </cell>
          <cell r="V138" t="str">
            <v>Q</v>
          </cell>
          <cell r="W138" t="str">
            <v>V</v>
          </cell>
          <cell r="X138">
            <v>0</v>
          </cell>
          <cell r="Y138">
            <v>0</v>
          </cell>
          <cell r="Z138">
            <v>0</v>
          </cell>
          <cell r="AA138">
            <v>4</v>
          </cell>
          <cell r="AB138" t="str">
            <v>T, A, Q, V</v>
          </cell>
          <cell r="AC138">
            <v>0</v>
          </cell>
          <cell r="AD138" t="str">
            <v>YES</v>
          </cell>
          <cell r="AE138">
            <v>0</v>
          </cell>
          <cell r="AF138" t="str">
            <v>DREAM INTERNATIONAL LIMITED</v>
          </cell>
          <cell r="AG138" t="str">
            <v>THE DISNEY STORE, INC (CA)</v>
          </cell>
          <cell r="AH138" t="str">
            <v>REGULAR</v>
          </cell>
          <cell r="AI138">
            <v>45023</v>
          </cell>
          <cell r="AJ138">
            <v>45044</v>
          </cell>
          <cell r="AK138">
            <v>45044</v>
          </cell>
          <cell r="AL138">
            <v>45080</v>
          </cell>
          <cell r="AM138">
            <v>45080</v>
          </cell>
          <cell r="AN138"/>
          <cell r="AO138">
            <v>45082</v>
          </cell>
          <cell r="AP138" t="str">
            <v>OFF HOLD</v>
          </cell>
        </row>
        <row r="139">
          <cell r="A139">
            <v>96230970336</v>
          </cell>
          <cell r="B139" t="str">
            <v>TY</v>
          </cell>
          <cell r="C139" t="str">
            <v>0415: DISNEY KOREA</v>
          </cell>
          <cell r="D139">
            <v>0</v>
          </cell>
          <cell r="E139" t="str">
            <v>ELV</v>
          </cell>
          <cell r="F139" t="str">
            <v>MAKING 0426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T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 t="str">
            <v>A</v>
          </cell>
          <cell r="V139" t="str">
            <v>Q</v>
          </cell>
          <cell r="W139" t="str">
            <v>V</v>
          </cell>
          <cell r="X139">
            <v>0</v>
          </cell>
          <cell r="Y139">
            <v>0</v>
          </cell>
          <cell r="Z139">
            <v>0</v>
          </cell>
          <cell r="AA139">
            <v>4</v>
          </cell>
          <cell r="AB139" t="str">
            <v>T, A, Q, V</v>
          </cell>
          <cell r="AC139">
            <v>0</v>
          </cell>
          <cell r="AD139" t="str">
            <v>YES</v>
          </cell>
          <cell r="AE139">
            <v>0</v>
          </cell>
          <cell r="AF139" t="str">
            <v>DREAM INTERNATIONAL LIMITED</v>
          </cell>
          <cell r="AG139" t="str">
            <v>THE DISNEY STORE, INC (CA)</v>
          </cell>
          <cell r="AH139" t="str">
            <v>REGULAR</v>
          </cell>
          <cell r="AI139">
            <v>45023</v>
          </cell>
          <cell r="AJ139">
            <v>45044</v>
          </cell>
          <cell r="AK139">
            <v>45049</v>
          </cell>
          <cell r="AL139">
            <v>45082</v>
          </cell>
          <cell r="AM139">
            <v>45082</v>
          </cell>
          <cell r="AN139"/>
          <cell r="AO139">
            <v>45083</v>
          </cell>
          <cell r="AP139" t="str">
            <v>OFF HOLD</v>
          </cell>
        </row>
        <row r="140">
          <cell r="A140">
            <v>96230970339</v>
          </cell>
          <cell r="B140" t="str">
            <v>TY-RF SP 96230970336</v>
          </cell>
          <cell r="C140" t="str">
            <v>0415: DISNEY KOREA</v>
          </cell>
          <cell r="D140">
            <v>0</v>
          </cell>
          <cell r="E140" t="str">
            <v>ELV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T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 t="str">
            <v>A</v>
          </cell>
          <cell r="V140" t="str">
            <v>Q</v>
          </cell>
          <cell r="W140" t="str">
            <v>V</v>
          </cell>
          <cell r="X140">
            <v>0</v>
          </cell>
          <cell r="Y140">
            <v>0</v>
          </cell>
          <cell r="Z140">
            <v>0</v>
          </cell>
          <cell r="AA140">
            <v>4</v>
          </cell>
          <cell r="AB140" t="str">
            <v>T, A, Q, V</v>
          </cell>
          <cell r="AC140">
            <v>0</v>
          </cell>
          <cell r="AD140" t="str">
            <v>YES</v>
          </cell>
          <cell r="AE140">
            <v>0</v>
          </cell>
          <cell r="AF140" t="str">
            <v>DREAM INTERNATIONAL LIMITED</v>
          </cell>
          <cell r="AG140" t="str">
            <v>THE DISNEY STORE, INC (CA)</v>
          </cell>
          <cell r="AH140" t="str">
            <v>REGULAR</v>
          </cell>
          <cell r="AI140">
            <v>45023</v>
          </cell>
          <cell r="AJ140">
            <v>45044</v>
          </cell>
          <cell r="AK140"/>
          <cell r="AL140">
            <v>45059</v>
          </cell>
          <cell r="AM140">
            <v>45059</v>
          </cell>
          <cell r="AN140"/>
          <cell r="AO140">
            <v>45061</v>
          </cell>
          <cell r="AP140" t="str">
            <v>ON HOLD</v>
          </cell>
        </row>
        <row r="141">
          <cell r="A141">
            <v>96230970359</v>
          </cell>
          <cell r="B141" t="str">
            <v>TY</v>
          </cell>
          <cell r="C141" t="str">
            <v>0415: TESTING-FOOD CONTACT AME</v>
          </cell>
          <cell r="D141">
            <v>0</v>
          </cell>
          <cell r="E141" t="str">
            <v>ELV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 t="str">
            <v>H</v>
          </cell>
          <cell r="K141" t="str">
            <v>T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 t="str">
            <v>W</v>
          </cell>
          <cell r="Q141">
            <v>0</v>
          </cell>
          <cell r="R141" t="str">
            <v>L</v>
          </cell>
          <cell r="S141" t="str">
            <v>M</v>
          </cell>
          <cell r="T141">
            <v>0</v>
          </cell>
          <cell r="U141" t="str">
            <v>A</v>
          </cell>
          <cell r="V141" t="str">
            <v>Q</v>
          </cell>
          <cell r="W141" t="str">
            <v>V</v>
          </cell>
          <cell r="X141">
            <v>0</v>
          </cell>
          <cell r="Y141" t="str">
            <v>B</v>
          </cell>
          <cell r="Z141">
            <v>0</v>
          </cell>
          <cell r="AA141">
            <v>9</v>
          </cell>
          <cell r="AB141" t="str">
            <v>H, T, W, L, M, A, Q, V, B</v>
          </cell>
          <cell r="AC141">
            <v>0</v>
          </cell>
          <cell r="AD141" t="str">
            <v>YES</v>
          </cell>
          <cell r="AE141" t="str">
            <v>0424 no CS pending</v>
          </cell>
          <cell r="AF141" t="str">
            <v>DREAM INTERNATIONAL LIMITED</v>
          </cell>
          <cell r="AG141" t="str">
            <v>THE DISNEY STORE, INC (CA)</v>
          </cell>
          <cell r="AH141" t="str">
            <v>REGULAR</v>
          </cell>
          <cell r="AI141">
            <v>45023</v>
          </cell>
          <cell r="AJ141">
            <v>45050</v>
          </cell>
          <cell r="AK141">
            <v>45040</v>
          </cell>
          <cell r="AL141">
            <v>45051</v>
          </cell>
          <cell r="AM141">
            <v>45051</v>
          </cell>
          <cell r="AN141"/>
          <cell r="AO141">
            <v>45052</v>
          </cell>
          <cell r="AP141" t="str">
            <v>ON HOLD</v>
          </cell>
        </row>
        <row r="142">
          <cell r="A142">
            <v>96230970565</v>
          </cell>
          <cell r="B142" t="str">
            <v>US2</v>
          </cell>
          <cell r="C142">
            <v>0</v>
          </cell>
          <cell r="D142">
            <v>0</v>
          </cell>
          <cell r="E142" t="str">
            <v>FLO</v>
          </cell>
          <cell r="F142">
            <v>0</v>
          </cell>
          <cell r="G142" t="str">
            <v>R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1</v>
          </cell>
          <cell r="AB142" t="str">
            <v>R, P, F, Y, Q, V, X</v>
          </cell>
          <cell r="AC142">
            <v>0</v>
          </cell>
          <cell r="AD142" t="str">
            <v>YES</v>
          </cell>
          <cell r="AE142" t="str">
            <v>05/04, 0422: Off hold , no CS pending</v>
          </cell>
          <cell r="AF142" t="str">
            <v>LIVING STYLE (SINGAPORE) PTE LIMITED</v>
          </cell>
          <cell r="AG142" t="str">
            <v>LIVING STYLE (SINGAPORE) PTE LIMITED</v>
          </cell>
          <cell r="AH142" t="str">
            <v>REGULAR</v>
          </cell>
          <cell r="AI142">
            <v>45023</v>
          </cell>
          <cell r="AJ142">
            <v>45028</v>
          </cell>
          <cell r="AK142">
            <v>45038</v>
          </cell>
          <cell r="AL142">
            <v>45061</v>
          </cell>
          <cell r="AM142">
            <v>45061</v>
          </cell>
          <cell r="AN142"/>
          <cell r="AO142">
            <v>45062</v>
          </cell>
          <cell r="AP142" t="str">
            <v>OFF HOLD</v>
          </cell>
        </row>
        <row r="143">
          <cell r="A143">
            <v>96230970566</v>
          </cell>
          <cell r="B143" t="str">
            <v>US2</v>
          </cell>
          <cell r="C143">
            <v>0</v>
          </cell>
          <cell r="D143">
            <v>0</v>
          </cell>
          <cell r="E143" t="str">
            <v>FLO</v>
          </cell>
          <cell r="F143" t="str">
            <v>FIRST MAKING 0411 - AN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 t="str">
            <v>A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1</v>
          </cell>
          <cell r="AB143" t="str">
            <v>A</v>
          </cell>
          <cell r="AC143">
            <v>0</v>
          </cell>
          <cell r="AD143" t="str">
            <v>YES</v>
          </cell>
          <cell r="AE143" t="str">
            <v>05/04: clarify test
0422: Off hold , no CS pending</v>
          </cell>
          <cell r="AF143" t="str">
            <v>LIVING STYLE (SINGAPORE) PTE LIMITED</v>
          </cell>
          <cell r="AG143" t="str">
            <v>LIVING STYLE (SINGAPORE) PTE LIMITED</v>
          </cell>
          <cell r="AH143" t="str">
            <v>REGULAR</v>
          </cell>
          <cell r="AI143">
            <v>45023</v>
          </cell>
          <cell r="AJ143">
            <v>45050</v>
          </cell>
          <cell r="AK143">
            <v>45051</v>
          </cell>
          <cell r="AL143">
            <v>45056</v>
          </cell>
          <cell r="AM143">
            <v>45056</v>
          </cell>
          <cell r="AN143"/>
          <cell r="AO143">
            <v>45057</v>
          </cell>
          <cell r="AP143" t="str">
            <v>OFF HOLD</v>
          </cell>
        </row>
        <row r="144">
          <cell r="A144">
            <v>96230970622</v>
          </cell>
          <cell r="B144" t="str">
            <v>US2</v>
          </cell>
          <cell r="C144">
            <v>0</v>
          </cell>
          <cell r="D144">
            <v>0</v>
          </cell>
          <cell r="E144" t="str">
            <v>ELV</v>
          </cell>
          <cell r="F144">
            <v>0</v>
          </cell>
          <cell r="G144" t="str">
            <v>R</v>
          </cell>
          <cell r="H144">
            <v>0</v>
          </cell>
          <cell r="I144">
            <v>0</v>
          </cell>
          <cell r="J144" t="str">
            <v>H</v>
          </cell>
          <cell r="K144">
            <v>0</v>
          </cell>
          <cell r="L144">
            <v>0</v>
          </cell>
          <cell r="M144">
            <v>0</v>
          </cell>
          <cell r="N144">
            <v>4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 t="str">
            <v>Q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4</v>
          </cell>
          <cell r="AB144" t="str">
            <v>H, R, 4., P, F, Q, V</v>
          </cell>
          <cell r="AC144" t="str">
            <v>x</v>
          </cell>
          <cell r="AD144">
            <v>0</v>
          </cell>
          <cell r="AE144" t="str">
            <v xml:space="preserve">0428: Push vendor again; 0425: Received extra sample; still pending 0413: Send pending information to vendor </v>
          </cell>
          <cell r="AF144" t="str">
            <v>TIMBERLAND CO LTD</v>
          </cell>
          <cell r="AG144" t="str">
            <v>RAYMOUR &amp; FLANIGAN</v>
          </cell>
          <cell r="AH144" t="str">
            <v>REGULAR</v>
          </cell>
          <cell r="AI144">
            <v>45024</v>
          </cell>
          <cell r="AJ144">
            <v>45049</v>
          </cell>
          <cell r="AK144">
            <v>45044</v>
          </cell>
          <cell r="AL144">
            <v>45054</v>
          </cell>
          <cell r="AM144">
            <v>45054</v>
          </cell>
          <cell r="AN144"/>
          <cell r="AO144">
            <v>45055</v>
          </cell>
          <cell r="AP144" t="str">
            <v>ON HOLD</v>
          </cell>
        </row>
        <row r="145">
          <cell r="A145">
            <v>96230970654</v>
          </cell>
          <cell r="B145" t="str">
            <v>TY</v>
          </cell>
          <cell r="C145" t="str">
            <v>0503: PENDING RG</v>
          </cell>
          <cell r="D145">
            <v>0</v>
          </cell>
          <cell r="E145" t="str">
            <v>TAN</v>
          </cell>
          <cell r="F145" t="str">
            <v>FIRST MAKING 0421-AN2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 t="str">
            <v>Q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1</v>
          </cell>
          <cell r="AB145" t="str">
            <v>H, T, Q, V</v>
          </cell>
          <cell r="AC145">
            <v>0</v>
          </cell>
          <cell r="AD145" t="str">
            <v>YES</v>
          </cell>
          <cell r="AE145" t="str">
            <v xml:space="preserve">5/8, 5/3: no cs pend </v>
          </cell>
          <cell r="AF145" t="str">
            <v>FUNRISE TOYS (HK) LIMITED</v>
          </cell>
          <cell r="AG145" t="str">
            <v>TRACTOR SUPPLY COMPANY</v>
          </cell>
          <cell r="AH145" t="str">
            <v>REGULAR</v>
          </cell>
          <cell r="AI145">
            <v>45024</v>
          </cell>
          <cell r="AJ145">
            <v>45031</v>
          </cell>
          <cell r="AK145">
            <v>45038</v>
          </cell>
          <cell r="AL145">
            <v>45043</v>
          </cell>
          <cell r="AM145">
            <v>45044</v>
          </cell>
          <cell r="AN145"/>
          <cell r="AO145">
            <v>45049</v>
          </cell>
          <cell r="AP145" t="str">
            <v>LATE</v>
          </cell>
        </row>
        <row r="146">
          <cell r="A146">
            <v>96230970655</v>
          </cell>
          <cell r="B146" t="str">
            <v>TY</v>
          </cell>
          <cell r="C146">
            <v>0</v>
          </cell>
          <cell r="D146">
            <v>0</v>
          </cell>
          <cell r="E146" t="str">
            <v>TAN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 t="str">
            <v>H</v>
          </cell>
          <cell r="K146" t="str">
            <v>T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2</v>
          </cell>
          <cell r="AB146" t="str">
            <v>H, T, 4., Q, V</v>
          </cell>
          <cell r="AC146" t="str">
            <v>x</v>
          </cell>
          <cell r="AD146" t="str">
            <v>YES</v>
          </cell>
          <cell r="AE146" t="str">
            <v xml:space="preserve">5/4, 4/15: confirming PI ; 4/10: ASKING BOM AND REPORT </v>
          </cell>
          <cell r="AF146" t="str">
            <v>FUNRISE TOYS (HK) LIMITED</v>
          </cell>
          <cell r="AG146" t="str">
            <v>TRACTOR SUPPLY COMPANY</v>
          </cell>
          <cell r="AH146" t="str">
            <v>REGULAR</v>
          </cell>
          <cell r="AI146">
            <v>45024</v>
          </cell>
          <cell r="AJ146">
            <v>45049</v>
          </cell>
          <cell r="AK146">
            <v>45044</v>
          </cell>
          <cell r="AL146">
            <v>45054</v>
          </cell>
          <cell r="AM146">
            <v>45055</v>
          </cell>
          <cell r="AN146"/>
          <cell r="AO146">
            <v>45056</v>
          </cell>
          <cell r="AP146" t="str">
            <v>ON HOLD</v>
          </cell>
        </row>
        <row r="147">
          <cell r="A147">
            <v>96230970656</v>
          </cell>
          <cell r="B147" t="str">
            <v>TY</v>
          </cell>
          <cell r="C147">
            <v>0</v>
          </cell>
          <cell r="D147">
            <v>0</v>
          </cell>
          <cell r="E147" t="str">
            <v>TAN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>H</v>
          </cell>
          <cell r="K147" t="str">
            <v>T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2</v>
          </cell>
          <cell r="AB147" t="str">
            <v>H, T, 4., Q, V</v>
          </cell>
          <cell r="AC147" t="str">
            <v>x</v>
          </cell>
          <cell r="AD147" t="str">
            <v>YES</v>
          </cell>
          <cell r="AE147" t="str">
            <v xml:space="preserve">5/4, 4/15: confirming PI ; 4/10: ASKING BOM AND REPORT </v>
          </cell>
          <cell r="AF147" t="str">
            <v>FUNRISE TOYS (HK) LIMITED</v>
          </cell>
          <cell r="AG147" t="str">
            <v>TRACTOR SUPPLY COMPANY</v>
          </cell>
          <cell r="AH147" t="str">
            <v>REGULAR</v>
          </cell>
          <cell r="AI147">
            <v>45024</v>
          </cell>
          <cell r="AJ147">
            <v>45049</v>
          </cell>
          <cell r="AK147">
            <v>45044</v>
          </cell>
          <cell r="AL147">
            <v>45054</v>
          </cell>
          <cell r="AM147">
            <v>45055</v>
          </cell>
          <cell r="AN147"/>
          <cell r="AO147">
            <v>45056</v>
          </cell>
          <cell r="AP147" t="str">
            <v>ON HOLD</v>
          </cell>
        </row>
        <row r="148">
          <cell r="A148">
            <v>96230980222</v>
          </cell>
          <cell r="B148" t="str">
            <v>EU-TRANSFER QUALITY FROM 96230890601</v>
          </cell>
          <cell r="C148">
            <v>0</v>
          </cell>
          <cell r="D148">
            <v>0</v>
          </cell>
          <cell r="E148" t="str">
            <v>FLO</v>
          </cell>
          <cell r="F148">
            <v>0</v>
          </cell>
          <cell r="G148" t="str">
            <v>R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1</v>
          </cell>
          <cell r="AB148" t="str">
            <v>R</v>
          </cell>
          <cell r="AC148" t="str">
            <v>x</v>
          </cell>
          <cell r="AD148" t="str">
            <v>YES</v>
          </cell>
          <cell r="AE148" t="str">
            <v>05/04: PI confirmed
 04/28: wait confirm PI
04/10: PI confirmed</v>
          </cell>
          <cell r="AF148" t="str">
            <v>VIETNAM HOUSEWARES CORPORATION</v>
          </cell>
          <cell r="AG148" t="str">
            <v>VIETNAM HOUSEWARES CORPORATION</v>
          </cell>
          <cell r="AH148" t="str">
            <v>REGULAR</v>
          </cell>
          <cell r="AI148">
            <v>45024</v>
          </cell>
          <cell r="AJ148">
            <v>45049</v>
          </cell>
          <cell r="AK148">
            <v>45050</v>
          </cell>
          <cell r="AL148">
            <v>45055</v>
          </cell>
          <cell r="AM148">
            <v>45055</v>
          </cell>
          <cell r="AN148"/>
          <cell r="AO148">
            <v>45056</v>
          </cell>
          <cell r="AP148" t="str">
            <v>MUST</v>
          </cell>
        </row>
        <row r="149">
          <cell r="A149">
            <v>96230980459</v>
          </cell>
          <cell r="B149" t="str">
            <v>TY</v>
          </cell>
          <cell r="C149">
            <v>0</v>
          </cell>
          <cell r="D149">
            <v>0</v>
          </cell>
          <cell r="E149" t="str">
            <v>SHE</v>
          </cell>
          <cell r="F149" t="str">
            <v>FIRST MAKING 0425-AN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 t="str">
            <v>X</v>
          </cell>
          <cell r="Y149">
            <v>0</v>
          </cell>
          <cell r="Z149">
            <v>0</v>
          </cell>
          <cell r="AA149">
            <v>1</v>
          </cell>
          <cell r="AB149" t="str">
            <v>X</v>
          </cell>
          <cell r="AC149">
            <v>0</v>
          </cell>
          <cell r="AD149">
            <v>0</v>
          </cell>
          <cell r="AE149" t="str">
            <v>4/19: off, 4/18: wait confirm  PI, off account, 4/10; lock account, wait confirm test request</v>
          </cell>
          <cell r="AF149" t="str">
            <v>PETROLIMEX PAINTS CO LTD</v>
          </cell>
          <cell r="AG149" t="str">
            <v>PETROLIMEX PAINTS CO LTD</v>
          </cell>
          <cell r="AH149" t="str">
            <v>REGULAR</v>
          </cell>
          <cell r="AI149">
            <v>45024</v>
          </cell>
          <cell r="AJ149">
            <v>45034</v>
          </cell>
          <cell r="AK149">
            <v>45035</v>
          </cell>
          <cell r="AL149">
            <v>45075</v>
          </cell>
          <cell r="AM149">
            <v>45075</v>
          </cell>
          <cell r="AN149"/>
          <cell r="AO149">
            <v>45076</v>
          </cell>
          <cell r="AP149" t="str">
            <v>OFF HOLD</v>
          </cell>
        </row>
        <row r="150">
          <cell r="A150">
            <v>96231000116</v>
          </cell>
          <cell r="B150" t="str">
            <v>US2</v>
          </cell>
          <cell r="C150">
            <v>0</v>
          </cell>
          <cell r="D150">
            <v>0</v>
          </cell>
          <cell r="E150" t="str">
            <v>VAN</v>
          </cell>
          <cell r="F150" t="str">
            <v>FIRST MAKING 0509-SL + AN2</v>
          </cell>
          <cell r="G150">
            <v>0</v>
          </cell>
          <cell r="H150">
            <v>0</v>
          </cell>
          <cell r="I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 t="str">
            <v>P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 t="str">
            <v>V</v>
          </cell>
          <cell r="X150">
            <v>0</v>
          </cell>
          <cell r="Y150">
            <v>0</v>
          </cell>
          <cell r="Z150">
            <v>0</v>
          </cell>
          <cell r="AA150">
            <v>2</v>
          </cell>
          <cell r="AB150" t="str">
            <v>H</v>
          </cell>
          <cell r="AC150" t="str">
            <v>x</v>
          </cell>
          <cell r="AD150">
            <v>0</v>
          </cell>
          <cell r="AE150" t="str">
            <v>5/8: no CS pend; 4/22: extra sample; 4/15: extra samples, document</v>
          </cell>
          <cell r="AF150" t="str">
            <v>ESSENTIAL HOME FURNITURE COMPANY LIMITED</v>
          </cell>
          <cell r="AG150" t="str">
            <v>CINMAR-FRONTGATE</v>
          </cell>
          <cell r="AH150" t="str">
            <v>REGULAR</v>
          </cell>
          <cell r="AI150">
            <v>45026</v>
          </cell>
          <cell r="AJ150">
            <v>45049</v>
          </cell>
          <cell r="AK150">
            <v>45054</v>
          </cell>
          <cell r="AL150">
            <v>45058</v>
          </cell>
          <cell r="AM150">
            <v>45058</v>
          </cell>
          <cell r="AN150"/>
          <cell r="AO150">
            <v>45059</v>
          </cell>
          <cell r="AP150" t="str">
            <v>LATECS</v>
          </cell>
        </row>
        <row r="151">
          <cell r="A151">
            <v>96231000120</v>
          </cell>
          <cell r="B151" t="str">
            <v>US2</v>
          </cell>
          <cell r="C151">
            <v>0</v>
          </cell>
          <cell r="D151">
            <v>0</v>
          </cell>
          <cell r="E151" t="str">
            <v>VAN</v>
          </cell>
          <cell r="F151" t="str">
            <v xml:space="preserve">FIRST MAKING 0509-SL _ AN2 REFER </v>
          </cell>
          <cell r="G151">
            <v>0</v>
          </cell>
          <cell r="H151">
            <v>0</v>
          </cell>
          <cell r="I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 t="str">
            <v>P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1</v>
          </cell>
          <cell r="AB151" t="str">
            <v>H, V</v>
          </cell>
          <cell r="AC151">
            <v>0</v>
          </cell>
          <cell r="AD151">
            <v>0</v>
          </cell>
          <cell r="AE151" t="str">
            <v xml:space="preserve">must issue on 5/8; 5/3: no CS pend; 4/22: waiting for extra sample </v>
          </cell>
          <cell r="AF151" t="str">
            <v>ESSENTIAL HOME FURNITURE COMPANY LIMITED</v>
          </cell>
          <cell r="AG151" t="str">
            <v>CINMAR-FRONTGATE</v>
          </cell>
          <cell r="AH151" t="str">
            <v>REGULAR</v>
          </cell>
          <cell r="AI151">
            <v>45026</v>
          </cell>
          <cell r="AJ151">
            <v>45049</v>
          </cell>
          <cell r="AK151">
            <v>45049</v>
          </cell>
          <cell r="AL151">
            <v>45055</v>
          </cell>
          <cell r="AM151">
            <v>45055</v>
          </cell>
          <cell r="AN151"/>
          <cell r="AO151">
            <v>45056</v>
          </cell>
          <cell r="AP151" t="str">
            <v>LATECS</v>
          </cell>
        </row>
        <row r="152">
          <cell r="A152">
            <v>96231000130</v>
          </cell>
          <cell r="B152" t="str">
            <v>US2</v>
          </cell>
          <cell r="C152">
            <v>0</v>
          </cell>
          <cell r="D152">
            <v>0</v>
          </cell>
          <cell r="E152" t="str">
            <v>VAN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 t="str">
            <v>H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1</v>
          </cell>
          <cell r="AB152" t="str">
            <v>H, Q</v>
          </cell>
          <cell r="AC152" t="str">
            <v>x</v>
          </cell>
          <cell r="AD152">
            <v>0</v>
          </cell>
          <cell r="AE152" t="str">
            <v>4/22: waiting for extra sample; 4/18: confirmed test on actual sample, pending from EE (?); 4/14: pending from EE (?), extra sample for AN</v>
          </cell>
          <cell r="AF152" t="str">
            <v>ESSENTIAL HOME FURNITURE COMPANY LIMITED</v>
          </cell>
          <cell r="AG152" t="str">
            <v>CINMAR-FRONTGATE</v>
          </cell>
          <cell r="AH152" t="str">
            <v>REGULAR</v>
          </cell>
          <cell r="AI152">
            <v>45026</v>
          </cell>
          <cell r="AJ152">
            <v>45049</v>
          </cell>
          <cell r="AK152">
            <v>45044</v>
          </cell>
          <cell r="AL152">
            <v>45055</v>
          </cell>
          <cell r="AM152">
            <v>45055</v>
          </cell>
          <cell r="AN152"/>
          <cell r="AO152">
            <v>45056</v>
          </cell>
          <cell r="AP152" t="str">
            <v>ON HOLD</v>
          </cell>
        </row>
        <row r="153">
          <cell r="A153">
            <v>96231000148</v>
          </cell>
          <cell r="B153" t="str">
            <v>US1</v>
          </cell>
          <cell r="C153">
            <v>0</v>
          </cell>
          <cell r="D153">
            <v>0</v>
          </cell>
          <cell r="E153" t="str">
            <v>MIN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 t="str">
            <v>H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 t="str">
            <v>Q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2</v>
          </cell>
          <cell r="AB153" t="str">
            <v>H, Q</v>
          </cell>
          <cell r="AC153">
            <v>0</v>
          </cell>
          <cell r="AD153">
            <v>0</v>
          </cell>
          <cell r="AE153" t="str">
            <v>0504: PI confirm - 0429: wait confirm PI - 0422: sent PI</v>
          </cell>
          <cell r="AF153" t="str">
            <v>GLOBAL OUTDOORS, INC.</v>
          </cell>
          <cell r="AG153" t="str">
            <v>COSTCO PRE-PRODUCTION</v>
          </cell>
          <cell r="AH153" t="str">
            <v>REGULAR</v>
          </cell>
          <cell r="AI153">
            <v>45026</v>
          </cell>
          <cell r="AJ153">
            <v>45049</v>
          </cell>
          <cell r="AK153">
            <v>45050</v>
          </cell>
          <cell r="AL153">
            <v>45055</v>
          </cell>
          <cell r="AM153">
            <v>45055</v>
          </cell>
          <cell r="AN153"/>
          <cell r="AO153">
            <v>45056</v>
          </cell>
          <cell r="AP153" t="str">
            <v>MUST</v>
          </cell>
        </row>
        <row r="154">
          <cell r="A154">
            <v>96231010015</v>
          </cell>
          <cell r="B154" t="str">
            <v>AN</v>
          </cell>
          <cell r="C154">
            <v>0</v>
          </cell>
          <cell r="D154">
            <v>0</v>
          </cell>
          <cell r="E154" t="str">
            <v>FLO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 HANDLE</v>
          </cell>
          <cell r="AC154">
            <v>0</v>
          </cell>
          <cell r="AD154">
            <v>0</v>
          </cell>
          <cell r="AE154">
            <v>0</v>
          </cell>
          <cell r="AF154" t="str">
            <v>HAN LE COMPANY LIMITED</v>
          </cell>
          <cell r="AG154" t="str">
            <v>HAN LE COMPANY LIMITED</v>
          </cell>
          <cell r="AH154" t="str">
            <v>REGULAR</v>
          </cell>
          <cell r="AI154">
            <v>45027</v>
          </cell>
          <cell r="AJ154"/>
          <cell r="AK154"/>
          <cell r="AL154">
            <v>45033</v>
          </cell>
          <cell r="AM154">
            <v>45033</v>
          </cell>
          <cell r="AN154"/>
          <cell r="AO154">
            <v>45034</v>
          </cell>
          <cell r="AP154" t="str">
            <v>AN HANDLE</v>
          </cell>
        </row>
        <row r="155">
          <cell r="A155">
            <v>96231010205</v>
          </cell>
          <cell r="B155" t="str">
            <v>US2-TRANSFER 96230960094</v>
          </cell>
          <cell r="C155">
            <v>0</v>
          </cell>
          <cell r="D155">
            <v>0</v>
          </cell>
          <cell r="E155" t="str">
            <v>TAN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 t="str">
            <v>H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 t="str">
            <v>F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 t="str">
            <v>Q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3</v>
          </cell>
          <cell r="AB155" t="str">
            <v>H, F, Q</v>
          </cell>
          <cell r="AC155" t="str">
            <v>X</v>
          </cell>
          <cell r="AD155">
            <v>0</v>
          </cell>
          <cell r="AE155" t="str">
            <v xml:space="preserve">5/3: got pending from EE team 4/28: pending EE, no reply from EE team; 4/18: TSCA of Plywood expired </v>
          </cell>
          <cell r="AF155" t="str">
            <v>H NICHOLAS &amp; CO JOINT STOCK COMPANY</v>
          </cell>
          <cell r="AG155" t="str">
            <v>MITCHELL GOLD + BOB WILLIAMS</v>
          </cell>
          <cell r="AH155" t="str">
            <v>REGULAR</v>
          </cell>
          <cell r="AI155">
            <v>45027</v>
          </cell>
          <cell r="AJ155">
            <v>45049</v>
          </cell>
          <cell r="AK155">
            <v>45049</v>
          </cell>
          <cell r="AL155">
            <v>45055</v>
          </cell>
          <cell r="AM155">
            <v>45055</v>
          </cell>
          <cell r="AN155"/>
          <cell r="AO155">
            <v>45056</v>
          </cell>
          <cell r="AP155" t="str">
            <v>ON HOLD</v>
          </cell>
        </row>
        <row r="156">
          <cell r="A156">
            <v>96231010251</v>
          </cell>
          <cell r="B156" t="str">
            <v>EE-QTY</v>
          </cell>
          <cell r="C156">
            <v>0</v>
          </cell>
          <cell r="D156">
            <v>0</v>
          </cell>
          <cell r="E156" t="str">
            <v>LYNN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EE REPORT</v>
          </cell>
          <cell r="AC156">
            <v>0</v>
          </cell>
          <cell r="AD156">
            <v>0</v>
          </cell>
          <cell r="AE156">
            <v>0</v>
          </cell>
          <cell r="AF156" t="str">
            <v>NEOMARCHE SAS</v>
          </cell>
          <cell r="AG156" t="str">
            <v>NEOMARCHE SAS</v>
          </cell>
          <cell r="AH156" t="str">
            <v>URGENT</v>
          </cell>
          <cell r="AI156">
            <v>45027</v>
          </cell>
          <cell r="AJ156">
            <v>45054</v>
          </cell>
          <cell r="AK156">
            <v>45034</v>
          </cell>
          <cell r="AL156">
            <v>45034</v>
          </cell>
          <cell r="AM156">
            <v>45034</v>
          </cell>
          <cell r="AN156"/>
          <cell r="AO156">
            <v>45034</v>
          </cell>
          <cell r="AP156" t="str">
            <v>ON HOLD</v>
          </cell>
        </row>
        <row r="157">
          <cell r="A157">
            <v>96231010314</v>
          </cell>
          <cell r="B157" t="str">
            <v>US2</v>
          </cell>
          <cell r="C157">
            <v>0</v>
          </cell>
          <cell r="D157">
            <v>0</v>
          </cell>
          <cell r="E157" t="str">
            <v>FLO</v>
          </cell>
          <cell r="F157" t="str">
            <v>FIRST MAKING 0508- SUB CONTRACT</v>
          </cell>
          <cell r="G157">
            <v>0</v>
          </cell>
          <cell r="H157">
            <v>0</v>
          </cell>
          <cell r="I157">
            <v>0</v>
          </cell>
          <cell r="J157" t="str">
            <v>H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 t="str">
            <v>B</v>
          </cell>
          <cell r="Z157">
            <v>0</v>
          </cell>
          <cell r="AA157">
            <v>2</v>
          </cell>
          <cell r="AB157" t="str">
            <v>H, R, 4., Q, B</v>
          </cell>
          <cell r="AC157" t="str">
            <v>x</v>
          </cell>
          <cell r="AD157" t="str">
            <v>YES</v>
          </cell>
          <cell r="AE157" t="str">
            <v>05/06: confirmed PI 05/04: revie PI
04/28; 04/22: wait confirm PI</v>
          </cell>
          <cell r="AF157" t="str">
            <v>INTERCON INC.</v>
          </cell>
          <cell r="AG157" t="str">
            <v>AMERICAN SIGNATURE INC</v>
          </cell>
          <cell r="AH157" t="str">
            <v>REGULAR</v>
          </cell>
          <cell r="AI157">
            <v>45027</v>
          </cell>
          <cell r="AJ157">
            <v>45049</v>
          </cell>
          <cell r="AK157">
            <v>45052</v>
          </cell>
          <cell r="AL157">
            <v>45057</v>
          </cell>
          <cell r="AM157">
            <v>45057</v>
          </cell>
          <cell r="AN157"/>
          <cell r="AO157">
            <v>45058</v>
          </cell>
          <cell r="AP157" t="str">
            <v>OFF HOLD</v>
          </cell>
        </row>
        <row r="158">
          <cell r="A158">
            <v>96231010321</v>
          </cell>
          <cell r="B158" t="str">
            <v>US2</v>
          </cell>
          <cell r="C158">
            <v>0</v>
          </cell>
          <cell r="D158">
            <v>0</v>
          </cell>
          <cell r="E158" t="str">
            <v>FLO</v>
          </cell>
          <cell r="F158">
            <v>0</v>
          </cell>
          <cell r="G158" t="str">
            <v>R</v>
          </cell>
          <cell r="H158">
            <v>0</v>
          </cell>
          <cell r="I158">
            <v>0</v>
          </cell>
          <cell r="J158" t="str">
            <v>H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 t="str">
            <v>P</v>
          </cell>
          <cell r="P158">
            <v>0</v>
          </cell>
          <cell r="Q158" t="str">
            <v>F</v>
          </cell>
          <cell r="R158" t="str">
            <v>L</v>
          </cell>
          <cell r="S158">
            <v>0</v>
          </cell>
          <cell r="T158">
            <v>0</v>
          </cell>
          <cell r="U158" t="str">
            <v>A</v>
          </cell>
          <cell r="V158" t="str">
            <v>Q</v>
          </cell>
          <cell r="W158" t="str">
            <v>V</v>
          </cell>
          <cell r="X158">
            <v>0</v>
          </cell>
          <cell r="Y158">
            <v>0</v>
          </cell>
          <cell r="Z158">
            <v>0</v>
          </cell>
          <cell r="AA158">
            <v>8</v>
          </cell>
          <cell r="AB158" t="str">
            <v>H, R, P, F, L, A, Q, V</v>
          </cell>
          <cell r="AC158" t="str">
            <v>x</v>
          </cell>
          <cell r="AD158" t="str">
            <v>YES</v>
          </cell>
          <cell r="AE158" t="str">
            <v>05/04: revie PI
04/28; 04/22: wait confirm PI</v>
          </cell>
          <cell r="AF158" t="str">
            <v>INTERCON INC.</v>
          </cell>
          <cell r="AG158" t="str">
            <v>AMERICAN SIGNATURE INC</v>
          </cell>
          <cell r="AH158" t="str">
            <v>REGULAR</v>
          </cell>
          <cell r="AI158">
            <v>45027</v>
          </cell>
          <cell r="AJ158">
            <v>45049</v>
          </cell>
          <cell r="AK158">
            <v>45044</v>
          </cell>
          <cell r="AL158">
            <v>45055</v>
          </cell>
          <cell r="AM158">
            <v>45055</v>
          </cell>
          <cell r="AN158"/>
          <cell r="AO158">
            <v>45056</v>
          </cell>
          <cell r="AP158" t="str">
            <v>ON HOLD</v>
          </cell>
        </row>
        <row r="159">
          <cell r="A159">
            <v>96231010329</v>
          </cell>
          <cell r="B159" t="str">
            <v>USD</v>
          </cell>
          <cell r="C159">
            <v>0</v>
          </cell>
          <cell r="D159">
            <v>0</v>
          </cell>
          <cell r="E159" t="str">
            <v>TAN</v>
          </cell>
          <cell r="F159">
            <v>0</v>
          </cell>
          <cell r="G159">
            <v>0</v>
          </cell>
          <cell r="H159">
            <v>0</v>
          </cell>
          <cell r="I159" t="str">
            <v>Z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1</v>
          </cell>
          <cell r="AB159" t="str">
            <v>Z</v>
          </cell>
          <cell r="AC159" t="str">
            <v>x</v>
          </cell>
          <cell r="AD159">
            <v>0</v>
          </cell>
          <cell r="AE159" t="str">
            <v xml:space="preserve">5/3: vendor no reply, resent, 4/13: need prepayment, verify test </v>
          </cell>
          <cell r="AF159" t="str">
            <v>LOGISTAR LLC</v>
          </cell>
          <cell r="AG159" t="str">
            <v>GLOBAL SELLERS PROGRAM</v>
          </cell>
          <cell r="AH159" t="str">
            <v>REGULAR</v>
          </cell>
          <cell r="AI159">
            <v>45027</v>
          </cell>
          <cell r="AJ159">
            <v>45034</v>
          </cell>
          <cell r="AK159">
            <v>45029</v>
          </cell>
          <cell r="AL159">
            <v>45034</v>
          </cell>
          <cell r="AM159">
            <v>45034</v>
          </cell>
          <cell r="AN159"/>
          <cell r="AO159">
            <v>45035</v>
          </cell>
          <cell r="AP159" t="str">
            <v>ON HOLD</v>
          </cell>
        </row>
        <row r="160">
          <cell r="A160">
            <v>96231010334</v>
          </cell>
          <cell r="B160" t="str">
            <v>USD</v>
          </cell>
          <cell r="C160">
            <v>0</v>
          </cell>
          <cell r="D160">
            <v>0</v>
          </cell>
          <cell r="E160" t="str">
            <v>TAN</v>
          </cell>
          <cell r="F160">
            <v>0</v>
          </cell>
          <cell r="G160">
            <v>0</v>
          </cell>
          <cell r="H160">
            <v>0</v>
          </cell>
          <cell r="I160" t="str">
            <v>Z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1</v>
          </cell>
          <cell r="AB160" t="str">
            <v>Z</v>
          </cell>
          <cell r="AC160" t="str">
            <v>x</v>
          </cell>
          <cell r="AD160">
            <v>0</v>
          </cell>
          <cell r="AE160" t="str">
            <v xml:space="preserve">5/3: vendor no reply, resent, 4/13: need prepayment, verify test </v>
          </cell>
          <cell r="AF160" t="str">
            <v>LOGISTAR LLC</v>
          </cell>
          <cell r="AG160" t="str">
            <v>GLOBAL SELLERS PROGRAM</v>
          </cell>
          <cell r="AH160" t="str">
            <v>REGULAR</v>
          </cell>
          <cell r="AI160">
            <v>45027</v>
          </cell>
          <cell r="AJ160">
            <v>45034</v>
          </cell>
          <cell r="AK160">
            <v>45029</v>
          </cell>
          <cell r="AL160">
            <v>45034</v>
          </cell>
          <cell r="AM160">
            <v>45034</v>
          </cell>
          <cell r="AN160"/>
          <cell r="AO160">
            <v>45035</v>
          </cell>
          <cell r="AP160" t="str">
            <v>ON HOLD</v>
          </cell>
        </row>
        <row r="161">
          <cell r="A161">
            <v>96231010501</v>
          </cell>
          <cell r="B161" t="str">
            <v>CD</v>
          </cell>
          <cell r="C161">
            <v>0</v>
          </cell>
          <cell r="D161">
            <v>0</v>
          </cell>
          <cell r="E161" t="str">
            <v>MIN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 t="str">
            <v>H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 t="str">
            <v>Q</v>
          </cell>
          <cell r="W161">
            <v>0</v>
          </cell>
          <cell r="X161">
            <v>0</v>
          </cell>
          <cell r="Y161" t="str">
            <v>B</v>
          </cell>
          <cell r="Z161">
            <v>0</v>
          </cell>
          <cell r="AA161">
            <v>3</v>
          </cell>
          <cell r="AB161" t="str">
            <v>H, Q, V, B</v>
          </cell>
          <cell r="AC161">
            <v>0</v>
          </cell>
          <cell r="AD161" t="str">
            <v>YES</v>
          </cell>
          <cell r="AE161" t="str">
            <v>0509: no CS pend - 0429-0418: further check info</v>
          </cell>
          <cell r="AF161" t="str">
            <v>AROMA BAY CANDLES CO LTD</v>
          </cell>
          <cell r="AG161" t="str">
            <v>MARMAXX GROUP</v>
          </cell>
          <cell r="AH161" t="str">
            <v>REGULAR</v>
          </cell>
          <cell r="AI161">
            <v>45027</v>
          </cell>
          <cell r="AJ161">
            <v>45049</v>
          </cell>
          <cell r="AK161">
            <v>45052</v>
          </cell>
          <cell r="AL161">
            <v>45057</v>
          </cell>
          <cell r="AM161">
            <v>45057</v>
          </cell>
          <cell r="AN161"/>
          <cell r="AO161">
            <v>45058</v>
          </cell>
          <cell r="AP161" t="str">
            <v>OFF HOLD</v>
          </cell>
        </row>
        <row r="162">
          <cell r="A162">
            <v>96231010502</v>
          </cell>
          <cell r="B162" t="str">
            <v>CD</v>
          </cell>
          <cell r="C162">
            <v>0</v>
          </cell>
          <cell r="D162">
            <v>0</v>
          </cell>
          <cell r="E162" t="str">
            <v>MIN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 t="str">
            <v>H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 t="str">
            <v>Q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2</v>
          </cell>
          <cell r="AB162" t="str">
            <v>H, Q</v>
          </cell>
          <cell r="AC162">
            <v>0</v>
          </cell>
          <cell r="AD162" t="str">
            <v>YES</v>
          </cell>
          <cell r="AE162" t="str">
            <v>0509: pend CARB doc - 0429-0418: further check info</v>
          </cell>
          <cell r="AF162" t="str">
            <v>AROMA BAY CANDLES CO LTD</v>
          </cell>
          <cell r="AG162" t="str">
            <v>MARMAXX GROUP</v>
          </cell>
          <cell r="AH162" t="str">
            <v>REGULAR</v>
          </cell>
          <cell r="AI162">
            <v>45027</v>
          </cell>
          <cell r="AJ162">
            <v>45049</v>
          </cell>
          <cell r="AK162">
            <v>45044</v>
          </cell>
          <cell r="AL162">
            <v>45054</v>
          </cell>
          <cell r="AM162">
            <v>45054</v>
          </cell>
          <cell r="AN162"/>
          <cell r="AO162">
            <v>45055</v>
          </cell>
          <cell r="AP162" t="str">
            <v>ON HOLD</v>
          </cell>
        </row>
        <row r="163">
          <cell r="A163">
            <v>96231020064</v>
          </cell>
          <cell r="B163" t="str">
            <v>US2-CXL 96230950647</v>
          </cell>
          <cell r="C163">
            <v>0</v>
          </cell>
          <cell r="D163">
            <v>0</v>
          </cell>
          <cell r="E163" t="str">
            <v>SHE</v>
          </cell>
          <cell r="F163">
            <v>0</v>
          </cell>
          <cell r="G163" t="str">
            <v>R</v>
          </cell>
          <cell r="H163">
            <v>0</v>
          </cell>
          <cell r="I163">
            <v>0</v>
          </cell>
          <cell r="J163" t="str">
            <v>H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 t="str">
            <v>Q</v>
          </cell>
          <cell r="W163" t="str">
            <v>V</v>
          </cell>
          <cell r="X163">
            <v>0</v>
          </cell>
          <cell r="Y163">
            <v>0</v>
          </cell>
          <cell r="Z163">
            <v>0</v>
          </cell>
          <cell r="AA163">
            <v>4</v>
          </cell>
          <cell r="AB163" t="str">
            <v>H, R, Q, V</v>
          </cell>
          <cell r="AC163" t="str">
            <v>x</v>
          </cell>
          <cell r="AD163">
            <v>0</v>
          </cell>
          <cell r="AE163" t="str">
            <v>4/27: off, 4/26: wait report to refer fiber from client, no need test for fabric, 4/24: wait extra+ LOG, 4/20: wait extra and confirm for same or not, wait report or LOG</v>
          </cell>
          <cell r="AF163" t="str">
            <v>BRIDGER UPHOLSTERY CO LTD</v>
          </cell>
          <cell r="AG163" t="str">
            <v>BURROW INC</v>
          </cell>
          <cell r="AH163" t="str">
            <v>REGULAR</v>
          </cell>
          <cell r="AI163">
            <v>45028</v>
          </cell>
          <cell r="AJ163">
            <v>45049</v>
          </cell>
          <cell r="AK163">
            <v>45050</v>
          </cell>
          <cell r="AL163">
            <v>45055</v>
          </cell>
          <cell r="AM163">
            <v>45055</v>
          </cell>
          <cell r="AN163"/>
          <cell r="AO163">
            <v>45056</v>
          </cell>
          <cell r="AP163" t="str">
            <v>MUST</v>
          </cell>
        </row>
        <row r="164">
          <cell r="A164">
            <v>96231020579</v>
          </cell>
          <cell r="B164" t="str">
            <v>JP-AS</v>
          </cell>
          <cell r="C164" t="str">
            <v>pend-doc</v>
          </cell>
          <cell r="D164">
            <v>0</v>
          </cell>
          <cell r="E164" t="str">
            <v>TAN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 t="str">
            <v>H</v>
          </cell>
          <cell r="K164">
            <v>0</v>
          </cell>
          <cell r="L164" t="str">
            <v>J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2</v>
          </cell>
          <cell r="AB164" t="str">
            <v>H, J, Q, V</v>
          </cell>
          <cell r="AC164">
            <v>0</v>
          </cell>
          <cell r="AD164" t="str">
            <v>YES</v>
          </cell>
          <cell r="AE164" t="str">
            <v xml:space="preserve">5/3, 4/22: pend extra sample </v>
          </cell>
          <cell r="AF164" t="str">
            <v>MILLION DOLLAR BABY</v>
          </cell>
          <cell r="AG164" t="str">
            <v>MILLION DOLLAR BABY</v>
          </cell>
          <cell r="AH164" t="str">
            <v>REGULAR</v>
          </cell>
          <cell r="AI164">
            <v>45029</v>
          </cell>
          <cell r="AJ164">
            <v>45049</v>
          </cell>
          <cell r="AK164">
            <v>45054</v>
          </cell>
          <cell r="AL164">
            <v>45058</v>
          </cell>
          <cell r="AM164">
            <v>45058</v>
          </cell>
          <cell r="AN164"/>
          <cell r="AO164">
            <v>45059</v>
          </cell>
          <cell r="AP164" t="str">
            <v>OFF HOLD</v>
          </cell>
        </row>
        <row r="165">
          <cell r="A165">
            <v>96231020580</v>
          </cell>
          <cell r="B165" t="str">
            <v>JP-AS-RF SP 96231020579</v>
          </cell>
          <cell r="C165" t="str">
            <v>pen-doc</v>
          </cell>
          <cell r="D165">
            <v>0</v>
          </cell>
          <cell r="E165" t="str">
            <v>TAN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 t="str">
            <v>J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1</v>
          </cell>
          <cell r="AB165" t="str">
            <v>J, Q</v>
          </cell>
          <cell r="AC165">
            <v>0</v>
          </cell>
          <cell r="AD165" t="str">
            <v>YES</v>
          </cell>
          <cell r="AE165" t="str">
            <v xml:space="preserve">5/3, 4/22: pend extra sample </v>
          </cell>
          <cell r="AF165" t="str">
            <v>MILLION DOLLAR BABY</v>
          </cell>
          <cell r="AG165" t="str">
            <v>MILLION DOLLAR BABY</v>
          </cell>
          <cell r="AH165" t="str">
            <v>REGULAR</v>
          </cell>
          <cell r="AI165">
            <v>45029</v>
          </cell>
          <cell r="AJ165">
            <v>45050</v>
          </cell>
          <cell r="AK165">
            <v>45054</v>
          </cell>
          <cell r="AL165">
            <v>45058</v>
          </cell>
          <cell r="AM165">
            <v>45058</v>
          </cell>
          <cell r="AN165"/>
          <cell r="AO165">
            <v>45059</v>
          </cell>
          <cell r="AP165" t="str">
            <v>OFF HOLD</v>
          </cell>
        </row>
        <row r="166">
          <cell r="A166">
            <v>96231020588</v>
          </cell>
          <cell r="B166" t="str">
            <v>JP-AS</v>
          </cell>
          <cell r="C166" t="str">
            <v>pend-sample</v>
          </cell>
          <cell r="D166">
            <v>0</v>
          </cell>
          <cell r="E166" t="str">
            <v>TAN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 t="str">
            <v>H</v>
          </cell>
          <cell r="K166">
            <v>0</v>
          </cell>
          <cell r="L166" t="str">
            <v>J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2</v>
          </cell>
          <cell r="AB166" t="str">
            <v>H, J, Q, V</v>
          </cell>
          <cell r="AC166" t="str">
            <v>x</v>
          </cell>
          <cell r="AD166" t="str">
            <v>YES</v>
          </cell>
          <cell r="AE166" t="str">
            <v>5/3: pushed, 4/22: CSE</v>
          </cell>
          <cell r="AF166" t="str">
            <v>MILLION DOLLAR BABY</v>
          </cell>
          <cell r="AG166" t="str">
            <v>MILLION DOLLAR BABY</v>
          </cell>
          <cell r="AH166" t="str">
            <v>REGULAR</v>
          </cell>
          <cell r="AI166">
            <v>45029</v>
          </cell>
          <cell r="AJ166">
            <v>45049</v>
          </cell>
          <cell r="AK166">
            <v>45044</v>
          </cell>
          <cell r="AL166">
            <v>45054</v>
          </cell>
          <cell r="AM166">
            <v>45054</v>
          </cell>
          <cell r="AN166"/>
          <cell r="AO166">
            <v>45055</v>
          </cell>
          <cell r="AP166" t="str">
            <v>ON HOLD</v>
          </cell>
        </row>
        <row r="167">
          <cell r="A167">
            <v>96231020590</v>
          </cell>
          <cell r="B167" t="str">
            <v>JP-AS-RF SP 96231020588</v>
          </cell>
          <cell r="C167" t="str">
            <v>pend-sample</v>
          </cell>
          <cell r="D167">
            <v>0</v>
          </cell>
          <cell r="E167" t="str">
            <v>TAN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 t="str">
            <v>J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 t="str">
            <v>Q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2</v>
          </cell>
          <cell r="AB167" t="str">
            <v>J, Q</v>
          </cell>
          <cell r="AC167" t="str">
            <v>x</v>
          </cell>
          <cell r="AD167" t="str">
            <v>YES</v>
          </cell>
          <cell r="AE167" t="str">
            <v>5/3: pushed, 4/22: CSE</v>
          </cell>
          <cell r="AF167" t="str">
            <v>MILLION DOLLAR BABY</v>
          </cell>
          <cell r="AG167" t="str">
            <v>MILLION DOLLAR BABY</v>
          </cell>
          <cell r="AH167" t="str">
            <v>REGULAR</v>
          </cell>
          <cell r="AI167">
            <v>45029</v>
          </cell>
          <cell r="AJ167">
            <v>45049</v>
          </cell>
          <cell r="AK167">
            <v>45044</v>
          </cell>
          <cell r="AL167">
            <v>45054</v>
          </cell>
          <cell r="AM167">
            <v>45054</v>
          </cell>
          <cell r="AN167"/>
          <cell r="AO167">
            <v>45055</v>
          </cell>
          <cell r="AP167" t="str">
            <v>ON HOLD</v>
          </cell>
        </row>
        <row r="168">
          <cell r="A168">
            <v>96231020606</v>
          </cell>
          <cell r="B168" t="str">
            <v>EE-QTY-LYNN</v>
          </cell>
          <cell r="C168">
            <v>0</v>
          </cell>
          <cell r="D168">
            <v>0</v>
          </cell>
          <cell r="E168" t="str">
            <v>LYNN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EE REPORT</v>
          </cell>
          <cell r="AC168">
            <v>0</v>
          </cell>
          <cell r="AD168">
            <v>0</v>
          </cell>
          <cell r="AE168">
            <v>0</v>
          </cell>
          <cell r="AF168" t="str">
            <v>GPI INTERNATIONAL LTD</v>
          </cell>
          <cell r="AG168" t="str">
            <v>AMAZON.COM SERVICES LLC (HPB)</v>
          </cell>
          <cell r="AH168" t="str">
            <v>REGULAR</v>
          </cell>
          <cell r="AI168">
            <v>45029</v>
          </cell>
          <cell r="AJ168"/>
          <cell r="AK168"/>
          <cell r="AL168">
            <v>45028</v>
          </cell>
          <cell r="AM168">
            <v>45028</v>
          </cell>
          <cell r="AN168"/>
          <cell r="AO168">
            <v>45028</v>
          </cell>
          <cell r="AP168" t="str">
            <v>NAY</v>
          </cell>
        </row>
        <row r="169">
          <cell r="A169">
            <v>96231030199</v>
          </cell>
          <cell r="B169" t="str">
            <v>TY</v>
          </cell>
          <cell r="C169" t="str">
            <v>0415: pend CS-doc</v>
          </cell>
          <cell r="D169">
            <v>0</v>
          </cell>
          <cell r="E169" t="str">
            <v>ELV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T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 t="str">
            <v>L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2</v>
          </cell>
          <cell r="AB169" t="str">
            <v>T, W, F, L, A, Q, V</v>
          </cell>
          <cell r="AC169">
            <v>0</v>
          </cell>
          <cell r="AD169" t="str">
            <v>YES</v>
          </cell>
          <cell r="AE169" t="str">
            <v xml:space="preserve">0419: Wait PI confirm </v>
          </cell>
          <cell r="AF169" t="str">
            <v>DREAM INTERNATIONAL LIMITED</v>
          </cell>
          <cell r="AG169" t="str">
            <v>EURO DISNEY ASSOCIES S.A.S</v>
          </cell>
          <cell r="AH169" t="str">
            <v>REGULAR</v>
          </cell>
          <cell r="AI169">
            <v>45029</v>
          </cell>
          <cell r="AJ169">
            <v>45031</v>
          </cell>
          <cell r="AK169"/>
          <cell r="AL169">
            <v>45035</v>
          </cell>
          <cell r="AM169">
            <v>45035</v>
          </cell>
          <cell r="AN169">
            <v>45036</v>
          </cell>
          <cell r="AO169">
            <v>45035</v>
          </cell>
          <cell r="AP169" t="str">
            <v>ON HOLD</v>
          </cell>
        </row>
        <row r="170">
          <cell r="A170">
            <v>96231030213</v>
          </cell>
          <cell r="B170" t="str">
            <v>TY</v>
          </cell>
          <cell r="C170" t="str">
            <v>0415: pend CS-doc</v>
          </cell>
          <cell r="D170">
            <v>0</v>
          </cell>
          <cell r="E170" t="str">
            <v>ELV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T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 t="str">
            <v>L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2</v>
          </cell>
          <cell r="AB170" t="str">
            <v>T, W, F, L, A, Q, V</v>
          </cell>
          <cell r="AC170" t="str">
            <v>x</v>
          </cell>
          <cell r="AD170" t="str">
            <v>YES</v>
          </cell>
          <cell r="AE170" t="str">
            <v xml:space="preserve">0419: Wait PI confirm </v>
          </cell>
          <cell r="AF170" t="str">
            <v>DREAM INTERNATIONAL LIMITED</v>
          </cell>
          <cell r="AG170" t="str">
            <v>EURO DISNEY ASSOCIES S.A.S</v>
          </cell>
          <cell r="AH170" t="str">
            <v>REGULAR</v>
          </cell>
          <cell r="AI170">
            <v>45029</v>
          </cell>
          <cell r="AJ170">
            <v>45049</v>
          </cell>
          <cell r="AK170">
            <v>45044</v>
          </cell>
          <cell r="AL170">
            <v>45055</v>
          </cell>
          <cell r="AM170">
            <v>45055</v>
          </cell>
          <cell r="AN170"/>
          <cell r="AO170">
            <v>45056</v>
          </cell>
          <cell r="AP170" t="str">
            <v>ON HOLD</v>
          </cell>
        </row>
        <row r="171">
          <cell r="A171">
            <v>96231030228</v>
          </cell>
          <cell r="B171" t="str">
            <v>TY</v>
          </cell>
          <cell r="C171" t="str">
            <v>0415: pend CS-doc</v>
          </cell>
          <cell r="D171">
            <v>0</v>
          </cell>
          <cell r="E171" t="str">
            <v>ELV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T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 t="str">
            <v>L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2</v>
          </cell>
          <cell r="AB171" t="str">
            <v>T, W, F, L, A, Q, V</v>
          </cell>
          <cell r="AC171">
            <v>0</v>
          </cell>
          <cell r="AD171" t="str">
            <v>YES</v>
          </cell>
          <cell r="AE171" t="str">
            <v>4/19 Confirmed PI</v>
          </cell>
          <cell r="AF171" t="str">
            <v>DREAM INTERNATIONAL LIMITED</v>
          </cell>
          <cell r="AG171" t="str">
            <v>EURO DISNEY ASSOCIES S.A.S</v>
          </cell>
          <cell r="AH171" t="str">
            <v>REGULAR</v>
          </cell>
          <cell r="AI171">
            <v>45029</v>
          </cell>
          <cell r="AJ171">
            <v>45049</v>
          </cell>
          <cell r="AK171">
            <v>45035</v>
          </cell>
          <cell r="AL171">
            <v>45041</v>
          </cell>
          <cell r="AM171">
            <v>45041</v>
          </cell>
          <cell r="AN171"/>
          <cell r="AO171">
            <v>45042</v>
          </cell>
          <cell r="AP171" t="str">
            <v>ON HOLD</v>
          </cell>
        </row>
        <row r="172">
          <cell r="A172">
            <v>96231030236</v>
          </cell>
          <cell r="B172" t="str">
            <v>TY</v>
          </cell>
          <cell r="C172" t="str">
            <v>0415: pend CS-doc</v>
          </cell>
          <cell r="D172">
            <v>0</v>
          </cell>
          <cell r="E172" t="str">
            <v>ELV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T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 t="str">
            <v>L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2</v>
          </cell>
          <cell r="AB172" t="str">
            <v>T, W, F, L, A, Q, V</v>
          </cell>
          <cell r="AC172" t="str">
            <v>x</v>
          </cell>
          <cell r="AD172" t="str">
            <v>YES</v>
          </cell>
          <cell r="AE172" t="str">
            <v xml:space="preserve">0419: Wait PI confirm </v>
          </cell>
          <cell r="AF172" t="str">
            <v>DREAM INTERNATIONAL LIMITED</v>
          </cell>
          <cell r="AG172" t="str">
            <v>EURO DISNEY ASSOCIES S.A.S</v>
          </cell>
          <cell r="AH172" t="str">
            <v>REGULAR</v>
          </cell>
          <cell r="AI172">
            <v>45029</v>
          </cell>
          <cell r="AJ172">
            <v>45049</v>
          </cell>
          <cell r="AK172">
            <v>45044</v>
          </cell>
          <cell r="AL172">
            <v>45055</v>
          </cell>
          <cell r="AM172">
            <v>45055</v>
          </cell>
          <cell r="AN172"/>
          <cell r="AO172">
            <v>45056</v>
          </cell>
          <cell r="AP172" t="str">
            <v>ON HOLD</v>
          </cell>
        </row>
        <row r="173">
          <cell r="A173">
            <v>96231040276</v>
          </cell>
          <cell r="B173" t="str">
            <v>CD</v>
          </cell>
          <cell r="C173">
            <v>0</v>
          </cell>
          <cell r="D173">
            <v>0</v>
          </cell>
          <cell r="E173" t="str">
            <v>VAN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 t="str">
            <v>H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1</v>
          </cell>
          <cell r="AB173" t="str">
            <v>H</v>
          </cell>
          <cell r="AC173">
            <v>0</v>
          </cell>
          <cell r="AD173">
            <v>0</v>
          </cell>
          <cell r="AE173">
            <v>0</v>
          </cell>
          <cell r="AF173" t="str">
            <v>RADIANT INDUSTRIAL LTD</v>
          </cell>
          <cell r="AG173" t="str">
            <v>RADIANT INDUSTRIAL LTD</v>
          </cell>
          <cell r="AH173" t="str">
            <v>REGULAR</v>
          </cell>
          <cell r="AI173">
            <v>45030</v>
          </cell>
          <cell r="AJ173"/>
          <cell r="AK173"/>
          <cell r="AL173">
            <v>45073</v>
          </cell>
          <cell r="AM173">
            <v>45073</v>
          </cell>
          <cell r="AN173"/>
          <cell r="AO173">
            <v>45075</v>
          </cell>
          <cell r="AP173" t="str">
            <v>ACTIVE</v>
          </cell>
        </row>
        <row r="174">
          <cell r="A174">
            <v>96231040361</v>
          </cell>
          <cell r="B174" t="str">
            <v>EU</v>
          </cell>
          <cell r="C174">
            <v>0</v>
          </cell>
          <cell r="D174">
            <v>0</v>
          </cell>
          <cell r="E174" t="str">
            <v>FLO</v>
          </cell>
          <cell r="F174">
            <v>0</v>
          </cell>
          <cell r="G174">
            <v>0</v>
          </cell>
          <cell r="H174" t="str">
            <v>E</v>
          </cell>
          <cell r="I174">
            <v>0</v>
          </cell>
          <cell r="J174" t="str">
            <v>H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 t="str">
            <v>Q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3</v>
          </cell>
          <cell r="AB174" t="str">
            <v>H, E, Q</v>
          </cell>
          <cell r="AC174">
            <v>0</v>
          </cell>
          <cell r="AD174" t="str">
            <v>YES</v>
          </cell>
          <cell r="AE174" t="str">
            <v>04/28: PI confirmed</v>
          </cell>
          <cell r="AF174" t="str">
            <v>VIETNAM HOUSEWARES CORPORATION</v>
          </cell>
          <cell r="AG174" t="str">
            <v>VIETNAM HOUSEWARES CORPORATION</v>
          </cell>
          <cell r="AH174" t="str">
            <v>REGULAR</v>
          </cell>
          <cell r="AI174">
            <v>45030</v>
          </cell>
          <cell r="AJ174">
            <v>45042</v>
          </cell>
          <cell r="AK174">
            <v>45044</v>
          </cell>
          <cell r="AL174">
            <v>45058</v>
          </cell>
          <cell r="AM174">
            <v>45058</v>
          </cell>
          <cell r="AN174"/>
          <cell r="AO174">
            <v>45059</v>
          </cell>
          <cell r="AP174" t="str">
            <v>OFF HOLD</v>
          </cell>
        </row>
        <row r="175">
          <cell r="A175">
            <v>96231040362</v>
          </cell>
          <cell r="B175" t="str">
            <v>EU</v>
          </cell>
          <cell r="C175">
            <v>0</v>
          </cell>
          <cell r="D175">
            <v>0</v>
          </cell>
          <cell r="E175" t="str">
            <v>FLO</v>
          </cell>
          <cell r="F175">
            <v>0</v>
          </cell>
          <cell r="G175">
            <v>0</v>
          </cell>
          <cell r="H175" t="str">
            <v>E</v>
          </cell>
          <cell r="I175">
            <v>0</v>
          </cell>
          <cell r="J175" t="str">
            <v>H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 t="str">
            <v>Q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3</v>
          </cell>
          <cell r="AB175" t="str">
            <v>H, E, Q</v>
          </cell>
          <cell r="AC175">
            <v>0</v>
          </cell>
          <cell r="AD175" t="str">
            <v>YES</v>
          </cell>
          <cell r="AE175" t="str">
            <v>04/28: PI confirmed</v>
          </cell>
          <cell r="AF175" t="str">
            <v>VIETNAM HOUSEWARES CORPORATION</v>
          </cell>
          <cell r="AG175" t="str">
            <v>VIETNAM HOUSEWARES CORPORATION</v>
          </cell>
          <cell r="AH175" t="str">
            <v>REGULAR</v>
          </cell>
          <cell r="AI175">
            <v>45030</v>
          </cell>
          <cell r="AJ175">
            <v>45042</v>
          </cell>
          <cell r="AK175">
            <v>45044</v>
          </cell>
          <cell r="AL175">
            <v>45058</v>
          </cell>
          <cell r="AM175">
            <v>45058</v>
          </cell>
          <cell r="AN175"/>
          <cell r="AO175">
            <v>45059</v>
          </cell>
          <cell r="AP175" t="str">
            <v>OFF HOLD</v>
          </cell>
        </row>
        <row r="176">
          <cell r="A176">
            <v>96231040364</v>
          </cell>
          <cell r="B176" t="str">
            <v>EU</v>
          </cell>
          <cell r="C176">
            <v>0</v>
          </cell>
          <cell r="D176">
            <v>0</v>
          </cell>
          <cell r="E176" t="str">
            <v>FLO</v>
          </cell>
          <cell r="F176">
            <v>0</v>
          </cell>
          <cell r="G176">
            <v>0</v>
          </cell>
          <cell r="H176" t="str">
            <v>E</v>
          </cell>
          <cell r="I176">
            <v>0</v>
          </cell>
          <cell r="J176" t="str">
            <v>H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2</v>
          </cell>
          <cell r="AB176" t="str">
            <v>H, E</v>
          </cell>
          <cell r="AC176">
            <v>0</v>
          </cell>
          <cell r="AD176" t="str">
            <v>YES</v>
          </cell>
          <cell r="AE176" t="str">
            <v>0509-04/28: PI confirmed</v>
          </cell>
          <cell r="AF176" t="str">
            <v>VIETNAM HOUSEWARES CORPORATION</v>
          </cell>
          <cell r="AG176" t="str">
            <v>VIETNAM HOUSEWARES CORPORATION</v>
          </cell>
          <cell r="AH176" t="str">
            <v>REGULAR</v>
          </cell>
          <cell r="AI176">
            <v>45030</v>
          </cell>
          <cell r="AJ176">
            <v>45042</v>
          </cell>
          <cell r="AK176">
            <v>45044</v>
          </cell>
          <cell r="AL176">
            <v>45054</v>
          </cell>
          <cell r="AM176">
            <v>45054</v>
          </cell>
          <cell r="AN176"/>
          <cell r="AO176">
            <v>45055</v>
          </cell>
          <cell r="AP176" t="str">
            <v>DUE</v>
          </cell>
        </row>
        <row r="177">
          <cell r="A177">
            <v>96231040368</v>
          </cell>
          <cell r="B177" t="str">
            <v>EU</v>
          </cell>
          <cell r="C177">
            <v>0</v>
          </cell>
          <cell r="D177">
            <v>0</v>
          </cell>
          <cell r="E177" t="str">
            <v>FLO</v>
          </cell>
          <cell r="F177">
            <v>0</v>
          </cell>
          <cell r="G177">
            <v>0</v>
          </cell>
          <cell r="H177" t="str">
            <v>E</v>
          </cell>
          <cell r="I177">
            <v>0</v>
          </cell>
          <cell r="J177" t="str">
            <v>H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 t="str">
            <v>Q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3</v>
          </cell>
          <cell r="AB177" t="str">
            <v>H, E, Q</v>
          </cell>
          <cell r="AC177">
            <v>0</v>
          </cell>
          <cell r="AD177" t="str">
            <v>YES</v>
          </cell>
          <cell r="AE177" t="str">
            <v>04/28: PI confirmed</v>
          </cell>
          <cell r="AF177" t="str">
            <v>VIETNAM HOUSEWARES CORPORATION</v>
          </cell>
          <cell r="AG177" t="str">
            <v>VIETNAM HOUSEWARES CORPORATION</v>
          </cell>
          <cell r="AH177" t="str">
            <v>REGULAR</v>
          </cell>
          <cell r="AI177">
            <v>45030</v>
          </cell>
          <cell r="AJ177">
            <v>45042</v>
          </cell>
          <cell r="AK177">
            <v>45044</v>
          </cell>
          <cell r="AL177">
            <v>45058</v>
          </cell>
          <cell r="AM177">
            <v>45058</v>
          </cell>
          <cell r="AN177"/>
          <cell r="AO177">
            <v>45059</v>
          </cell>
          <cell r="AP177" t="str">
            <v>OFF HOLD</v>
          </cell>
        </row>
        <row r="178">
          <cell r="A178">
            <v>96231040369</v>
          </cell>
          <cell r="B178" t="str">
            <v>US1-AS</v>
          </cell>
          <cell r="C178">
            <v>0</v>
          </cell>
          <cell r="D178">
            <v>0</v>
          </cell>
          <cell r="E178" t="str">
            <v>MIN</v>
          </cell>
          <cell r="F178">
            <v>0</v>
          </cell>
          <cell r="G178" t="str">
            <v>R</v>
          </cell>
          <cell r="H178">
            <v>0</v>
          </cell>
          <cell r="I178">
            <v>0</v>
          </cell>
          <cell r="J178" t="str">
            <v>H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 t="str">
            <v>P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 t="str">
            <v>Q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4</v>
          </cell>
          <cell r="AB178" t="str">
            <v>H, R, P, F, Q</v>
          </cell>
          <cell r="AC178">
            <v>0</v>
          </cell>
          <cell r="AD178" t="str">
            <v>YES</v>
          </cell>
          <cell r="AE178" t="str">
            <v>0505: provide docs - 0429: pend docs -- 0425: receive replace sample - 0424: CSE HL - 0420: ask docs, report refer AN</v>
          </cell>
          <cell r="AF178" t="str">
            <v>DOREL HOME FURNISHINGS INC (US)</v>
          </cell>
          <cell r="AG178" t="str">
            <v>DOREL HOME FURNISHINGS INC (US)</v>
          </cell>
          <cell r="AH178" t="str">
            <v>REGULAR</v>
          </cell>
          <cell r="AI178">
            <v>45030</v>
          </cell>
          <cell r="AJ178">
            <v>45049</v>
          </cell>
          <cell r="AK178">
            <v>45051</v>
          </cell>
          <cell r="AL178">
            <v>45056</v>
          </cell>
          <cell r="AM178">
            <v>45056</v>
          </cell>
          <cell r="AN178"/>
          <cell r="AO178">
            <v>45057</v>
          </cell>
          <cell r="AP178" t="str">
            <v>OFF HOLD</v>
          </cell>
        </row>
        <row r="179">
          <cell r="A179">
            <v>96231040595</v>
          </cell>
          <cell r="B179" t="str">
            <v>CD</v>
          </cell>
          <cell r="C179">
            <v>0</v>
          </cell>
          <cell r="D179">
            <v>0</v>
          </cell>
          <cell r="E179" t="str">
            <v>ELV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 t="str">
            <v>H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 t="str">
            <v>Q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2</v>
          </cell>
          <cell r="AB179" t="str">
            <v>H, Q, V</v>
          </cell>
          <cell r="AC179" t="str">
            <v>x</v>
          </cell>
          <cell r="AD179">
            <v>0</v>
          </cell>
          <cell r="AE179" t="str">
            <v xml:space="preserve">0428: Push vendor again   </v>
          </cell>
          <cell r="AF179" t="str">
            <v>HOANG MY POTTERS LTD</v>
          </cell>
          <cell r="AG179" t="str">
            <v>WILLIAMS-SONOMA INC</v>
          </cell>
          <cell r="AH179" t="str">
            <v>REGULAR</v>
          </cell>
          <cell r="AI179">
            <v>45030</v>
          </cell>
          <cell r="AJ179">
            <v>45049</v>
          </cell>
          <cell r="AK179">
            <v>45044</v>
          </cell>
          <cell r="AL179">
            <v>45054</v>
          </cell>
          <cell r="AM179">
            <v>45054</v>
          </cell>
          <cell r="AN179"/>
          <cell r="AO179">
            <v>45055</v>
          </cell>
          <cell r="AP179" t="str">
            <v>ON HOLD</v>
          </cell>
        </row>
        <row r="180">
          <cell r="A180">
            <v>96231040668</v>
          </cell>
          <cell r="B180" t="str">
            <v>JP-SAMPLE TEST BV MALAY</v>
          </cell>
          <cell r="C180">
            <v>0</v>
          </cell>
          <cell r="D180">
            <v>0</v>
          </cell>
          <cell r="E180" t="str">
            <v>VAN/SHE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 t="str">
            <v>H</v>
          </cell>
          <cell r="K180">
            <v>0</v>
          </cell>
          <cell r="L180" t="str">
            <v>J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 t="str">
            <v>Q</v>
          </cell>
          <cell r="W180">
            <v>0</v>
          </cell>
          <cell r="X180">
            <v>0</v>
          </cell>
          <cell r="Z180">
            <v>0</v>
          </cell>
          <cell r="AA180">
            <v>3</v>
          </cell>
          <cell r="AB180" t="str">
            <v>H, J, Q</v>
          </cell>
          <cell r="AC180">
            <v>0</v>
          </cell>
          <cell r="AD180" t="str">
            <v>YES</v>
          </cell>
          <cell r="AE180" t="str">
            <v>4/17: OFF, 4/15: WAIT TEST REQUEST</v>
          </cell>
          <cell r="AF180" t="str">
            <v>ELEMENTS INTERNATIONAL GROUP LLC</v>
          </cell>
          <cell r="AG180" t="str">
            <v>ELEMENTS INTERNATIONAL GROUP LLC</v>
          </cell>
          <cell r="AH180" t="str">
            <v>REGULAR</v>
          </cell>
          <cell r="AI180">
            <v>45031</v>
          </cell>
          <cell r="AJ180">
            <v>45038</v>
          </cell>
          <cell r="AK180">
            <v>45044</v>
          </cell>
          <cell r="AL180">
            <v>45054</v>
          </cell>
          <cell r="AM180">
            <v>45054</v>
          </cell>
          <cell r="AN180">
            <v>45054</v>
          </cell>
          <cell r="AO180">
            <v>45055</v>
          </cell>
          <cell r="AP180" t="str">
            <v>DUE</v>
          </cell>
        </row>
        <row r="181">
          <cell r="A181">
            <v>96231050005</v>
          </cell>
          <cell r="B181" t="str">
            <v>US1-AS-TRANSFER 96231030198</v>
          </cell>
          <cell r="C181">
            <v>0</v>
          </cell>
          <cell r="D181">
            <v>0</v>
          </cell>
          <cell r="E181" t="str">
            <v>MIN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 t="str">
            <v>H</v>
          </cell>
          <cell r="K181">
            <v>0</v>
          </cell>
          <cell r="L181">
            <v>0</v>
          </cell>
          <cell r="M181">
            <v>0</v>
          </cell>
          <cell r="N181">
            <v>4</v>
          </cell>
          <cell r="O181" t="str">
            <v>P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3</v>
          </cell>
          <cell r="AB181" t="str">
            <v>H, 4, A, L, M, Q, V, F, P</v>
          </cell>
          <cell r="AC181">
            <v>0</v>
          </cell>
          <cell r="AD181" t="str">
            <v>YES</v>
          </cell>
          <cell r="AE181" t="str">
            <v>0428: extra sample by 05/04, pend docs - 0422: pend docs, extra zipper head</v>
          </cell>
          <cell r="AF181" t="str">
            <v>LIVING STYLE (SINGAPORE) PTE LIMITED</v>
          </cell>
          <cell r="AG181" t="str">
            <v>COSTCO PRE-PRODUCTION</v>
          </cell>
          <cell r="AH181" t="str">
            <v>REGULAR</v>
          </cell>
          <cell r="AI181">
            <v>45031</v>
          </cell>
          <cell r="AJ181">
            <v>45049</v>
          </cell>
          <cell r="AK181">
            <v>45044</v>
          </cell>
          <cell r="AL181">
            <v>45057</v>
          </cell>
          <cell r="AM181">
            <v>45057</v>
          </cell>
          <cell r="AN181"/>
          <cell r="AO181">
            <v>45058</v>
          </cell>
          <cell r="AP181" t="str">
            <v>ON HOLD</v>
          </cell>
        </row>
        <row r="182">
          <cell r="A182">
            <v>96231050030</v>
          </cell>
          <cell r="B182" t="str">
            <v>US2</v>
          </cell>
          <cell r="C182">
            <v>0</v>
          </cell>
          <cell r="D182">
            <v>0</v>
          </cell>
          <cell r="E182" t="str">
            <v>SHE</v>
          </cell>
          <cell r="F182" t="str">
            <v>FIRST MAKING 0508-AN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 t="str">
            <v>V</v>
          </cell>
          <cell r="X182">
            <v>0</v>
          </cell>
          <cell r="Y182">
            <v>0</v>
          </cell>
          <cell r="Z182">
            <v>0</v>
          </cell>
          <cell r="AA182">
            <v>1</v>
          </cell>
          <cell r="AB182" t="str">
            <v>R, V</v>
          </cell>
          <cell r="AC182" t="str">
            <v>x</v>
          </cell>
          <cell r="AD182">
            <v>0</v>
          </cell>
          <cell r="AE182" t="str">
            <v>5/4: off, 0427: Push again; 4/20: wait advise chemical list, 4/20: off, 4/18: wait  confirm PI</v>
          </cell>
          <cell r="AF182" t="str">
            <v>DUC THANH CO LTD</v>
          </cell>
          <cell r="AG182" t="str">
            <v>DUC THANH CO LTD</v>
          </cell>
          <cell r="AH182" t="str">
            <v>REGULAR</v>
          </cell>
          <cell r="AI182">
            <v>45031</v>
          </cell>
          <cell r="AJ182">
            <v>45049</v>
          </cell>
          <cell r="AK182">
            <v>45050</v>
          </cell>
          <cell r="AL182">
            <v>45055</v>
          </cell>
          <cell r="AM182">
            <v>45055</v>
          </cell>
          <cell r="AN182"/>
          <cell r="AO182">
            <v>45056</v>
          </cell>
          <cell r="AP182" t="str">
            <v>MUST</v>
          </cell>
        </row>
        <row r="183">
          <cell r="A183">
            <v>96231050173</v>
          </cell>
          <cell r="B183" t="str">
            <v>EE-QTY-LYNN</v>
          </cell>
          <cell r="C183">
            <v>0</v>
          </cell>
          <cell r="D183">
            <v>0</v>
          </cell>
          <cell r="E183" t="str">
            <v>LYNN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EE REPORT</v>
          </cell>
          <cell r="AC183">
            <v>0</v>
          </cell>
          <cell r="AD183">
            <v>0</v>
          </cell>
          <cell r="AE183">
            <v>0</v>
          </cell>
          <cell r="AF183" t="str">
            <v>BONSEN ELECTRONICS LTD</v>
          </cell>
          <cell r="AG183" t="str">
            <v>AMAZON.COM SERVICES LLC (HPB)</v>
          </cell>
          <cell r="AH183" t="str">
            <v>REGULAR</v>
          </cell>
          <cell r="AI183">
            <v>45031</v>
          </cell>
          <cell r="AJ183"/>
          <cell r="AK183"/>
          <cell r="AL183">
            <v>45031</v>
          </cell>
          <cell r="AM183">
            <v>45031</v>
          </cell>
          <cell r="AN183"/>
          <cell r="AO183">
            <v>45031</v>
          </cell>
          <cell r="AP183" t="str">
            <v>NAY</v>
          </cell>
        </row>
        <row r="184">
          <cell r="A184">
            <v>96231050180</v>
          </cell>
          <cell r="B184" t="str">
            <v>EE-QTY-LYNN</v>
          </cell>
          <cell r="C184">
            <v>0</v>
          </cell>
          <cell r="D184">
            <v>0</v>
          </cell>
          <cell r="E184" t="str">
            <v>LYNN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EE REPORT</v>
          </cell>
          <cell r="AC184">
            <v>0</v>
          </cell>
          <cell r="AD184">
            <v>0</v>
          </cell>
          <cell r="AE184">
            <v>0</v>
          </cell>
          <cell r="AF184" t="str">
            <v>BONSEN ELECTRONICS LTD</v>
          </cell>
          <cell r="AG184" t="str">
            <v>AMAZON.COM SERVICES LLC (HPB)</v>
          </cell>
          <cell r="AH184" t="str">
            <v>REGULAR</v>
          </cell>
          <cell r="AI184">
            <v>45031</v>
          </cell>
          <cell r="AJ184"/>
          <cell r="AK184"/>
          <cell r="AL184">
            <v>45031</v>
          </cell>
          <cell r="AM184">
            <v>45031</v>
          </cell>
          <cell r="AN184"/>
          <cell r="AO184">
            <v>45031</v>
          </cell>
          <cell r="AP184" t="str">
            <v>NAY</v>
          </cell>
        </row>
        <row r="185">
          <cell r="A185">
            <v>96231050264</v>
          </cell>
          <cell r="B185" t="str">
            <v>US2</v>
          </cell>
          <cell r="C185">
            <v>0</v>
          </cell>
          <cell r="D185">
            <v>0</v>
          </cell>
          <cell r="E185" t="str">
            <v>SHE</v>
          </cell>
          <cell r="F185" t="str">
            <v>FIRST MAKING 0508-AN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 t="str">
            <v>V</v>
          </cell>
          <cell r="X185">
            <v>0</v>
          </cell>
          <cell r="Y185">
            <v>0</v>
          </cell>
          <cell r="Z185">
            <v>0</v>
          </cell>
          <cell r="AA185">
            <v>1</v>
          </cell>
          <cell r="AB185" t="str">
            <v>R, V</v>
          </cell>
          <cell r="AC185" t="str">
            <v>x</v>
          </cell>
          <cell r="AD185">
            <v>0</v>
          </cell>
          <cell r="AE185" t="str">
            <v>5/4: off, 0427: Push again; 4/20: wait advise chemical list, 4/20: off, 4/18: wait  confirm PI</v>
          </cell>
          <cell r="AF185" t="str">
            <v>DUC THANH CO LTD</v>
          </cell>
          <cell r="AG185" t="str">
            <v>DUC THANH CO LTD</v>
          </cell>
          <cell r="AH185" t="str">
            <v>REGULAR</v>
          </cell>
          <cell r="AI185">
            <v>45031</v>
          </cell>
          <cell r="AJ185">
            <v>45049</v>
          </cell>
          <cell r="AK185">
            <v>45050</v>
          </cell>
          <cell r="AL185">
            <v>45055</v>
          </cell>
          <cell r="AM185">
            <v>45055</v>
          </cell>
          <cell r="AN185"/>
          <cell r="AO185">
            <v>45056</v>
          </cell>
          <cell r="AP185" t="str">
            <v>MUST</v>
          </cell>
        </row>
        <row r="186">
          <cell r="A186">
            <v>96231050265</v>
          </cell>
          <cell r="B186" t="str">
            <v>US1</v>
          </cell>
          <cell r="C186">
            <v>0</v>
          </cell>
          <cell r="D186" t="str">
            <v>NGHIA</v>
          </cell>
          <cell r="E186" t="str">
            <v>MIN</v>
          </cell>
          <cell r="F186" t="str">
            <v>DONE 0509
MAKING 0509</v>
          </cell>
          <cell r="H186">
            <v>0</v>
          </cell>
          <cell r="I186">
            <v>0</v>
          </cell>
          <cell r="K186">
            <v>0</v>
          </cell>
          <cell r="L186">
            <v>0</v>
          </cell>
          <cell r="M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H, R, 4.</v>
          </cell>
          <cell r="AC186">
            <v>0</v>
          </cell>
          <cell r="AD186">
            <v>0</v>
          </cell>
          <cell r="AE186" t="str">
            <v>0504: pend payemnt related to Long Viet</v>
          </cell>
          <cell r="AF186" t="str">
            <v>ABBYSON LIVING LLC</v>
          </cell>
          <cell r="AG186" t="str">
            <v>COSTCO WHOLESALE CORPORATION</v>
          </cell>
          <cell r="AH186" t="str">
            <v>REGULAR</v>
          </cell>
          <cell r="AI186">
            <v>45031</v>
          </cell>
          <cell r="AJ186">
            <v>45049</v>
          </cell>
          <cell r="AK186">
            <v>45054</v>
          </cell>
          <cell r="AL186">
            <v>45058</v>
          </cell>
          <cell r="AM186">
            <v>45058</v>
          </cell>
          <cell r="AN186"/>
          <cell r="AO186">
            <v>45059</v>
          </cell>
          <cell r="AP186" t="str">
            <v>OFF HOLD</v>
          </cell>
        </row>
        <row r="187">
          <cell r="A187">
            <v>96231050271</v>
          </cell>
          <cell r="B187" t="str">
            <v>US2</v>
          </cell>
          <cell r="C187">
            <v>0</v>
          </cell>
          <cell r="D187">
            <v>0</v>
          </cell>
          <cell r="E187" t="str">
            <v>VAN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 t="str">
            <v>H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 t="str">
            <v>Q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2</v>
          </cell>
          <cell r="AB187" t="str">
            <v>H, Q</v>
          </cell>
          <cell r="AC187" t="str">
            <v>X</v>
          </cell>
          <cell r="AD187">
            <v>0</v>
          </cell>
          <cell r="AE187" t="str">
            <v>4/27: extra samples for AN; 4/22: no CS pend</v>
          </cell>
          <cell r="AF187" t="str">
            <v>ESSENTIAL HOME FURNITURE COMPANY LIMITED</v>
          </cell>
          <cell r="AG187" t="str">
            <v>CINMAR-FRONTGATE</v>
          </cell>
          <cell r="AH187" t="str">
            <v>REGULAR</v>
          </cell>
          <cell r="AI187">
            <v>45031</v>
          </cell>
          <cell r="AJ187">
            <v>45049</v>
          </cell>
          <cell r="AK187">
            <v>45040</v>
          </cell>
          <cell r="AL187">
            <v>45044</v>
          </cell>
          <cell r="AM187">
            <v>45044</v>
          </cell>
          <cell r="AN187"/>
          <cell r="AO187">
            <v>45049</v>
          </cell>
          <cell r="AP187" t="str">
            <v>ON HOLD</v>
          </cell>
        </row>
        <row r="188">
          <cell r="A188">
            <v>96231050272</v>
          </cell>
          <cell r="B188" t="str">
            <v>US2</v>
          </cell>
          <cell r="C188">
            <v>0</v>
          </cell>
          <cell r="D188">
            <v>0</v>
          </cell>
          <cell r="E188" t="str">
            <v>VAN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 t="str">
            <v>H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1</v>
          </cell>
          <cell r="AB188" t="str">
            <v>H</v>
          </cell>
          <cell r="AC188" t="str">
            <v>x</v>
          </cell>
          <cell r="AD188">
            <v>0</v>
          </cell>
          <cell r="AE188" t="str">
            <v>4/22: waiting extra samples</v>
          </cell>
          <cell r="AF188" t="str">
            <v>ESSENTIAL HOME FURNITURE COMPANY LIMITED</v>
          </cell>
          <cell r="AG188" t="str">
            <v>CINMAR-FRONTGATE</v>
          </cell>
          <cell r="AH188" t="str">
            <v>REGULAR</v>
          </cell>
          <cell r="AI188">
            <v>45031</v>
          </cell>
          <cell r="AJ188">
            <v>45049</v>
          </cell>
          <cell r="AK188">
            <v>45044</v>
          </cell>
          <cell r="AL188">
            <v>45054</v>
          </cell>
          <cell r="AM188">
            <v>45054</v>
          </cell>
          <cell r="AN188"/>
          <cell r="AO188">
            <v>45055</v>
          </cell>
          <cell r="AP188" t="str">
            <v>ON HOLD</v>
          </cell>
        </row>
        <row r="189">
          <cell r="A189">
            <v>96231050273</v>
          </cell>
          <cell r="B189" t="str">
            <v>US2</v>
          </cell>
          <cell r="C189">
            <v>0</v>
          </cell>
          <cell r="D189">
            <v>0</v>
          </cell>
          <cell r="E189" t="str">
            <v>VAN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 t="str">
            <v>H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1</v>
          </cell>
          <cell r="AB189" t="str">
            <v>H, V</v>
          </cell>
          <cell r="AC189">
            <v>0</v>
          </cell>
          <cell r="AD189">
            <v>0</v>
          </cell>
          <cell r="AE189" t="str">
            <v>must issue on 5/8; 5/3: no CS pend; 4/22: waiting extra samples</v>
          </cell>
          <cell r="AF189" t="str">
            <v>ESSENTIAL HOME FURNITURE COMPANY LIMITED</v>
          </cell>
          <cell r="AG189" t="str">
            <v>CINMAR-FRONTGATE</v>
          </cell>
          <cell r="AH189" t="str">
            <v>REGULAR</v>
          </cell>
          <cell r="AI189">
            <v>45031</v>
          </cell>
          <cell r="AJ189">
            <v>45049</v>
          </cell>
          <cell r="AK189">
            <v>45049</v>
          </cell>
          <cell r="AL189">
            <v>45055</v>
          </cell>
          <cell r="AM189">
            <v>45055</v>
          </cell>
          <cell r="AN189"/>
          <cell r="AO189">
            <v>45056</v>
          </cell>
          <cell r="AP189" t="str">
            <v>LATECS</v>
          </cell>
        </row>
        <row r="190">
          <cell r="A190">
            <v>96231050343</v>
          </cell>
          <cell r="B190" t="str">
            <v>US1</v>
          </cell>
          <cell r="C190">
            <v>0</v>
          </cell>
          <cell r="D190">
            <v>0</v>
          </cell>
          <cell r="E190" t="str">
            <v>MIN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 t="str">
            <v>0509: clear payment - 0504: check account with CC - 0429-0420: pend overdue payment</v>
          </cell>
          <cell r="AF190" t="str">
            <v>SM GLOBAL LLC</v>
          </cell>
          <cell r="AG190" t="str">
            <v>COSTCO WHOLESALE CORPORATION</v>
          </cell>
          <cell r="AH190" t="str">
            <v>REGULAR</v>
          </cell>
          <cell r="AI190">
            <v>45031</v>
          </cell>
          <cell r="AJ190">
            <v>45049</v>
          </cell>
          <cell r="AK190">
            <v>45044</v>
          </cell>
          <cell r="AL190">
            <v>45044</v>
          </cell>
          <cell r="AM190">
            <v>45044</v>
          </cell>
          <cell r="AN190"/>
          <cell r="AO190">
            <v>45050</v>
          </cell>
          <cell r="AP190" t="str">
            <v>OFF HOLD</v>
          </cell>
        </row>
        <row r="191">
          <cell r="A191">
            <v>96231050473</v>
          </cell>
          <cell r="B191" t="str">
            <v>US2</v>
          </cell>
          <cell r="C191">
            <v>0</v>
          </cell>
          <cell r="D191">
            <v>0</v>
          </cell>
          <cell r="E191" t="str">
            <v>FLO</v>
          </cell>
          <cell r="F191" t="str">
            <v>FIRST MAKING 0505-SL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 t="str">
            <v>P</v>
          </cell>
          <cell r="P191">
            <v>0</v>
          </cell>
          <cell r="Q191" t="str">
            <v>F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2</v>
          </cell>
          <cell r="AB191" t="str">
            <v>P</v>
          </cell>
          <cell r="AC191" t="str">
            <v>x</v>
          </cell>
          <cell r="AD191">
            <v>0</v>
          </cell>
          <cell r="AE191" t="str">
            <v>05/04: no CS pending
04/28: clarify test</v>
          </cell>
          <cell r="AF191" t="str">
            <v>MASTER SOFA INTERNATIONAL CO LTD</v>
          </cell>
          <cell r="AG191" t="str">
            <v>MASTER SOFA INTERNATIONAL CO LTD</v>
          </cell>
          <cell r="AH191" t="str">
            <v>REGULAR</v>
          </cell>
          <cell r="AI191">
            <v>45033</v>
          </cell>
          <cell r="AJ191">
            <v>45049</v>
          </cell>
          <cell r="AK191">
            <v>45050</v>
          </cell>
          <cell r="AL191">
            <v>45055</v>
          </cell>
          <cell r="AM191">
            <v>45055</v>
          </cell>
          <cell r="AN191"/>
          <cell r="AO191">
            <v>45056</v>
          </cell>
          <cell r="AP191" t="str">
            <v>MUST</v>
          </cell>
        </row>
        <row r="192">
          <cell r="A192">
            <v>96231070003</v>
          </cell>
          <cell r="B192" t="str">
            <v>USD</v>
          </cell>
          <cell r="C192">
            <v>0</v>
          </cell>
          <cell r="D192" t="str">
            <v>van</v>
          </cell>
          <cell r="E192" t="str">
            <v>MIN</v>
          </cell>
          <cell r="F192" t="str">
            <v>on hold
MAKING 0426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H, Z</v>
          </cell>
          <cell r="AC192">
            <v>0</v>
          </cell>
          <cell r="AD192" t="str">
            <v>YES</v>
          </cell>
          <cell r="AE192" t="str">
            <v>0506: sent PI - 0504: check discount with BD - 0429: wait PI for prepayment Tai Seng- 0422: CSE, replace sample by Apr 26</v>
          </cell>
          <cell r="AF192" t="str">
            <v>OVE DECORS ULC</v>
          </cell>
          <cell r="AG192" t="str">
            <v>OVE DECORS ULC</v>
          </cell>
          <cell r="AH192" t="str">
            <v>REGULAR</v>
          </cell>
          <cell r="AI192">
            <v>45033</v>
          </cell>
          <cell r="AJ192">
            <v>45038</v>
          </cell>
          <cell r="AK192"/>
          <cell r="AL192">
            <v>45038</v>
          </cell>
          <cell r="AM192">
            <v>45038</v>
          </cell>
          <cell r="AN192"/>
          <cell r="AO192">
            <v>45040</v>
          </cell>
          <cell r="AP192" t="str">
            <v>ON HOLD</v>
          </cell>
        </row>
        <row r="193">
          <cell r="A193">
            <v>96231070152</v>
          </cell>
          <cell r="B193" t="str">
            <v>US1-AS-TRANSFER QUALITY FROM 96231030197</v>
          </cell>
          <cell r="C193">
            <v>0</v>
          </cell>
          <cell r="D193">
            <v>0</v>
          </cell>
          <cell r="E193" t="str">
            <v>MIN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 t="str">
            <v>H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1</v>
          </cell>
          <cell r="AB193" t="str">
            <v>H</v>
          </cell>
          <cell r="AC193">
            <v>0</v>
          </cell>
          <cell r="AD193" t="str">
            <v>YES</v>
          </cell>
          <cell r="AE193" t="str">
            <v xml:space="preserve">0509: no CS pend - 0422: Local Costco </v>
          </cell>
          <cell r="AF193" t="str">
            <v>LIVING STYLE (SINGAPORE) PTE LIMITED</v>
          </cell>
          <cell r="AG193" t="str">
            <v>LIVING STYLE (SINGAPORE) PTE LIMITED</v>
          </cell>
          <cell r="AH193" t="str">
            <v>REGULAR</v>
          </cell>
          <cell r="AI193">
            <v>45033</v>
          </cell>
          <cell r="AJ193">
            <v>45034</v>
          </cell>
          <cell r="AK193">
            <v>45041</v>
          </cell>
          <cell r="AL193">
            <v>45052</v>
          </cell>
          <cell r="AM193">
            <v>45052</v>
          </cell>
          <cell r="AN193"/>
          <cell r="AO193">
            <v>45054</v>
          </cell>
          <cell r="AP193" t="str">
            <v>LATE</v>
          </cell>
        </row>
        <row r="194">
          <cell r="A194">
            <v>96231070251</v>
          </cell>
          <cell r="B194" t="str">
            <v>US2</v>
          </cell>
          <cell r="C194">
            <v>0</v>
          </cell>
          <cell r="D194">
            <v>0</v>
          </cell>
          <cell r="E194" t="str">
            <v>FLO</v>
          </cell>
          <cell r="F194">
            <v>0</v>
          </cell>
          <cell r="G194" t="str">
            <v>R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1</v>
          </cell>
          <cell r="AB194" t="str">
            <v>R</v>
          </cell>
          <cell r="AC194">
            <v>0</v>
          </cell>
          <cell r="AD194">
            <v>0</v>
          </cell>
          <cell r="AE194" t="str">
            <v>04/28: no CS pending</v>
          </cell>
          <cell r="AF194" t="str">
            <v>NANOCHEM CO LTD</v>
          </cell>
          <cell r="AG194" t="str">
            <v>NANOCHEM CO LTD</v>
          </cell>
          <cell r="AH194" t="str">
            <v>REGULAR</v>
          </cell>
          <cell r="AI194">
            <v>45033</v>
          </cell>
          <cell r="AJ194"/>
          <cell r="AK194"/>
          <cell r="AL194">
            <v>45076</v>
          </cell>
          <cell r="AM194">
            <v>45076</v>
          </cell>
          <cell r="AN194"/>
          <cell r="AO194">
            <v>45077</v>
          </cell>
          <cell r="AP194" t="str">
            <v>ACTIVE</v>
          </cell>
        </row>
        <row r="195">
          <cell r="A195">
            <v>96231070254</v>
          </cell>
          <cell r="B195" t="str">
            <v>US2</v>
          </cell>
          <cell r="C195">
            <v>0</v>
          </cell>
          <cell r="D195">
            <v>0</v>
          </cell>
          <cell r="E195" t="str">
            <v>FLO</v>
          </cell>
          <cell r="F195">
            <v>0</v>
          </cell>
          <cell r="G195" t="str">
            <v>R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1</v>
          </cell>
          <cell r="AB195" t="str">
            <v>R</v>
          </cell>
          <cell r="AC195">
            <v>0</v>
          </cell>
          <cell r="AD195">
            <v>0</v>
          </cell>
          <cell r="AE195" t="str">
            <v>04/28: no CS pending</v>
          </cell>
          <cell r="AF195" t="str">
            <v>NANOCHEM CO LTD</v>
          </cell>
          <cell r="AG195" t="str">
            <v>NANOCHEM CO LTD</v>
          </cell>
          <cell r="AH195" t="str">
            <v>REGULAR</v>
          </cell>
          <cell r="AI195">
            <v>45033</v>
          </cell>
          <cell r="AJ195"/>
          <cell r="AK195"/>
          <cell r="AL195">
            <v>45076</v>
          </cell>
          <cell r="AM195">
            <v>45076</v>
          </cell>
          <cell r="AN195"/>
          <cell r="AO195">
            <v>45077</v>
          </cell>
          <cell r="AP195" t="str">
            <v>ACTIVE</v>
          </cell>
        </row>
        <row r="196">
          <cell r="A196">
            <v>96231070256</v>
          </cell>
          <cell r="B196" t="str">
            <v>US2</v>
          </cell>
          <cell r="C196">
            <v>0</v>
          </cell>
          <cell r="D196">
            <v>0</v>
          </cell>
          <cell r="E196" t="str">
            <v>FLO</v>
          </cell>
          <cell r="F196">
            <v>0</v>
          </cell>
          <cell r="G196" t="str">
            <v>R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1</v>
          </cell>
          <cell r="AB196" t="str">
            <v>R</v>
          </cell>
          <cell r="AC196">
            <v>0</v>
          </cell>
          <cell r="AD196">
            <v>0</v>
          </cell>
          <cell r="AE196" t="str">
            <v>04/28: no CS pending</v>
          </cell>
          <cell r="AF196" t="str">
            <v>NANOCHEM CO LTD</v>
          </cell>
          <cell r="AG196" t="str">
            <v>NANOCHEM CO LTD</v>
          </cell>
          <cell r="AH196" t="str">
            <v>REGULAR</v>
          </cell>
          <cell r="AI196">
            <v>45033</v>
          </cell>
          <cell r="AJ196"/>
          <cell r="AK196"/>
          <cell r="AL196">
            <v>45076</v>
          </cell>
          <cell r="AM196">
            <v>45076</v>
          </cell>
          <cell r="AN196"/>
          <cell r="AO196">
            <v>45077</v>
          </cell>
          <cell r="AP196" t="str">
            <v>ACTIVE</v>
          </cell>
        </row>
        <row r="197">
          <cell r="A197">
            <v>96231070277</v>
          </cell>
          <cell r="B197" t="str">
            <v>US1-AS</v>
          </cell>
          <cell r="C197">
            <v>0</v>
          </cell>
          <cell r="D197">
            <v>0</v>
          </cell>
          <cell r="E197" t="str">
            <v>MIN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 t="str">
            <v>H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 t="str">
            <v>Q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2</v>
          </cell>
          <cell r="AB197" t="str">
            <v>H, Q</v>
          </cell>
          <cell r="AC197">
            <v>0</v>
          </cell>
          <cell r="AD197" t="str">
            <v>YES</v>
          </cell>
          <cell r="AE197" t="str">
            <v>0429-0422: ask docs, report refer AN</v>
          </cell>
          <cell r="AF197" t="str">
            <v>DOREL HOME FURNISHINGS INC (US)</v>
          </cell>
          <cell r="AG197" t="str">
            <v>DOREL HOME FURNISHINGS INC (US)</v>
          </cell>
          <cell r="AH197" t="str">
            <v>REGULAR</v>
          </cell>
          <cell r="AI197">
            <v>45033</v>
          </cell>
          <cell r="AJ197">
            <v>45049</v>
          </cell>
          <cell r="AK197">
            <v>45051</v>
          </cell>
          <cell r="AL197">
            <v>45056</v>
          </cell>
          <cell r="AM197">
            <v>45056</v>
          </cell>
          <cell r="AN197"/>
          <cell r="AO197">
            <v>45057</v>
          </cell>
          <cell r="AP197" t="str">
            <v>OFF HOLD</v>
          </cell>
        </row>
        <row r="198">
          <cell r="A198">
            <v>96231070278</v>
          </cell>
          <cell r="B198" t="str">
            <v>JP-AS</v>
          </cell>
          <cell r="C198">
            <v>0</v>
          </cell>
          <cell r="D198" t="str">
            <v>NGHIA</v>
          </cell>
          <cell r="E198" t="str">
            <v>MIN</v>
          </cell>
          <cell r="F198" t="str">
            <v>DONE 0509
MAKING 0508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H, J, Q, V</v>
          </cell>
          <cell r="AC198">
            <v>0</v>
          </cell>
          <cell r="AD198" t="str">
            <v>YES</v>
          </cell>
          <cell r="AE198" t="str">
            <v>0509: no CS pend - 0429: provide sorting list - 0421: pend sorting list</v>
          </cell>
          <cell r="AF198" t="str">
            <v>DOREL HOME FURNISHINGS INC (US)</v>
          </cell>
          <cell r="AG198" t="str">
            <v>DOREL HOME FURNISHINGS INC (US)</v>
          </cell>
          <cell r="AH198" t="str">
            <v>REGULAR</v>
          </cell>
          <cell r="AI198">
            <v>45033</v>
          </cell>
          <cell r="AJ198">
            <v>45049</v>
          </cell>
          <cell r="AK198">
            <v>45044</v>
          </cell>
          <cell r="AL198">
            <v>45054</v>
          </cell>
          <cell r="AM198">
            <v>45054</v>
          </cell>
          <cell r="AN198"/>
          <cell r="AO198">
            <v>45055</v>
          </cell>
          <cell r="AP198" t="str">
            <v>OFF HOLD</v>
          </cell>
        </row>
        <row r="199">
          <cell r="A199">
            <v>96231070301</v>
          </cell>
          <cell r="B199" t="str">
            <v>US1</v>
          </cell>
          <cell r="C199">
            <v>0</v>
          </cell>
          <cell r="D199">
            <v>0</v>
          </cell>
          <cell r="E199" t="str">
            <v>MIN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 t="str">
            <v>H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1</v>
          </cell>
          <cell r="AB199" t="str">
            <v>H</v>
          </cell>
          <cell r="AC199">
            <v>0</v>
          </cell>
          <cell r="AD199">
            <v>0</v>
          </cell>
          <cell r="AE199" t="str">
            <v>0429-0424: ASIA US INDUSTRIAL JOINT STOCK COMPANY billing overdue - 0422: pend artwork</v>
          </cell>
          <cell r="AF199" t="str">
            <v>GBI TILE &amp; STONE</v>
          </cell>
          <cell r="AG199" t="str">
            <v>LOWE'S COMPANIES INC</v>
          </cell>
          <cell r="AH199" t="str">
            <v>REGULAR</v>
          </cell>
          <cell r="AI199">
            <v>45033</v>
          </cell>
          <cell r="AJ199">
            <v>45040</v>
          </cell>
          <cell r="AK199">
            <v>45034</v>
          </cell>
          <cell r="AL199">
            <v>45038</v>
          </cell>
          <cell r="AM199">
            <v>45038</v>
          </cell>
          <cell r="AN199"/>
          <cell r="AO199">
            <v>45040</v>
          </cell>
          <cell r="AP199" t="str">
            <v>ON HOLD</v>
          </cell>
        </row>
        <row r="200">
          <cell r="A200">
            <v>96231070303</v>
          </cell>
          <cell r="B200" t="str">
            <v>US1</v>
          </cell>
          <cell r="C200">
            <v>0</v>
          </cell>
          <cell r="D200">
            <v>0</v>
          </cell>
          <cell r="E200" t="str">
            <v>MIN</v>
          </cell>
          <cell r="F200">
            <v>0</v>
          </cell>
          <cell r="G200" t="str">
            <v>R</v>
          </cell>
          <cell r="H200">
            <v>0</v>
          </cell>
          <cell r="I200">
            <v>0</v>
          </cell>
          <cell r="J200" t="str">
            <v>H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2</v>
          </cell>
          <cell r="AB200" t="str">
            <v>H, R</v>
          </cell>
          <cell r="AC200">
            <v>0</v>
          </cell>
          <cell r="AD200">
            <v>0</v>
          </cell>
          <cell r="AE200" t="str">
            <v>0429-0424: ASIA US INDUSTRIAL JOINT STOCK COMPANY billing overdue - 0422: pend artwork</v>
          </cell>
          <cell r="AF200" t="str">
            <v>GBI TILE &amp; STONE</v>
          </cell>
          <cell r="AG200" t="str">
            <v>LOWE'S COMPANIES INC</v>
          </cell>
          <cell r="AH200" t="str">
            <v>REGULAR</v>
          </cell>
          <cell r="AI200">
            <v>45033</v>
          </cell>
          <cell r="AJ200">
            <v>45040</v>
          </cell>
          <cell r="AK200"/>
          <cell r="AL200">
            <v>45038</v>
          </cell>
          <cell r="AM200">
            <v>45038</v>
          </cell>
          <cell r="AN200"/>
          <cell r="AO200">
            <v>45040</v>
          </cell>
          <cell r="AP200" t="str">
            <v>ON HOLD</v>
          </cell>
        </row>
        <row r="201">
          <cell r="A201">
            <v>96231070463</v>
          </cell>
          <cell r="B201" t="str">
            <v>EU</v>
          </cell>
          <cell r="C201">
            <v>0</v>
          </cell>
          <cell r="D201">
            <v>0</v>
          </cell>
          <cell r="E201" t="str">
            <v>FLO</v>
          </cell>
          <cell r="F201">
            <v>0</v>
          </cell>
          <cell r="G201">
            <v>0</v>
          </cell>
          <cell r="H201" t="str">
            <v>E</v>
          </cell>
          <cell r="I201">
            <v>0</v>
          </cell>
          <cell r="J201" t="str">
            <v>H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 t="str">
            <v>Q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3</v>
          </cell>
          <cell r="AB201" t="str">
            <v>H, E, Q</v>
          </cell>
          <cell r="AC201">
            <v>0</v>
          </cell>
          <cell r="AD201">
            <v>0</v>
          </cell>
          <cell r="AE201" t="str">
            <v xml:space="preserve">0422: Verify correct sample, not perform any test </v>
          </cell>
          <cell r="AF201" t="str">
            <v>NAD DESIGN BV</v>
          </cell>
          <cell r="AG201" t="str">
            <v>NAD DESIGN BV</v>
          </cell>
          <cell r="AH201" t="str">
            <v>REGULAR</v>
          </cell>
          <cell r="AI201">
            <v>45033</v>
          </cell>
          <cell r="AJ201">
            <v>45033</v>
          </cell>
          <cell r="AK201">
            <v>45043</v>
          </cell>
          <cell r="AL201">
            <v>45055</v>
          </cell>
          <cell r="AM201">
            <v>45055</v>
          </cell>
          <cell r="AN201"/>
          <cell r="AO201">
            <v>45056</v>
          </cell>
          <cell r="AP201" t="str">
            <v>MUST</v>
          </cell>
        </row>
        <row r="202">
          <cell r="A202">
            <v>96231070471</v>
          </cell>
          <cell r="B202" t="str">
            <v>EU</v>
          </cell>
          <cell r="C202">
            <v>0</v>
          </cell>
          <cell r="D202">
            <v>0</v>
          </cell>
          <cell r="E202" t="str">
            <v>FLO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 t="str">
            <v>P</v>
          </cell>
          <cell r="P202">
            <v>0</v>
          </cell>
          <cell r="Q202" t="str">
            <v>F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2</v>
          </cell>
          <cell r="AB202" t="str">
            <v>P, F</v>
          </cell>
          <cell r="AC202">
            <v>0</v>
          </cell>
          <cell r="AD202">
            <v>0</v>
          </cell>
          <cell r="AE202" t="str">
            <v xml:space="preserve">04/28: no CS pending
0422: Verify correct sample, not perform any test </v>
          </cell>
          <cell r="AF202" t="str">
            <v>NAD DESIGN BV</v>
          </cell>
          <cell r="AG202" t="str">
            <v>NAD DESIGN BV</v>
          </cell>
          <cell r="AH202" t="str">
            <v>REGULAR</v>
          </cell>
          <cell r="AI202">
            <v>45033</v>
          </cell>
          <cell r="AJ202">
            <v>45035</v>
          </cell>
          <cell r="AK202">
            <v>45044</v>
          </cell>
          <cell r="AL202">
            <v>45164</v>
          </cell>
          <cell r="AM202">
            <v>45164</v>
          </cell>
          <cell r="AN202"/>
          <cell r="AO202">
            <v>45166</v>
          </cell>
          <cell r="AP202" t="str">
            <v>OFF HOLD</v>
          </cell>
        </row>
        <row r="203">
          <cell r="A203">
            <v>96231070498</v>
          </cell>
          <cell r="B203" t="str">
            <v>US1-SAT-MIN</v>
          </cell>
          <cell r="C203">
            <v>0</v>
          </cell>
          <cell r="D203">
            <v>0</v>
          </cell>
          <cell r="E203" t="str">
            <v>MIN</v>
          </cell>
          <cell r="F203">
            <v>0</v>
          </cell>
          <cell r="G203" t="str">
            <v>R</v>
          </cell>
          <cell r="H203">
            <v>0</v>
          </cell>
          <cell r="I203">
            <v>0</v>
          </cell>
          <cell r="J203" t="str">
            <v>H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2</v>
          </cell>
          <cell r="AB203" t="str">
            <v>H, R</v>
          </cell>
          <cell r="AC203">
            <v>0</v>
          </cell>
          <cell r="AD203">
            <v>0</v>
          </cell>
          <cell r="AE203" t="str">
            <v>0429-0424: ASIA US INDUSTRIAL JOINT STOCK COMPANY billing overdue - 0422: pend artwork</v>
          </cell>
          <cell r="AF203" t="str">
            <v>GBI TILE &amp; STONE</v>
          </cell>
          <cell r="AG203" t="str">
            <v>LOWE'S COMPANIES INC</v>
          </cell>
          <cell r="AH203" t="str">
            <v>REGULAR</v>
          </cell>
          <cell r="AI203">
            <v>45033</v>
          </cell>
          <cell r="AJ203">
            <v>45040</v>
          </cell>
          <cell r="AK203"/>
          <cell r="AL203">
            <v>45038</v>
          </cell>
          <cell r="AM203">
            <v>45038</v>
          </cell>
          <cell r="AN203"/>
          <cell r="AO203">
            <v>45040</v>
          </cell>
          <cell r="AP203" t="str">
            <v>ON HOLD</v>
          </cell>
        </row>
        <row r="204">
          <cell r="A204">
            <v>96231070511</v>
          </cell>
          <cell r="B204" t="str">
            <v>JP-AS</v>
          </cell>
          <cell r="C204" t="str">
            <v>PEND-DOC</v>
          </cell>
          <cell r="D204">
            <v>0</v>
          </cell>
          <cell r="E204" t="str">
            <v>TAN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 t="str">
            <v>H</v>
          </cell>
          <cell r="K204">
            <v>0</v>
          </cell>
          <cell r="L204" t="str">
            <v>J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2</v>
          </cell>
          <cell r="AB204" t="str">
            <v>H, J, Q, V</v>
          </cell>
          <cell r="AC204" t="str">
            <v>x</v>
          </cell>
          <cell r="AD204" t="str">
            <v>YES</v>
          </cell>
          <cell r="AE204" t="str">
            <v xml:space="preserve">5/3: factory resume on May 5, 4/25: pend extra, 4/22: sorting list </v>
          </cell>
          <cell r="AF204" t="str">
            <v>MILLION DOLLAR BABY</v>
          </cell>
          <cell r="AG204" t="str">
            <v>MILLION DOLLAR BABY</v>
          </cell>
          <cell r="AH204" t="str">
            <v>URGENT</v>
          </cell>
          <cell r="AI204">
            <v>45034</v>
          </cell>
          <cell r="AJ204">
            <v>45049</v>
          </cell>
          <cell r="AK204">
            <v>45044</v>
          </cell>
          <cell r="AL204">
            <v>45051</v>
          </cell>
          <cell r="AM204">
            <v>45051</v>
          </cell>
          <cell r="AN204"/>
          <cell r="AO204">
            <v>45052</v>
          </cell>
          <cell r="AP204" t="str">
            <v>ON HOLD</v>
          </cell>
        </row>
        <row r="205">
          <cell r="A205">
            <v>96231070515</v>
          </cell>
          <cell r="B205" t="str">
            <v>US1</v>
          </cell>
          <cell r="C205">
            <v>0</v>
          </cell>
          <cell r="D205">
            <v>0</v>
          </cell>
          <cell r="E205" t="str">
            <v>MIN</v>
          </cell>
          <cell r="F205" t="str">
            <v>MAKING 0509</v>
          </cell>
          <cell r="G205">
            <v>0</v>
          </cell>
          <cell r="H205">
            <v>0</v>
          </cell>
          <cell r="I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H, P, F, Q, W, L</v>
          </cell>
          <cell r="AC205">
            <v>0</v>
          </cell>
          <cell r="AD205">
            <v>0</v>
          </cell>
          <cell r="AE205" t="str">
            <v>0509: no CS pend - 0504: pend extra green foam, wait tech check docs - 0429: wait tech - 0422: ask docs, extra sample</v>
          </cell>
          <cell r="AF205" t="str">
            <v>KUKA (HK) TRADE CO LIMITED</v>
          </cell>
          <cell r="AG205" t="str">
            <v>WAL-MART.COM USA, LLC</v>
          </cell>
          <cell r="AH205" t="str">
            <v>REGULAR</v>
          </cell>
          <cell r="AI205">
            <v>45034</v>
          </cell>
          <cell r="AJ205">
            <v>45038</v>
          </cell>
          <cell r="AK205">
            <v>45044</v>
          </cell>
          <cell r="AL205">
            <v>45054</v>
          </cell>
          <cell r="AM205">
            <v>45054</v>
          </cell>
          <cell r="AN205"/>
          <cell r="AO205">
            <v>45055</v>
          </cell>
          <cell r="AP205" t="str">
            <v>DUE</v>
          </cell>
        </row>
        <row r="206">
          <cell r="A206">
            <v>96231080055</v>
          </cell>
          <cell r="B206" t="str">
            <v>US2</v>
          </cell>
          <cell r="C206">
            <v>0</v>
          </cell>
          <cell r="D206">
            <v>0</v>
          </cell>
          <cell r="E206" t="str">
            <v>TAN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 t="str">
            <v>Q</v>
          </cell>
          <cell r="W206" t="str">
            <v>V</v>
          </cell>
          <cell r="X206">
            <v>0</v>
          </cell>
          <cell r="Y206">
            <v>0</v>
          </cell>
          <cell r="Z206">
            <v>0</v>
          </cell>
          <cell r="AA206">
            <v>2</v>
          </cell>
          <cell r="AB206" t="str">
            <v>Q, V</v>
          </cell>
          <cell r="AC206" t="str">
            <v>x</v>
          </cell>
          <cell r="AD206">
            <v>0</v>
          </cell>
          <cell r="AE206" t="str">
            <v xml:space="preserve">CSE, 4/22: NO CS PEND </v>
          </cell>
          <cell r="AF206" t="str">
            <v>KAISER 1 FURNITURE INDUSTRY (VIETNAM) CO LTD</v>
          </cell>
          <cell r="AG206" t="str">
            <v>MITCHELL GOLD + BOB WILLIAMS</v>
          </cell>
          <cell r="AH206" t="str">
            <v>REGULAR</v>
          </cell>
          <cell r="AI206">
            <v>45034</v>
          </cell>
          <cell r="AJ206">
            <v>45049</v>
          </cell>
          <cell r="AK206">
            <v>45044</v>
          </cell>
          <cell r="AL206">
            <v>45051</v>
          </cell>
          <cell r="AM206">
            <v>45051</v>
          </cell>
          <cell r="AN206"/>
          <cell r="AO206">
            <v>45052</v>
          </cell>
          <cell r="AP206" t="str">
            <v>ON HOLD</v>
          </cell>
        </row>
        <row r="207">
          <cell r="A207">
            <v>96231080062</v>
          </cell>
          <cell r="B207" t="str">
            <v>CD</v>
          </cell>
          <cell r="C207">
            <v>0</v>
          </cell>
          <cell r="D207">
            <v>0</v>
          </cell>
          <cell r="E207" t="str">
            <v>MIN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 t="str">
            <v>H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 t="str">
            <v>Q</v>
          </cell>
          <cell r="W207" t="str">
            <v>V</v>
          </cell>
          <cell r="X207">
            <v>0</v>
          </cell>
          <cell r="Y207" t="str">
            <v>B</v>
          </cell>
          <cell r="Z207">
            <v>0</v>
          </cell>
          <cell r="AA207">
            <v>4</v>
          </cell>
          <cell r="AB207" t="str">
            <v>H, Q, V, B</v>
          </cell>
          <cell r="AC207">
            <v>0</v>
          </cell>
          <cell r="AD207">
            <v>0</v>
          </cell>
          <cell r="AE207" t="str">
            <v>0504: vendor confirm to test -0429-0425: vendor request hold,lab not test yet - 0422: pend aesthetic approval, TRF</v>
          </cell>
          <cell r="AF207" t="str">
            <v>DECORWARE, INC.</v>
          </cell>
          <cell r="AG207" t="str">
            <v>WALMART USA</v>
          </cell>
          <cell r="AH207" t="str">
            <v>REGULAR</v>
          </cell>
          <cell r="AI207">
            <v>45034</v>
          </cell>
          <cell r="AJ207">
            <v>45036</v>
          </cell>
          <cell r="AK207">
            <v>45051</v>
          </cell>
          <cell r="AL207">
            <v>45056</v>
          </cell>
          <cell r="AM207">
            <v>45056</v>
          </cell>
          <cell r="AN207"/>
          <cell r="AO207">
            <v>45057</v>
          </cell>
          <cell r="AP207" t="str">
            <v>OFF HOLD</v>
          </cell>
        </row>
        <row r="208">
          <cell r="A208">
            <v>96231080407</v>
          </cell>
          <cell r="B208" t="str">
            <v>EU</v>
          </cell>
          <cell r="C208">
            <v>0</v>
          </cell>
          <cell r="D208">
            <v>0</v>
          </cell>
          <cell r="E208" t="str">
            <v>FLO</v>
          </cell>
          <cell r="F208">
            <v>0</v>
          </cell>
          <cell r="G208">
            <v>0</v>
          </cell>
          <cell r="H208" t="str">
            <v>E</v>
          </cell>
          <cell r="I208">
            <v>0</v>
          </cell>
          <cell r="J208" t="str">
            <v>H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 t="str">
            <v>Q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3</v>
          </cell>
          <cell r="AB208" t="str">
            <v>H, E, Q</v>
          </cell>
          <cell r="AC208">
            <v>0</v>
          </cell>
          <cell r="AD208">
            <v>0</v>
          </cell>
          <cell r="AE208" t="str">
            <v xml:space="preserve">0422: Verify correct sample, not perform any test </v>
          </cell>
          <cell r="AF208" t="str">
            <v>NAD DESIGN BV</v>
          </cell>
          <cell r="AG208" t="str">
            <v>NAD DESIGN BV</v>
          </cell>
          <cell r="AH208" t="str">
            <v>REGULAR</v>
          </cell>
          <cell r="AI208">
            <v>45034</v>
          </cell>
          <cell r="AJ208">
            <v>45034</v>
          </cell>
          <cell r="AK208">
            <v>45043</v>
          </cell>
          <cell r="AL208">
            <v>45055</v>
          </cell>
          <cell r="AM208">
            <v>45055</v>
          </cell>
          <cell r="AN208"/>
          <cell r="AO208">
            <v>45056</v>
          </cell>
          <cell r="AP208" t="str">
            <v>MUST</v>
          </cell>
        </row>
        <row r="209">
          <cell r="A209">
            <v>96231080580</v>
          </cell>
          <cell r="B209" t="str">
            <v>TY</v>
          </cell>
          <cell r="C209" t="str">
            <v>0503: PENDING CS - CSE</v>
          </cell>
          <cell r="D209">
            <v>0</v>
          </cell>
          <cell r="E209" t="str">
            <v>ELV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 t="str">
            <v>T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 t="str">
            <v>W</v>
          </cell>
          <cell r="Q209" t="str">
            <v>F</v>
          </cell>
          <cell r="R209" t="str">
            <v>L</v>
          </cell>
          <cell r="S209" t="str">
            <v>M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/>
          <cell r="Z209">
            <v>0</v>
          </cell>
          <cell r="AA209">
            <v>5</v>
          </cell>
          <cell r="AB209" t="str">
            <v>T, W, F, L, M, A, Q, V</v>
          </cell>
          <cell r="AC209">
            <v>0</v>
          </cell>
          <cell r="AD209" t="str">
            <v>YES</v>
          </cell>
          <cell r="AE209" t="str">
            <v xml:space="preserve">0424: Received extra sample from Sao Viet </v>
          </cell>
          <cell r="AF209" t="str">
            <v>DREAM INTERNATIONAL LIMITED</v>
          </cell>
          <cell r="AG209" t="str">
            <v>THE DISNEY STORE EUROPE</v>
          </cell>
          <cell r="AH209" t="str">
            <v>REGULAR</v>
          </cell>
          <cell r="AI209">
            <v>45034</v>
          </cell>
          <cell r="AJ209">
            <v>45049</v>
          </cell>
          <cell r="AK209">
            <v>45039</v>
          </cell>
          <cell r="AL209">
            <v>45044</v>
          </cell>
          <cell r="AM209">
            <v>45044</v>
          </cell>
          <cell r="AN209"/>
          <cell r="AO209">
            <v>45049</v>
          </cell>
          <cell r="AP209" t="str">
            <v>ON HOLD</v>
          </cell>
        </row>
        <row r="210">
          <cell r="A210">
            <v>96231080599</v>
          </cell>
          <cell r="B210" t="str">
            <v>TY</v>
          </cell>
          <cell r="C210" t="str">
            <v>0424: Disney Korea</v>
          </cell>
          <cell r="D210" t="str">
            <v>van</v>
          </cell>
          <cell r="E210" t="str">
            <v>ELV</v>
          </cell>
          <cell r="F210" t="str">
            <v>DONE 0509
FIRST MAKING 0508 - SUB CONTRACT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/>
          <cell r="Z210">
            <v>0</v>
          </cell>
          <cell r="AA210">
            <v>0</v>
          </cell>
          <cell r="AB210" t="str">
            <v>T, B</v>
          </cell>
          <cell r="AC210">
            <v>0</v>
          </cell>
          <cell r="AD210" t="str">
            <v>YES</v>
          </cell>
          <cell r="AE210">
            <v>0</v>
          </cell>
          <cell r="AF210" t="str">
            <v>DREAM INTERNATIONAL LIMITED</v>
          </cell>
          <cell r="AG210" t="str">
            <v>THE DISNEY STORE, INC (CA)</v>
          </cell>
          <cell r="AH210" t="str">
            <v>REGULAR</v>
          </cell>
          <cell r="AI210">
            <v>45034</v>
          </cell>
          <cell r="AJ210">
            <v>45044</v>
          </cell>
          <cell r="AK210">
            <v>45036</v>
          </cell>
          <cell r="AL210">
            <v>45071</v>
          </cell>
          <cell r="AM210">
            <v>45071</v>
          </cell>
          <cell r="AN210"/>
          <cell r="AO210">
            <v>45072</v>
          </cell>
          <cell r="AP210" t="str">
            <v>ON HOLD</v>
          </cell>
        </row>
        <row r="211">
          <cell r="A211">
            <v>96231080603</v>
          </cell>
          <cell r="B211" t="str">
            <v>TY-RF SP 96231080599</v>
          </cell>
          <cell r="C211" t="str">
            <v>0424: Disney Korea</v>
          </cell>
          <cell r="D211" t="str">
            <v>DUC</v>
          </cell>
          <cell r="E211" t="str">
            <v>ELV</v>
          </cell>
          <cell r="F211" t="str">
            <v>DONE 0509
MAKING 0509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T, A, Q, V</v>
          </cell>
          <cell r="AC211">
            <v>0</v>
          </cell>
          <cell r="AD211" t="str">
            <v>YES</v>
          </cell>
          <cell r="AE211">
            <v>0</v>
          </cell>
          <cell r="AF211" t="str">
            <v>DREAM INTERNATIONAL LIMITED</v>
          </cell>
          <cell r="AG211" t="str">
            <v>THE DISNEY STORE, INC (CA)</v>
          </cell>
          <cell r="AH211" t="str">
            <v>REGULAR</v>
          </cell>
          <cell r="AI211">
            <v>45034</v>
          </cell>
          <cell r="AJ211">
            <v>45044</v>
          </cell>
          <cell r="AK211">
            <v>45044</v>
          </cell>
          <cell r="AL211">
            <v>45080</v>
          </cell>
          <cell r="AM211">
            <v>45080</v>
          </cell>
          <cell r="AN211"/>
          <cell r="AO211">
            <v>45082</v>
          </cell>
          <cell r="AP211" t="str">
            <v>OFF HOLD</v>
          </cell>
        </row>
        <row r="212">
          <cell r="A212">
            <v>96231080708</v>
          </cell>
          <cell r="B212" t="str">
            <v>CD-NOB</v>
          </cell>
          <cell r="C212">
            <v>0</v>
          </cell>
          <cell r="D212">
            <v>0</v>
          </cell>
          <cell r="E212" t="str">
            <v>MIN</v>
          </cell>
          <cell r="F212" t="str">
            <v>FIRST MAKING 0427-AN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 t="str">
            <v>Q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1</v>
          </cell>
          <cell r="AB212" t="str">
            <v>H, C, Q</v>
          </cell>
          <cell r="AC212">
            <v>0</v>
          </cell>
          <cell r="AD212">
            <v>0</v>
          </cell>
          <cell r="AE212" t="str">
            <v>0503: sent PI - Hoa Huy new vendor, pend test info for PI</v>
          </cell>
          <cell r="AF212" t="str">
            <v>N/A</v>
          </cell>
          <cell r="AG212" t="str">
            <v>MARMAXX GROUP</v>
          </cell>
          <cell r="AH212" t="str">
            <v>REGULAR</v>
          </cell>
          <cell r="AI212">
            <v>45035</v>
          </cell>
          <cell r="AJ212">
            <v>45049</v>
          </cell>
          <cell r="AK212">
            <v>45044</v>
          </cell>
          <cell r="AL212">
            <v>45054</v>
          </cell>
          <cell r="AM212">
            <v>45054</v>
          </cell>
          <cell r="AN212"/>
          <cell r="AO212">
            <v>45055</v>
          </cell>
          <cell r="AP212" t="str">
            <v>ON HOLD</v>
          </cell>
        </row>
        <row r="213">
          <cell r="A213">
            <v>96231080720</v>
          </cell>
          <cell r="B213" t="str">
            <v>US2</v>
          </cell>
          <cell r="C213">
            <v>0</v>
          </cell>
          <cell r="D213">
            <v>0</v>
          </cell>
          <cell r="E213" t="str">
            <v>SHE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 t="str">
            <v>H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 t="str">
            <v>P</v>
          </cell>
          <cell r="P213" t="str">
            <v>W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 t="str">
            <v>A</v>
          </cell>
          <cell r="V213" t="str">
            <v>Q</v>
          </cell>
          <cell r="W213" t="str">
            <v>V</v>
          </cell>
          <cell r="X213">
            <v>0</v>
          </cell>
          <cell r="Y213">
            <v>0</v>
          </cell>
          <cell r="Z213">
            <v>0</v>
          </cell>
          <cell r="AA213">
            <v>6</v>
          </cell>
          <cell r="AB213" t="str">
            <v>H, P, W, F, L, M, A, Q, V</v>
          </cell>
          <cell r="AC213" t="str">
            <v>x</v>
          </cell>
          <cell r="AD213">
            <v>0</v>
          </cell>
          <cell r="AE213" t="str">
            <v>5/9: wait foam màu trắng, đoi confirm và gui lại declaration, 4/22: wait on hold docs, extra, off confirm PI 4/21: changed GF, 4/19: segur QA- HOLD TEST</v>
          </cell>
          <cell r="AF213" t="str">
            <v>STARWOOD FURNITURE MFG VN CORP</v>
          </cell>
          <cell r="AG213" t="str">
            <v xml:space="preserve">CRATE &amp; BARREL </v>
          </cell>
          <cell r="AH213" t="str">
            <v>REGULAR</v>
          </cell>
          <cell r="AI213">
            <v>45035</v>
          </cell>
          <cell r="AJ213">
            <v>45049</v>
          </cell>
          <cell r="AK213">
            <v>45044</v>
          </cell>
          <cell r="AL213">
            <v>45055</v>
          </cell>
          <cell r="AM213">
            <v>45055</v>
          </cell>
          <cell r="AN213"/>
          <cell r="AO213">
            <v>45056</v>
          </cell>
          <cell r="AP213" t="str">
            <v>ON HOLD</v>
          </cell>
        </row>
        <row r="214">
          <cell r="A214">
            <v>96231080786</v>
          </cell>
          <cell r="B214" t="str">
            <v>EU-AS</v>
          </cell>
          <cell r="C214">
            <v>0</v>
          </cell>
          <cell r="D214">
            <v>0</v>
          </cell>
          <cell r="E214" t="str">
            <v>FLO</v>
          </cell>
          <cell r="F214" t="str">
            <v>MAKING 0509</v>
          </cell>
          <cell r="G214">
            <v>0</v>
          </cell>
          <cell r="H214"/>
          <cell r="I214">
            <v>0</v>
          </cell>
          <cell r="J214"/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H, E</v>
          </cell>
          <cell r="AC214">
            <v>0</v>
          </cell>
          <cell r="AD214">
            <v>0</v>
          </cell>
          <cell r="AE214" t="str">
            <v xml:space="preserve">05/09; 04/28: no CS pending
0422: Verify correct sample, not perform any test </v>
          </cell>
          <cell r="AF214" t="str">
            <v>NAD DESIGN BV</v>
          </cell>
          <cell r="AG214" t="str">
            <v>NAD DESIGN BV</v>
          </cell>
          <cell r="AH214" t="str">
            <v>REGULAR</v>
          </cell>
          <cell r="AI214">
            <v>45035</v>
          </cell>
          <cell r="AJ214">
            <v>45043</v>
          </cell>
          <cell r="AK214">
            <v>45044</v>
          </cell>
          <cell r="AL214">
            <v>45054</v>
          </cell>
          <cell r="AM214">
            <v>45054</v>
          </cell>
          <cell r="AN214"/>
          <cell r="AO214">
            <v>45055</v>
          </cell>
          <cell r="AP214" t="str">
            <v>LATECS</v>
          </cell>
        </row>
        <row r="215">
          <cell r="A215">
            <v>96231080790</v>
          </cell>
          <cell r="B215" t="str">
            <v>EU</v>
          </cell>
          <cell r="C215">
            <v>0</v>
          </cell>
          <cell r="D215">
            <v>0</v>
          </cell>
          <cell r="E215" t="str">
            <v>FLO</v>
          </cell>
          <cell r="F215" t="str">
            <v>MAKING 0509</v>
          </cell>
          <cell r="G215">
            <v>0</v>
          </cell>
          <cell r="H215">
            <v>0</v>
          </cell>
          <cell r="I215">
            <v>0</v>
          </cell>
          <cell r="J215"/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H</v>
          </cell>
          <cell r="AC215">
            <v>0</v>
          </cell>
          <cell r="AD215">
            <v>0</v>
          </cell>
          <cell r="AE215" t="str">
            <v xml:space="preserve">05/09; 04/28: no CS pending
0422: Verify correct sample, not perform any test </v>
          </cell>
          <cell r="AF215" t="str">
            <v>NAD DESIGN BV</v>
          </cell>
          <cell r="AG215" t="str">
            <v>NAD DESIGN BV</v>
          </cell>
          <cell r="AH215" t="str">
            <v>REGULAR</v>
          </cell>
          <cell r="AI215">
            <v>45035</v>
          </cell>
          <cell r="AJ215">
            <v>45043</v>
          </cell>
          <cell r="AK215">
            <v>45044</v>
          </cell>
          <cell r="AL215">
            <v>45054</v>
          </cell>
          <cell r="AM215">
            <v>45054</v>
          </cell>
          <cell r="AN215"/>
          <cell r="AO215">
            <v>45055</v>
          </cell>
          <cell r="AP215" t="str">
            <v>LATECS</v>
          </cell>
        </row>
        <row r="216">
          <cell r="A216">
            <v>96231080791</v>
          </cell>
          <cell r="B216" t="str">
            <v>EU</v>
          </cell>
          <cell r="C216">
            <v>0</v>
          </cell>
          <cell r="D216">
            <v>0</v>
          </cell>
          <cell r="E216" t="str">
            <v>FLO</v>
          </cell>
          <cell r="F216">
            <v>0</v>
          </cell>
          <cell r="G216">
            <v>0</v>
          </cell>
          <cell r="H216" t="str">
            <v>E</v>
          </cell>
          <cell r="I216">
            <v>0</v>
          </cell>
          <cell r="J216" t="str">
            <v>H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 t="str">
            <v>Q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3</v>
          </cell>
          <cell r="AB216" t="str">
            <v>H, E, Q</v>
          </cell>
          <cell r="AC216">
            <v>0</v>
          </cell>
          <cell r="AD216">
            <v>0</v>
          </cell>
          <cell r="AE216" t="str">
            <v xml:space="preserve">0422: Verify correct sample, not perform any test </v>
          </cell>
          <cell r="AF216" t="str">
            <v>NAD DESIGN BV</v>
          </cell>
          <cell r="AG216" t="str">
            <v>NAD DESIGN BV</v>
          </cell>
          <cell r="AH216" t="str">
            <v>REGULAR</v>
          </cell>
          <cell r="AI216">
            <v>45035</v>
          </cell>
          <cell r="AJ216">
            <v>45035</v>
          </cell>
          <cell r="AK216">
            <v>45043</v>
          </cell>
          <cell r="AL216">
            <v>45055</v>
          </cell>
          <cell r="AM216">
            <v>45055</v>
          </cell>
          <cell r="AN216"/>
          <cell r="AO216">
            <v>45056</v>
          </cell>
          <cell r="AP216" t="str">
            <v>MUST</v>
          </cell>
        </row>
        <row r="217">
          <cell r="A217">
            <v>96231080802</v>
          </cell>
          <cell r="B217" t="str">
            <v>USD</v>
          </cell>
          <cell r="C217">
            <v>0</v>
          </cell>
          <cell r="D217">
            <v>0</v>
          </cell>
          <cell r="E217" t="str">
            <v>TAN</v>
          </cell>
          <cell r="F217">
            <v>0</v>
          </cell>
          <cell r="G217">
            <v>0</v>
          </cell>
          <cell r="H217">
            <v>0</v>
          </cell>
          <cell r="I217" t="str">
            <v>Z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1</v>
          </cell>
          <cell r="AB217" t="str">
            <v>Z</v>
          </cell>
          <cell r="AC217" t="str">
            <v>x</v>
          </cell>
          <cell r="AD217">
            <v>0</v>
          </cell>
          <cell r="AE217" t="str">
            <v xml:space="preserve">LOGISTAR - PREPAYMENT </v>
          </cell>
          <cell r="AF217" t="str">
            <v>N/A</v>
          </cell>
          <cell r="AG217" t="str">
            <v>GLOBAL SELLERS PROGRAM</v>
          </cell>
          <cell r="AH217" t="str">
            <v>REGULAR</v>
          </cell>
          <cell r="AI217">
            <v>45035</v>
          </cell>
          <cell r="AJ217">
            <v>45040</v>
          </cell>
          <cell r="AK217">
            <v>45035</v>
          </cell>
          <cell r="AL217">
            <v>45041</v>
          </cell>
          <cell r="AM217">
            <v>45041</v>
          </cell>
          <cell r="AN217">
            <v>45041</v>
          </cell>
          <cell r="AO217">
            <v>45042</v>
          </cell>
          <cell r="AP217" t="str">
            <v>ON HOLD</v>
          </cell>
        </row>
        <row r="218">
          <cell r="A218">
            <v>96231080803</v>
          </cell>
          <cell r="B218" t="str">
            <v>USD</v>
          </cell>
          <cell r="C218">
            <v>0</v>
          </cell>
          <cell r="D218">
            <v>0</v>
          </cell>
          <cell r="E218" t="str">
            <v>TAN</v>
          </cell>
          <cell r="F218">
            <v>0</v>
          </cell>
          <cell r="G218">
            <v>0</v>
          </cell>
          <cell r="H218">
            <v>0</v>
          </cell>
          <cell r="I218" t="str">
            <v>Z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1</v>
          </cell>
          <cell r="AB218" t="str">
            <v>Z</v>
          </cell>
          <cell r="AC218" t="str">
            <v>x</v>
          </cell>
          <cell r="AD218">
            <v>0</v>
          </cell>
          <cell r="AE218" t="str">
            <v xml:space="preserve">LOGISTAR - PREPAYMENT </v>
          </cell>
          <cell r="AF218" t="str">
            <v>N/A</v>
          </cell>
          <cell r="AG218" t="str">
            <v>GLOBAL SELLERS PROGRAM</v>
          </cell>
          <cell r="AH218" t="str">
            <v>REGULAR</v>
          </cell>
          <cell r="AI218">
            <v>45035</v>
          </cell>
          <cell r="AJ218">
            <v>45040</v>
          </cell>
          <cell r="AK218"/>
          <cell r="AL218">
            <v>45041</v>
          </cell>
          <cell r="AM218">
            <v>45041</v>
          </cell>
          <cell r="AN218"/>
          <cell r="AO218">
            <v>45042</v>
          </cell>
          <cell r="AP218" t="str">
            <v>ON HOLD</v>
          </cell>
        </row>
        <row r="219">
          <cell r="A219">
            <v>96231080804</v>
          </cell>
          <cell r="B219" t="str">
            <v>USD</v>
          </cell>
          <cell r="C219">
            <v>0</v>
          </cell>
          <cell r="D219">
            <v>0</v>
          </cell>
          <cell r="E219" t="str">
            <v>TAN</v>
          </cell>
          <cell r="F219">
            <v>0</v>
          </cell>
          <cell r="G219">
            <v>0</v>
          </cell>
          <cell r="H219">
            <v>0</v>
          </cell>
          <cell r="I219" t="str">
            <v>Z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1</v>
          </cell>
          <cell r="AB219" t="str">
            <v>Z</v>
          </cell>
          <cell r="AC219" t="str">
            <v>x</v>
          </cell>
          <cell r="AD219">
            <v>0</v>
          </cell>
          <cell r="AE219" t="str">
            <v xml:space="preserve">LOGISTAR - PREPAYMENT </v>
          </cell>
          <cell r="AF219" t="str">
            <v>N/A</v>
          </cell>
          <cell r="AG219" t="str">
            <v>GLOBAL SELLERS PROGRAM</v>
          </cell>
          <cell r="AH219" t="str">
            <v>REGULAR</v>
          </cell>
          <cell r="AI219">
            <v>45035</v>
          </cell>
          <cell r="AJ219">
            <v>45040</v>
          </cell>
          <cell r="AK219"/>
          <cell r="AL219">
            <v>45041</v>
          </cell>
          <cell r="AM219">
            <v>45041</v>
          </cell>
          <cell r="AN219"/>
          <cell r="AO219">
            <v>45042</v>
          </cell>
          <cell r="AP219" t="str">
            <v>ON HOLD</v>
          </cell>
        </row>
        <row r="220">
          <cell r="A220">
            <v>96231090175</v>
          </cell>
          <cell r="B220" t="str">
            <v>AN</v>
          </cell>
          <cell r="C220">
            <v>0</v>
          </cell>
          <cell r="D220">
            <v>0</v>
          </cell>
          <cell r="E220" t="str">
            <v>FLO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 t="str">
            <v>Q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1</v>
          </cell>
          <cell r="AB220" t="str">
            <v>AN HANDLE</v>
          </cell>
          <cell r="AC220">
            <v>0</v>
          </cell>
          <cell r="AD220">
            <v>0</v>
          </cell>
          <cell r="AE220" t="str">
            <v xml:space="preserve">05/06: wait prepayment - NEW VENDOR: XINTAI </v>
          </cell>
          <cell r="AF220" t="str">
            <v>N/A</v>
          </cell>
          <cell r="AG220" t="str">
            <v>N/A</v>
          </cell>
          <cell r="AH220" t="str">
            <v>REGULAR</v>
          </cell>
          <cell r="AI220">
            <v>45035</v>
          </cell>
          <cell r="AJ220">
            <v>45036</v>
          </cell>
          <cell r="AK220"/>
          <cell r="AL220">
            <v>45040</v>
          </cell>
          <cell r="AM220">
            <v>45040</v>
          </cell>
          <cell r="AN220"/>
          <cell r="AO220">
            <v>45041</v>
          </cell>
          <cell r="AP220" t="str">
            <v>AN HANDLE</v>
          </cell>
        </row>
        <row r="221">
          <cell r="A221">
            <v>96231090198</v>
          </cell>
          <cell r="B221" t="str">
            <v>EU</v>
          </cell>
          <cell r="C221">
            <v>0</v>
          </cell>
          <cell r="D221">
            <v>0</v>
          </cell>
          <cell r="E221" t="str">
            <v>TAN</v>
          </cell>
          <cell r="F221">
            <v>0</v>
          </cell>
          <cell r="G221">
            <v>0</v>
          </cell>
          <cell r="H221" t="str">
            <v>E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 t="str">
            <v>X</v>
          </cell>
          <cell r="Y221">
            <v>0</v>
          </cell>
          <cell r="Z221">
            <v>0</v>
          </cell>
          <cell r="AA221">
            <v>2</v>
          </cell>
          <cell r="AB221" t="str">
            <v>E, X</v>
          </cell>
          <cell r="AC221">
            <v>0</v>
          </cell>
          <cell r="AD221">
            <v>0</v>
          </cell>
          <cell r="AE221" t="str">
            <v>5/4, 4/27: NO CS PEND</v>
          </cell>
          <cell r="AF221" t="str">
            <v>IKEA SERVICES VIETNAM CO LTD</v>
          </cell>
          <cell r="AG221" t="str">
            <v>IKEA OF SWEDEN AB</v>
          </cell>
          <cell r="AH221" t="str">
            <v>REGULAR</v>
          </cell>
          <cell r="AI221">
            <v>45035</v>
          </cell>
          <cell r="AJ221"/>
          <cell r="AK221"/>
          <cell r="AL221">
            <v>45057</v>
          </cell>
          <cell r="AM221">
            <v>45057</v>
          </cell>
          <cell r="AN221"/>
          <cell r="AO221">
            <v>45058</v>
          </cell>
          <cell r="AP221" t="str">
            <v>ACTIVE</v>
          </cell>
        </row>
        <row r="222">
          <cell r="A222">
            <v>96231090295</v>
          </cell>
          <cell r="B222" t="str">
            <v>US2</v>
          </cell>
          <cell r="C222">
            <v>0</v>
          </cell>
          <cell r="D222">
            <v>0</v>
          </cell>
          <cell r="E222" t="str">
            <v>SHE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 t="str">
            <v>F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1</v>
          </cell>
          <cell r="AB222" t="str">
            <v>F</v>
          </cell>
          <cell r="AC222">
            <v>0</v>
          </cell>
          <cell r="AD222">
            <v>0</v>
          </cell>
          <cell r="AE222" t="str">
            <v>4/27: off nhận tiền rồi, 4/21: WAIT PREPAYMENT</v>
          </cell>
          <cell r="AF222" t="str">
            <v>HOANG GIA CO LTD</v>
          </cell>
          <cell r="AG222" t="str">
            <v>ASHLEY FURNITURE INDUSTRIES LLC</v>
          </cell>
          <cell r="AH222" t="str">
            <v>REGULAR</v>
          </cell>
          <cell r="AI222">
            <v>45035</v>
          </cell>
          <cell r="AJ222">
            <v>45036</v>
          </cell>
          <cell r="AK222">
            <v>45043</v>
          </cell>
          <cell r="AL222">
            <v>45106</v>
          </cell>
          <cell r="AM222">
            <v>45106</v>
          </cell>
          <cell r="AN222"/>
          <cell r="AO222">
            <v>45107</v>
          </cell>
          <cell r="AP222" t="str">
            <v>UNLOCK</v>
          </cell>
        </row>
        <row r="223">
          <cell r="A223">
            <v>96231090296</v>
          </cell>
          <cell r="B223" t="str">
            <v>US2</v>
          </cell>
          <cell r="C223">
            <v>0</v>
          </cell>
          <cell r="D223">
            <v>0</v>
          </cell>
          <cell r="E223" t="str">
            <v>SHE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 t="str">
            <v>F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1</v>
          </cell>
          <cell r="AB223" t="str">
            <v>F</v>
          </cell>
          <cell r="AC223">
            <v>0</v>
          </cell>
          <cell r="AD223">
            <v>0</v>
          </cell>
          <cell r="AE223" t="str">
            <v>4/27: off nhận tiền rồi, 4/21: WAIT PREPAYMENT</v>
          </cell>
          <cell r="AF223" t="str">
            <v>HOANG GIA CO LTD</v>
          </cell>
          <cell r="AG223" t="str">
            <v>ASHLEY FURNITURE INDUSTRIES LLC</v>
          </cell>
          <cell r="AH223" t="str">
            <v>REGULAR</v>
          </cell>
          <cell r="AI223">
            <v>45035</v>
          </cell>
          <cell r="AJ223">
            <v>45036</v>
          </cell>
          <cell r="AK223">
            <v>45043</v>
          </cell>
          <cell r="AL223">
            <v>45106</v>
          </cell>
          <cell r="AM223">
            <v>45106</v>
          </cell>
          <cell r="AN223"/>
          <cell r="AO223">
            <v>45107</v>
          </cell>
          <cell r="AP223" t="str">
            <v>UNLOCK</v>
          </cell>
        </row>
        <row r="224">
          <cell r="A224">
            <v>96231090297</v>
          </cell>
          <cell r="B224" t="str">
            <v>US2</v>
          </cell>
          <cell r="C224">
            <v>0</v>
          </cell>
          <cell r="D224">
            <v>0</v>
          </cell>
          <cell r="E224" t="str">
            <v>SHE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 t="str">
            <v>F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1</v>
          </cell>
          <cell r="AB224" t="str">
            <v>F</v>
          </cell>
          <cell r="AC224">
            <v>0</v>
          </cell>
          <cell r="AD224">
            <v>0</v>
          </cell>
          <cell r="AE224" t="str">
            <v>4/27: off nhận tiền rồi, 4/21: WAIT PREPAYMENT</v>
          </cell>
          <cell r="AF224" t="str">
            <v>HOANG GIA CO LTD</v>
          </cell>
          <cell r="AG224" t="str">
            <v>ASHLEY FURNITURE INDUSTRIES LLC</v>
          </cell>
          <cell r="AH224" t="str">
            <v>REGULAR</v>
          </cell>
          <cell r="AI224">
            <v>45035</v>
          </cell>
          <cell r="AJ224">
            <v>45036</v>
          </cell>
          <cell r="AK224">
            <v>45043</v>
          </cell>
          <cell r="AL224">
            <v>45106</v>
          </cell>
          <cell r="AM224">
            <v>45106</v>
          </cell>
          <cell r="AN224"/>
          <cell r="AO224">
            <v>45107</v>
          </cell>
          <cell r="AP224" t="str">
            <v>UNLOCK</v>
          </cell>
        </row>
        <row r="225">
          <cell r="A225">
            <v>96231090298</v>
          </cell>
          <cell r="B225" t="str">
            <v>US2</v>
          </cell>
          <cell r="C225">
            <v>0</v>
          </cell>
          <cell r="D225">
            <v>0</v>
          </cell>
          <cell r="E225" t="str">
            <v>SHE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 t="str">
            <v>F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1</v>
          </cell>
          <cell r="AB225" t="str">
            <v>F</v>
          </cell>
          <cell r="AC225">
            <v>0</v>
          </cell>
          <cell r="AD225">
            <v>0</v>
          </cell>
          <cell r="AE225" t="str">
            <v>4/27: off nhận tiền rồi, 4/21: WAIT PREPAYMENT</v>
          </cell>
          <cell r="AF225" t="str">
            <v>HOANG GIA CO LTD</v>
          </cell>
          <cell r="AG225" t="str">
            <v>ASHLEY FURNITURE INDUSTRIES LLC</v>
          </cell>
          <cell r="AH225" t="str">
            <v>REGULAR</v>
          </cell>
          <cell r="AI225">
            <v>45035</v>
          </cell>
          <cell r="AJ225">
            <v>45036</v>
          </cell>
          <cell r="AK225">
            <v>45043</v>
          </cell>
          <cell r="AL225">
            <v>45106</v>
          </cell>
          <cell r="AM225">
            <v>45106</v>
          </cell>
          <cell r="AN225"/>
          <cell r="AO225">
            <v>45107</v>
          </cell>
          <cell r="AP225" t="str">
            <v>UNLOCK</v>
          </cell>
        </row>
        <row r="226">
          <cell r="A226">
            <v>96231090392</v>
          </cell>
          <cell r="B226" t="str">
            <v>EU-AS</v>
          </cell>
          <cell r="C226">
            <v>0</v>
          </cell>
          <cell r="D226">
            <v>0</v>
          </cell>
          <cell r="E226" t="str">
            <v>VAN</v>
          </cell>
          <cell r="F226" t="str">
            <v>MAKING 0509</v>
          </cell>
          <cell r="G226">
            <v>0</v>
          </cell>
          <cell r="H226"/>
          <cell r="I226">
            <v>0</v>
          </cell>
          <cell r="J226"/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H, E</v>
          </cell>
          <cell r="AC226">
            <v>0</v>
          </cell>
          <cell r="AD226" t="str">
            <v>YES</v>
          </cell>
          <cell r="AE226" t="str">
            <v>4/27: received cushion for testing</v>
          </cell>
          <cell r="AF226" t="str">
            <v xml:space="preserve">SCANCOM VIETNAM LTD. </v>
          </cell>
          <cell r="AG226" t="str">
            <v xml:space="preserve">SCANCOM VIETNAM LTD. </v>
          </cell>
          <cell r="AH226" t="str">
            <v>REGULAR</v>
          </cell>
          <cell r="AI226">
            <v>45035</v>
          </cell>
          <cell r="AJ226">
            <v>45043</v>
          </cell>
          <cell r="AK226">
            <v>45043</v>
          </cell>
          <cell r="AL226">
            <v>45051</v>
          </cell>
          <cell r="AM226">
            <v>45051</v>
          </cell>
          <cell r="AN226"/>
          <cell r="AO226">
            <v>45052</v>
          </cell>
          <cell r="AP226" t="str">
            <v>DUE</v>
          </cell>
        </row>
        <row r="227">
          <cell r="A227">
            <v>96231090439</v>
          </cell>
          <cell r="B227" t="str">
            <v>TY</v>
          </cell>
          <cell r="C227">
            <v>0</v>
          </cell>
          <cell r="D227">
            <v>0</v>
          </cell>
          <cell r="E227" t="str">
            <v>VAN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 t="str">
            <v>H</v>
          </cell>
          <cell r="K227" t="str">
            <v>T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 t="str">
            <v>Q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3</v>
          </cell>
          <cell r="AB227" t="str">
            <v>H, T, Q, V</v>
          </cell>
          <cell r="AC227" t="str">
            <v>x</v>
          </cell>
          <cell r="AD227">
            <v>0</v>
          </cell>
          <cell r="AE227" t="str">
            <v>0506: Off hold; 4/26: waiting for confirm PI</v>
          </cell>
          <cell r="AF227" t="str">
            <v>STALLION SPORT LTD</v>
          </cell>
          <cell r="AG227" t="str">
            <v>STALLION SPORT LTD</v>
          </cell>
          <cell r="AH227" t="str">
            <v>REGULAR</v>
          </cell>
          <cell r="AI227">
            <v>45035</v>
          </cell>
          <cell r="AJ227">
            <v>45049</v>
          </cell>
          <cell r="AK227">
            <v>45052</v>
          </cell>
          <cell r="AL227">
            <v>45057</v>
          </cell>
          <cell r="AM227">
            <v>45057</v>
          </cell>
          <cell r="AN227"/>
          <cell r="AO227">
            <v>45058</v>
          </cell>
          <cell r="AP227" t="str">
            <v>OFF HOLD</v>
          </cell>
        </row>
        <row r="228">
          <cell r="A228">
            <v>96231090440</v>
          </cell>
          <cell r="B228" t="str">
            <v>TY</v>
          </cell>
          <cell r="C228">
            <v>0</v>
          </cell>
          <cell r="D228">
            <v>0</v>
          </cell>
          <cell r="E228" t="str">
            <v>VAN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 t="str">
            <v>H</v>
          </cell>
          <cell r="K228" t="str">
            <v>T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2</v>
          </cell>
          <cell r="AB228" t="str">
            <v>H, T, Q, V</v>
          </cell>
          <cell r="AC228" t="str">
            <v>x</v>
          </cell>
          <cell r="AD228">
            <v>0</v>
          </cell>
          <cell r="AE228" t="str">
            <v>0506: Off hold; 4/26: waiting for confirm PI</v>
          </cell>
          <cell r="AF228" t="str">
            <v>STALLION SPORT LTD</v>
          </cell>
          <cell r="AG228" t="str">
            <v>STALLION SPORT LTD</v>
          </cell>
          <cell r="AH228" t="str">
            <v>REGULAR</v>
          </cell>
          <cell r="AI228">
            <v>45035</v>
          </cell>
          <cell r="AJ228">
            <v>45049</v>
          </cell>
          <cell r="AK228">
            <v>45052</v>
          </cell>
          <cell r="AL228">
            <v>45057</v>
          </cell>
          <cell r="AM228">
            <v>45057</v>
          </cell>
          <cell r="AN228"/>
          <cell r="AO228">
            <v>45058</v>
          </cell>
          <cell r="AP228" t="str">
            <v>OFF HOLD</v>
          </cell>
        </row>
        <row r="229">
          <cell r="A229">
            <v>96231090444</v>
          </cell>
          <cell r="B229" t="str">
            <v>TY</v>
          </cell>
          <cell r="C229">
            <v>0</v>
          </cell>
          <cell r="D229">
            <v>0</v>
          </cell>
          <cell r="E229" t="str">
            <v>VAN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 t="str">
            <v>H</v>
          </cell>
          <cell r="K229" t="str">
            <v>T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2</v>
          </cell>
          <cell r="AB229" t="str">
            <v>H, T, Q, V</v>
          </cell>
          <cell r="AC229" t="str">
            <v>x</v>
          </cell>
          <cell r="AD229">
            <v>0</v>
          </cell>
          <cell r="AE229" t="str">
            <v>0506: Off hold; 4/26: waiting for confirm PI</v>
          </cell>
          <cell r="AF229" t="str">
            <v>STALLION SPORT LTD</v>
          </cell>
          <cell r="AG229" t="str">
            <v>STALLION SPORT LTD</v>
          </cell>
          <cell r="AH229" t="str">
            <v>REGULAR</v>
          </cell>
          <cell r="AI229">
            <v>45035</v>
          </cell>
          <cell r="AJ229">
            <v>45044</v>
          </cell>
          <cell r="AK229">
            <v>45044</v>
          </cell>
          <cell r="AL229">
            <v>45054</v>
          </cell>
          <cell r="AM229">
            <v>45054</v>
          </cell>
          <cell r="AN229"/>
          <cell r="AO229">
            <v>45055</v>
          </cell>
          <cell r="AP229" t="str">
            <v>ON HOLD</v>
          </cell>
        </row>
        <row r="230">
          <cell r="A230">
            <v>96231090451</v>
          </cell>
          <cell r="B230" t="str">
            <v>US2</v>
          </cell>
          <cell r="C230">
            <v>0</v>
          </cell>
          <cell r="D230">
            <v>0</v>
          </cell>
          <cell r="E230" t="str">
            <v>FLO</v>
          </cell>
          <cell r="F230">
            <v>0</v>
          </cell>
          <cell r="G230" t="str">
            <v>R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1</v>
          </cell>
          <cell r="AB230" t="str">
            <v>R</v>
          </cell>
          <cell r="AC230">
            <v>0</v>
          </cell>
          <cell r="AD230" t="str">
            <v>YES</v>
          </cell>
          <cell r="AE230" t="str">
            <v>04/28: no CS pending</v>
          </cell>
          <cell r="AF230" t="str">
            <v>LIVING STYLE (SINGAPORE) PTE LIMITED</v>
          </cell>
          <cell r="AG230" t="str">
            <v>LIVING STYLE (SINGAPORE) PTE LIMITED</v>
          </cell>
          <cell r="AH230" t="str">
            <v>REGULAR</v>
          </cell>
          <cell r="AI230">
            <v>45035</v>
          </cell>
          <cell r="AJ230"/>
          <cell r="AK230"/>
          <cell r="AL230">
            <v>45056</v>
          </cell>
          <cell r="AM230">
            <v>45056</v>
          </cell>
          <cell r="AN230">
            <v>45044</v>
          </cell>
          <cell r="AO230">
            <v>45056</v>
          </cell>
          <cell r="AP230" t="str">
            <v>MUST</v>
          </cell>
        </row>
        <row r="231">
          <cell r="A231">
            <v>96231090453</v>
          </cell>
          <cell r="B231" t="str">
            <v>US2</v>
          </cell>
          <cell r="C231">
            <v>0</v>
          </cell>
          <cell r="D231">
            <v>0</v>
          </cell>
          <cell r="E231" t="str">
            <v>FLO</v>
          </cell>
          <cell r="F231" t="str">
            <v>MAKING 0509</v>
          </cell>
          <cell r="G231"/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R</v>
          </cell>
          <cell r="AC231">
            <v>0</v>
          </cell>
          <cell r="AD231" t="str">
            <v>YES</v>
          </cell>
          <cell r="AE231" t="str">
            <v>04/28: no CS pending</v>
          </cell>
          <cell r="AF231" t="str">
            <v>LIVING STYLE (SINGAPORE) PTE LIMITED</v>
          </cell>
          <cell r="AG231" t="str">
            <v>LIVING STYLE (SINGAPORE) PTE LIMITED</v>
          </cell>
          <cell r="AH231" t="str">
            <v>REGULAR</v>
          </cell>
          <cell r="AI231">
            <v>45035</v>
          </cell>
          <cell r="AJ231"/>
          <cell r="AK231"/>
          <cell r="AL231">
            <v>45056</v>
          </cell>
          <cell r="AM231">
            <v>45056</v>
          </cell>
          <cell r="AN231">
            <v>45044</v>
          </cell>
          <cell r="AO231">
            <v>45056</v>
          </cell>
          <cell r="AP231" t="str">
            <v>MUST</v>
          </cell>
        </row>
        <row r="232">
          <cell r="A232">
            <v>96231090456</v>
          </cell>
          <cell r="B232" t="str">
            <v>US2</v>
          </cell>
          <cell r="C232">
            <v>0</v>
          </cell>
          <cell r="D232">
            <v>0</v>
          </cell>
          <cell r="E232" t="str">
            <v>FLO</v>
          </cell>
          <cell r="F232">
            <v>0</v>
          </cell>
          <cell r="G232" t="str">
            <v>R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1</v>
          </cell>
          <cell r="AB232" t="str">
            <v>R</v>
          </cell>
          <cell r="AC232">
            <v>0</v>
          </cell>
          <cell r="AD232" t="str">
            <v>YES</v>
          </cell>
          <cell r="AE232" t="str">
            <v>04/28: no CS pending</v>
          </cell>
          <cell r="AF232" t="str">
            <v>LIVING STYLE (SINGAPORE) PTE LIMITED</v>
          </cell>
          <cell r="AG232" t="str">
            <v>LIVING STYLE (SINGAPORE) PTE LIMITED</v>
          </cell>
          <cell r="AH232" t="str">
            <v>REGULAR</v>
          </cell>
          <cell r="AI232">
            <v>45035</v>
          </cell>
          <cell r="AJ232"/>
          <cell r="AK232"/>
          <cell r="AL232">
            <v>45056</v>
          </cell>
          <cell r="AM232">
            <v>45056</v>
          </cell>
          <cell r="AN232">
            <v>45044</v>
          </cell>
          <cell r="AO232">
            <v>45056</v>
          </cell>
          <cell r="AP232" t="str">
            <v>MUST</v>
          </cell>
        </row>
        <row r="233">
          <cell r="A233">
            <v>96231090507</v>
          </cell>
          <cell r="B233" t="str">
            <v>AN-CE44612</v>
          </cell>
          <cell r="C233">
            <v>0</v>
          </cell>
          <cell r="D233">
            <v>0</v>
          </cell>
          <cell r="E233" t="str">
            <v>VAN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 HANDLE</v>
          </cell>
          <cell r="AC233">
            <v>0</v>
          </cell>
          <cell r="AD233">
            <v>0</v>
          </cell>
          <cell r="AE233">
            <v>0</v>
          </cell>
          <cell r="AF233" t="str">
            <v>PT BUREAU VERITAS CONSUMER PRODUCTS SERVICES INDONESIA</v>
          </cell>
          <cell r="AG233" t="str">
            <v>PT BUREAU VERITAS CONSUMER PRODUCTS SERVICES INDONESIA</v>
          </cell>
          <cell r="AH233" t="str">
            <v>REGULAR</v>
          </cell>
          <cell r="AI233">
            <v>45035</v>
          </cell>
          <cell r="AJ233"/>
          <cell r="AK233"/>
          <cell r="AL233">
            <v>45035</v>
          </cell>
          <cell r="AM233">
            <v>45035</v>
          </cell>
          <cell r="AN233"/>
          <cell r="AO233">
            <v>45035</v>
          </cell>
          <cell r="AP233" t="str">
            <v>AN HANDLE</v>
          </cell>
        </row>
        <row r="234">
          <cell r="A234">
            <v>96231090559</v>
          </cell>
          <cell r="B234" t="str">
            <v>EU</v>
          </cell>
          <cell r="C234">
            <v>0</v>
          </cell>
          <cell r="D234">
            <v>0</v>
          </cell>
          <cell r="E234" t="str">
            <v>FLO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 HANDLE</v>
          </cell>
          <cell r="AC234" t="str">
            <v>x</v>
          </cell>
          <cell r="AD234" t="str">
            <v>YES</v>
          </cell>
          <cell r="AE234" t="str">
            <v>04/28: wait revise PI</v>
          </cell>
          <cell r="AF234" t="str">
            <v>VIETNAM HOUSEWARES CORPORATION</v>
          </cell>
          <cell r="AG234" t="str">
            <v>VIETNAM HOUSEWARES CORPORATION</v>
          </cell>
          <cell r="AH234" t="str">
            <v>REGULAR</v>
          </cell>
          <cell r="AI234">
            <v>45036</v>
          </cell>
          <cell r="AJ234">
            <v>45049</v>
          </cell>
          <cell r="AK234">
            <v>45050</v>
          </cell>
          <cell r="AL234">
            <v>45064</v>
          </cell>
          <cell r="AM234">
            <v>45064</v>
          </cell>
          <cell r="AN234"/>
          <cell r="AO234">
            <v>45065</v>
          </cell>
          <cell r="AP234" t="str">
            <v>OFF HOLD</v>
          </cell>
        </row>
        <row r="235">
          <cell r="A235">
            <v>96231090560</v>
          </cell>
          <cell r="B235" t="str">
            <v>EU</v>
          </cell>
          <cell r="C235">
            <v>0</v>
          </cell>
          <cell r="D235">
            <v>0</v>
          </cell>
          <cell r="E235" t="str">
            <v>FLO</v>
          </cell>
          <cell r="F235" t="str">
            <v>MAKING 0509</v>
          </cell>
          <cell r="G235">
            <v>0</v>
          </cell>
          <cell r="H235"/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E</v>
          </cell>
          <cell r="AC235" t="str">
            <v>x</v>
          </cell>
          <cell r="AD235" t="str">
            <v>YES</v>
          </cell>
          <cell r="AE235" t="str">
            <v>04/28: wait revise PI</v>
          </cell>
          <cell r="AF235" t="str">
            <v>VIETNAM HOUSEWARES CORPORATION</v>
          </cell>
          <cell r="AG235" t="str">
            <v>VIETNAM HOUSEWARES CORPORATION</v>
          </cell>
          <cell r="AH235" t="str">
            <v>REGULAR</v>
          </cell>
          <cell r="AI235">
            <v>45036</v>
          </cell>
          <cell r="AJ235">
            <v>45049</v>
          </cell>
          <cell r="AK235">
            <v>45050</v>
          </cell>
          <cell r="AL235">
            <v>45064</v>
          </cell>
          <cell r="AM235">
            <v>45064</v>
          </cell>
          <cell r="AN235"/>
          <cell r="AO235">
            <v>45065</v>
          </cell>
          <cell r="AP235" t="str">
            <v>OFF HOLD</v>
          </cell>
        </row>
        <row r="236">
          <cell r="A236">
            <v>96231090580</v>
          </cell>
          <cell r="B236" t="str">
            <v>NHAP KHO-KING TEC - 3/28 - 2 PCS</v>
          </cell>
          <cell r="C236">
            <v>0</v>
          </cell>
          <cell r="D236">
            <v>0</v>
          </cell>
          <cell r="E236" t="str">
            <v>MIN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 t="str">
            <v>0509: void</v>
          </cell>
          <cell r="AF236" t="str">
            <v>N/A</v>
          </cell>
          <cell r="AG236" t="str">
            <v>N/A</v>
          </cell>
          <cell r="AH236" t="str">
            <v>REGULAR</v>
          </cell>
          <cell r="AI236">
            <v>45035</v>
          </cell>
          <cell r="AJ236"/>
          <cell r="AK236"/>
          <cell r="AL236">
            <v>45035</v>
          </cell>
          <cell r="AM236">
            <v>45035</v>
          </cell>
          <cell r="AN236"/>
          <cell r="AO236">
            <v>45035</v>
          </cell>
          <cell r="AP236" t="str">
            <v>NHAP KHO</v>
          </cell>
        </row>
        <row r="237">
          <cell r="A237">
            <v>96231090595</v>
          </cell>
          <cell r="B237" t="str">
            <v>US1-TRANSFER QUALITY FROM 96231070514</v>
          </cell>
          <cell r="C237">
            <v>0</v>
          </cell>
          <cell r="D237">
            <v>0</v>
          </cell>
          <cell r="E237" t="str">
            <v>MIN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 t="str">
            <v>H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 t="str">
            <v>P</v>
          </cell>
          <cell r="P237">
            <v>0</v>
          </cell>
          <cell r="Q237" t="str">
            <v>F</v>
          </cell>
          <cell r="R237" t="str">
            <v>L</v>
          </cell>
          <cell r="S237">
            <v>0</v>
          </cell>
          <cell r="T237">
            <v>0</v>
          </cell>
          <cell r="U237" t="str">
            <v>A</v>
          </cell>
          <cell r="V237" t="str">
            <v>Q</v>
          </cell>
          <cell r="W237" t="str">
            <v>V</v>
          </cell>
          <cell r="X237">
            <v>0</v>
          </cell>
          <cell r="Y237">
            <v>0</v>
          </cell>
          <cell r="Z237">
            <v>0</v>
          </cell>
          <cell r="AA237">
            <v>7</v>
          </cell>
          <cell r="AB237" t="str">
            <v>H, A, F, L, P, Q, V</v>
          </cell>
          <cell r="AC237">
            <v>0</v>
          </cell>
          <cell r="AD237" t="str">
            <v>YES</v>
          </cell>
          <cell r="AE237" t="str">
            <v>0508: no CS pend</v>
          </cell>
          <cell r="AF237" t="str">
            <v>LIVING STYLE (SINGAPORE) PTE LIMITED</v>
          </cell>
          <cell r="AG237" t="str">
            <v>COSTCO PRE-PRODUCTION</v>
          </cell>
          <cell r="AH237" t="str">
            <v>REGULAR</v>
          </cell>
          <cell r="AI237">
            <v>45036</v>
          </cell>
          <cell r="AJ237">
            <v>45054</v>
          </cell>
          <cell r="AK237">
            <v>45054</v>
          </cell>
          <cell r="AL237">
            <v>45058</v>
          </cell>
          <cell r="AM237">
            <v>45058</v>
          </cell>
          <cell r="AN237"/>
          <cell r="AO237">
            <v>45059</v>
          </cell>
          <cell r="AP237" t="str">
            <v>OFF HOLD</v>
          </cell>
        </row>
        <row r="238">
          <cell r="A238">
            <v>96231090597</v>
          </cell>
          <cell r="B238" t="str">
            <v>NHAP KHO-HAO HAO/BEST FUR 4/18 - 1 PC</v>
          </cell>
          <cell r="C238">
            <v>0</v>
          </cell>
          <cell r="D238">
            <v>0</v>
          </cell>
          <cell r="E238" t="str">
            <v>MIN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 t="str">
            <v>N/A</v>
          </cell>
          <cell r="AG238" t="str">
            <v>N/A</v>
          </cell>
          <cell r="AH238" t="str">
            <v>REGULAR</v>
          </cell>
          <cell r="AI238">
            <v>45035</v>
          </cell>
          <cell r="AJ238"/>
          <cell r="AK238"/>
          <cell r="AL238">
            <v>45035</v>
          </cell>
          <cell r="AM238">
            <v>45035</v>
          </cell>
          <cell r="AN238"/>
          <cell r="AO238">
            <v>45035</v>
          </cell>
          <cell r="AP238" t="str">
            <v>NHAP KHO</v>
          </cell>
        </row>
        <row r="239">
          <cell r="A239">
            <v>96231100105</v>
          </cell>
          <cell r="B239" t="str">
            <v>CD</v>
          </cell>
          <cell r="C239">
            <v>0</v>
          </cell>
          <cell r="D239">
            <v>0</v>
          </cell>
          <cell r="E239" t="str">
            <v>MIN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 t="str">
            <v>H</v>
          </cell>
          <cell r="K239">
            <v>0</v>
          </cell>
          <cell r="L239">
            <v>0</v>
          </cell>
          <cell r="M239" t="str">
            <v>C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2</v>
          </cell>
          <cell r="AB239" t="str">
            <v>H, C, Q</v>
          </cell>
          <cell r="AC239">
            <v>0</v>
          </cell>
          <cell r="AD239" t="str">
            <v>YES</v>
          </cell>
          <cell r="AE239" t="str">
            <v>0509: no CS pend - 0422: receive extra sample</v>
          </cell>
          <cell r="AF239" t="str">
            <v>FLEMING INT'L LTD</v>
          </cell>
          <cell r="AG239" t="str">
            <v>H.E. BUTT GROCERY COMPANY (H-E-B)</v>
          </cell>
          <cell r="AH239" t="str">
            <v>REGULAR</v>
          </cell>
          <cell r="AI239">
            <v>45036</v>
          </cell>
          <cell r="AJ239">
            <v>45037</v>
          </cell>
          <cell r="AK239">
            <v>45038</v>
          </cell>
          <cell r="AL239">
            <v>45055</v>
          </cell>
          <cell r="AM239">
            <v>45055</v>
          </cell>
          <cell r="AN239">
            <v>45044</v>
          </cell>
          <cell r="AO239">
            <v>45055</v>
          </cell>
          <cell r="AP239" t="str">
            <v>DUE</v>
          </cell>
        </row>
        <row r="240">
          <cell r="A240">
            <v>96231100193</v>
          </cell>
          <cell r="B240" t="str">
            <v>US1-POPT</v>
          </cell>
          <cell r="C240">
            <v>0</v>
          </cell>
          <cell r="D240">
            <v>0</v>
          </cell>
          <cell r="E240" t="str">
            <v>MIN</v>
          </cell>
          <cell r="F240">
            <v>0</v>
          </cell>
          <cell r="G240" t="str">
            <v>R</v>
          </cell>
          <cell r="H240">
            <v>0</v>
          </cell>
          <cell r="I240">
            <v>0</v>
          </cell>
          <cell r="J240" t="str">
            <v>H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/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2</v>
          </cell>
          <cell r="AB240" t="str">
            <v>H, R, F</v>
          </cell>
          <cell r="AC240">
            <v>0</v>
          </cell>
          <cell r="AD240">
            <v>0</v>
          </cell>
          <cell r="AE240" t="str">
            <v>PoPT sampling</v>
          </cell>
          <cell r="AF240" t="str">
            <v>ACE ELITE CO LTD</v>
          </cell>
          <cell r="AG240" t="str">
            <v>THE HOME DEPOT INC</v>
          </cell>
          <cell r="AH240" t="str">
            <v>REGULAR</v>
          </cell>
          <cell r="AI240">
            <v>45036</v>
          </cell>
          <cell r="AJ240">
            <v>45036</v>
          </cell>
          <cell r="AK240">
            <v>45050</v>
          </cell>
          <cell r="AL240">
            <v>45056</v>
          </cell>
          <cell r="AM240">
            <v>45056</v>
          </cell>
          <cell r="AN240">
            <v>45056</v>
          </cell>
          <cell r="AO240">
            <v>45057</v>
          </cell>
          <cell r="AP240" t="str">
            <v>ACTIVE</v>
          </cell>
        </row>
        <row r="241">
          <cell r="A241">
            <v>96231100209</v>
          </cell>
          <cell r="B241" t="str">
            <v>US2</v>
          </cell>
          <cell r="C241">
            <v>0</v>
          </cell>
          <cell r="D241" t="str">
            <v>NGHIA</v>
          </cell>
          <cell r="E241" t="str">
            <v>VAN</v>
          </cell>
          <cell r="F241" t="str">
            <v>DONE 0505
MAKING 0504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H</v>
          </cell>
          <cell r="AC241" t="str">
            <v>x</v>
          </cell>
          <cell r="AD241">
            <v>0</v>
          </cell>
          <cell r="AE241" t="str">
            <v>5/9: no CS pend; 5/6: waiting prepayment; 0428:  Confirm quotation</v>
          </cell>
          <cell r="AF241" t="str">
            <v>TAN UYEN IMPORT AND EXPORT COMPANY LIMITED</v>
          </cell>
          <cell r="AG241" t="str">
            <v>TAN UYEN IMPORT AND EXPORT COMPANY LIMITED</v>
          </cell>
          <cell r="AH241" t="str">
            <v>REGULAR</v>
          </cell>
          <cell r="AI241">
            <v>45036</v>
          </cell>
          <cell r="AJ241">
            <v>45049</v>
          </cell>
          <cell r="AK241">
            <v>45044</v>
          </cell>
          <cell r="AL241">
            <v>45054</v>
          </cell>
          <cell r="AM241">
            <v>45054</v>
          </cell>
          <cell r="AN241"/>
          <cell r="AO241">
            <v>45055</v>
          </cell>
          <cell r="AP241" t="str">
            <v>OFF HOLD</v>
          </cell>
        </row>
        <row r="242">
          <cell r="A242">
            <v>96231100426</v>
          </cell>
          <cell r="B242" t="str">
            <v>JP</v>
          </cell>
          <cell r="C242" t="str">
            <v>pend-PI</v>
          </cell>
          <cell r="D242">
            <v>0</v>
          </cell>
          <cell r="E242" t="str">
            <v>TAN</v>
          </cell>
          <cell r="F242">
            <v>0</v>
          </cell>
          <cell r="G242" t="str">
            <v>R</v>
          </cell>
          <cell r="H242">
            <v>0</v>
          </cell>
          <cell r="I242">
            <v>0</v>
          </cell>
          <cell r="J242" t="str">
            <v>H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 t="str">
            <v>Q</v>
          </cell>
          <cell r="W242" t="str">
            <v>V</v>
          </cell>
          <cell r="X242">
            <v>0</v>
          </cell>
          <cell r="Y242">
            <v>0</v>
          </cell>
          <cell r="Z242">
            <v>0</v>
          </cell>
          <cell r="AA242">
            <v>4</v>
          </cell>
          <cell r="AB242" t="str">
            <v>H, R, Q, V</v>
          </cell>
          <cell r="AC242" t="str">
            <v>OEM, CSFU</v>
          </cell>
          <cell r="AD242">
            <v>0</v>
          </cell>
          <cell r="AE242" t="str">
            <v xml:space="preserve">5/3: wait prepayment 4/21: confirming PI - prepayment 4/10: wait blower 3/31: OEM </v>
          </cell>
          <cell r="AF242" t="str">
            <v>S AND B HARDWARE INC DBA TENTANDTABLE COM LLC</v>
          </cell>
          <cell r="AG242" t="str">
            <v>GLOBAL SELLERS PROGRAM</v>
          </cell>
          <cell r="AH242" t="str">
            <v>REGULAR</v>
          </cell>
          <cell r="AI242">
            <v>45036</v>
          </cell>
          <cell r="AJ242">
            <v>45050</v>
          </cell>
          <cell r="AK242"/>
          <cell r="AL242">
            <v>45042</v>
          </cell>
          <cell r="AM242">
            <v>45042</v>
          </cell>
          <cell r="AN242"/>
          <cell r="AO242">
            <v>45043</v>
          </cell>
          <cell r="AP242" t="str">
            <v>ON HOLD</v>
          </cell>
        </row>
        <row r="243">
          <cell r="A243">
            <v>96231100429</v>
          </cell>
          <cell r="B243" t="str">
            <v>JP</v>
          </cell>
          <cell r="C243" t="str">
            <v>pend-PI</v>
          </cell>
          <cell r="D243">
            <v>0</v>
          </cell>
          <cell r="E243" t="str">
            <v>TAN</v>
          </cell>
          <cell r="F243">
            <v>0</v>
          </cell>
          <cell r="G243" t="str">
            <v>R</v>
          </cell>
          <cell r="H243">
            <v>0</v>
          </cell>
          <cell r="I243">
            <v>0</v>
          </cell>
          <cell r="J243" t="str">
            <v>H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 t="str">
            <v>Q</v>
          </cell>
          <cell r="W243" t="str">
            <v>V</v>
          </cell>
          <cell r="X243">
            <v>0</v>
          </cell>
          <cell r="Y243">
            <v>0</v>
          </cell>
          <cell r="Z243">
            <v>0</v>
          </cell>
          <cell r="AA243">
            <v>4</v>
          </cell>
          <cell r="AB243" t="str">
            <v>H, R, Q, V</v>
          </cell>
          <cell r="AC243" t="str">
            <v>OEM, CSFU</v>
          </cell>
          <cell r="AD243">
            <v>0</v>
          </cell>
          <cell r="AE243" t="str">
            <v xml:space="preserve">5/3: wait prepayment 4/21: confirming PI - prepayment 4/10: wait blower 3/31: OEM </v>
          </cell>
          <cell r="AF243" t="str">
            <v>S AND B HARDWARE INC DBA TENTANDTABLE COM LLC</v>
          </cell>
          <cell r="AG243" t="str">
            <v>GLOBAL SELLERS PROGRAM</v>
          </cell>
          <cell r="AH243" t="str">
            <v>REGULAR</v>
          </cell>
          <cell r="AI243">
            <v>45036</v>
          </cell>
          <cell r="AJ243">
            <v>45050</v>
          </cell>
          <cell r="AK243"/>
          <cell r="AL243">
            <v>45042</v>
          </cell>
          <cell r="AM243">
            <v>45042</v>
          </cell>
          <cell r="AN243"/>
          <cell r="AO243">
            <v>45043</v>
          </cell>
          <cell r="AP243" t="str">
            <v>ON HOLD</v>
          </cell>
        </row>
        <row r="244">
          <cell r="A244">
            <v>96231100483</v>
          </cell>
          <cell r="B244" t="str">
            <v>EU</v>
          </cell>
          <cell r="C244">
            <v>0</v>
          </cell>
          <cell r="D244">
            <v>0</v>
          </cell>
          <cell r="E244" t="str">
            <v>SHE</v>
          </cell>
          <cell r="F244" t="str">
            <v>FIRST MAKING 0509-SL</v>
          </cell>
          <cell r="G244">
            <v>0</v>
          </cell>
          <cell r="H244"/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 t="str">
            <v>P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1</v>
          </cell>
          <cell r="AB244" t="str">
            <v>P, W, F, A, Q, V</v>
          </cell>
          <cell r="AC244" t="str">
            <v>x</v>
          </cell>
          <cell r="AD244" t="str">
            <v>YES</v>
          </cell>
          <cell r="AE244" t="str">
            <v xml:space="preserve">5/4: off, 5/4: wait confirm for chemical, off list chất, 4/25: wait list chất azo, off care </v>
          </cell>
          <cell r="AF244" t="str">
            <v>GARDENLINE INTERNATIONAL PTY LTD</v>
          </cell>
          <cell r="AG244" t="str">
            <v>GARDENLINE INTERNATIONAL PTY LTD</v>
          </cell>
          <cell r="AH244" t="str">
            <v>REGULAR</v>
          </cell>
          <cell r="AI244">
            <v>45036</v>
          </cell>
          <cell r="AJ244">
            <v>45049</v>
          </cell>
          <cell r="AK244">
            <v>45050</v>
          </cell>
          <cell r="AL244">
            <v>45057</v>
          </cell>
          <cell r="AM244">
            <v>45057</v>
          </cell>
          <cell r="AN244">
            <v>45167</v>
          </cell>
          <cell r="AO244">
            <v>45057</v>
          </cell>
          <cell r="AP244" t="str">
            <v>OFF HOLD</v>
          </cell>
        </row>
        <row r="245">
          <cell r="A245">
            <v>96231100492</v>
          </cell>
          <cell r="B245" t="str">
            <v>US2</v>
          </cell>
          <cell r="C245">
            <v>0</v>
          </cell>
          <cell r="D245">
            <v>0</v>
          </cell>
          <cell r="E245" t="str">
            <v>MIN</v>
          </cell>
          <cell r="F245">
            <v>0</v>
          </cell>
          <cell r="G245" t="str">
            <v>R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1</v>
          </cell>
          <cell r="AB245" t="str">
            <v>R</v>
          </cell>
          <cell r="AC245">
            <v>0</v>
          </cell>
          <cell r="AD245">
            <v>0</v>
          </cell>
          <cell r="AE245" t="str">
            <v>0422: no CS pend</v>
          </cell>
          <cell r="AF245" t="str">
            <v>LOI HAO VIETNAM PRODUCE TRADE CO LTD</v>
          </cell>
          <cell r="AG245" t="str">
            <v>MARMAXX GROUP</v>
          </cell>
          <cell r="AH245" t="str">
            <v>REGULAR</v>
          </cell>
          <cell r="AI245">
            <v>45036</v>
          </cell>
          <cell r="AJ245">
            <v>45042</v>
          </cell>
          <cell r="AK245">
            <v>45042</v>
          </cell>
          <cell r="AL245">
            <v>45066</v>
          </cell>
          <cell r="AM245">
            <v>45066</v>
          </cell>
          <cell r="AN245"/>
          <cell r="AO245">
            <v>45068</v>
          </cell>
          <cell r="AP245" t="str">
            <v>OFF HOLD</v>
          </cell>
        </row>
        <row r="246">
          <cell r="A246">
            <v>96231100494</v>
          </cell>
          <cell r="B246" t="str">
            <v>US2</v>
          </cell>
          <cell r="C246">
            <v>0</v>
          </cell>
          <cell r="D246">
            <v>0</v>
          </cell>
          <cell r="E246" t="str">
            <v>MIN</v>
          </cell>
          <cell r="F246">
            <v>0</v>
          </cell>
          <cell r="G246" t="str">
            <v>R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1</v>
          </cell>
          <cell r="AB246" t="str">
            <v xml:space="preserve"> R</v>
          </cell>
          <cell r="AC246">
            <v>0</v>
          </cell>
          <cell r="AD246">
            <v>0</v>
          </cell>
          <cell r="AE246" t="str">
            <v>0422: no CS pend</v>
          </cell>
          <cell r="AF246" t="str">
            <v>LOI HAO VIETNAM PRODUCE TRADE CO LTD</v>
          </cell>
          <cell r="AG246" t="str">
            <v>MARMAXX GROUP</v>
          </cell>
          <cell r="AH246" t="str">
            <v>REGULAR</v>
          </cell>
          <cell r="AI246">
            <v>45036</v>
          </cell>
          <cell r="AJ246"/>
          <cell r="AK246"/>
          <cell r="AL246">
            <v>45068</v>
          </cell>
          <cell r="AM246">
            <v>45068</v>
          </cell>
          <cell r="AN246">
            <v>45063</v>
          </cell>
          <cell r="AO246">
            <v>45068</v>
          </cell>
          <cell r="AP246" t="str">
            <v>ACTIVE</v>
          </cell>
        </row>
        <row r="247">
          <cell r="A247">
            <v>96231100638</v>
          </cell>
          <cell r="B247" t="str">
            <v>CD</v>
          </cell>
          <cell r="C247">
            <v>0</v>
          </cell>
          <cell r="D247">
            <v>0</v>
          </cell>
          <cell r="E247" t="str">
            <v>ELV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 t="str">
            <v>H</v>
          </cell>
          <cell r="K247">
            <v>0</v>
          </cell>
          <cell r="L247">
            <v>0</v>
          </cell>
          <cell r="M247" t="str">
            <v>C</v>
          </cell>
          <cell r="N247">
            <v>0</v>
          </cell>
          <cell r="O247">
            <v>0</v>
          </cell>
          <cell r="P247">
            <v>0</v>
          </cell>
          <cell r="Q247" t="str">
            <v>F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3</v>
          </cell>
          <cell r="AB247" t="str">
            <v>H, C, F, Q, V</v>
          </cell>
          <cell r="AC247">
            <v>0</v>
          </cell>
          <cell r="AD247" t="str">
            <v>YES</v>
          </cell>
          <cell r="AE247" t="str">
            <v xml:space="preserve">0426 No CS pending, 0422: Ask artwork </v>
          </cell>
          <cell r="AF247" t="str">
            <v>DOAN POTTERS LTD. (HONGKONG OFFICE)</v>
          </cell>
          <cell r="AG247" t="str">
            <v>WILLIAMS-SONOMA INC</v>
          </cell>
          <cell r="AH247" t="str">
            <v>REGULAR</v>
          </cell>
          <cell r="AI247">
            <v>45037</v>
          </cell>
          <cell r="AJ247">
            <v>45051</v>
          </cell>
          <cell r="AK247">
            <v>45052</v>
          </cell>
          <cell r="AL247">
            <v>45057</v>
          </cell>
          <cell r="AM247">
            <v>45057</v>
          </cell>
          <cell r="AN247"/>
          <cell r="AO247">
            <v>45058</v>
          </cell>
          <cell r="AP247" t="str">
            <v>OFF HOLD</v>
          </cell>
        </row>
        <row r="248">
          <cell r="A248">
            <v>96231100654</v>
          </cell>
          <cell r="B248" t="str">
            <v>CD</v>
          </cell>
          <cell r="C248">
            <v>0</v>
          </cell>
          <cell r="D248">
            <v>0</v>
          </cell>
          <cell r="E248" t="str">
            <v>TAN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 t="str">
            <v>H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1</v>
          </cell>
          <cell r="AB248" t="str">
            <v>H, Q, V, A</v>
          </cell>
          <cell r="AC248" t="str">
            <v>x</v>
          </cell>
          <cell r="AD248">
            <v>0</v>
          </cell>
          <cell r="AE248" t="str">
            <v>5/4: PEND DOCS, 4/25: PEND DOCS, TESTING INFO</v>
          </cell>
          <cell r="AF248" t="str">
            <v>WANXINDA (GUANGZHOU) TECHNOLOGY PRODUCT CO LTD</v>
          </cell>
          <cell r="AG248" t="str">
            <v>AMAZON.COM SERVICES LLC (HPB)</v>
          </cell>
          <cell r="AH248" t="str">
            <v>REGULAR</v>
          </cell>
          <cell r="AI248">
            <v>45037</v>
          </cell>
          <cell r="AJ248">
            <v>45049</v>
          </cell>
          <cell r="AK248">
            <v>45044</v>
          </cell>
          <cell r="AL248">
            <v>45054</v>
          </cell>
          <cell r="AM248">
            <v>45054</v>
          </cell>
          <cell r="AN248"/>
          <cell r="AO248">
            <v>45055</v>
          </cell>
          <cell r="AP248" t="str">
            <v>ON HOLD</v>
          </cell>
        </row>
        <row r="249">
          <cell r="A249">
            <v>96231100662</v>
          </cell>
          <cell r="B249" t="str">
            <v>US1-POPT</v>
          </cell>
          <cell r="C249">
            <v>0</v>
          </cell>
          <cell r="D249">
            <v>0</v>
          </cell>
          <cell r="E249" t="str">
            <v>MIN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 t="str">
            <v>PoPT sampling</v>
          </cell>
          <cell r="AF249" t="str">
            <v>N/A</v>
          </cell>
          <cell r="AG249" t="str">
            <v>THE HOME DEPOT INC</v>
          </cell>
          <cell r="AH249" t="str">
            <v>REGULAR</v>
          </cell>
          <cell r="AI249">
            <v>45037</v>
          </cell>
          <cell r="AJ249">
            <v>45037</v>
          </cell>
          <cell r="AK249"/>
          <cell r="AL249">
            <v>45036</v>
          </cell>
          <cell r="AM249">
            <v>45036</v>
          </cell>
          <cell r="AN249"/>
          <cell r="AO249">
            <v>45036</v>
          </cell>
          <cell r="AP249" t="str">
            <v>ON HOLD</v>
          </cell>
        </row>
        <row r="250">
          <cell r="A250">
            <v>96231110038</v>
          </cell>
          <cell r="B250" t="str">
            <v>JP</v>
          </cell>
          <cell r="C250" t="str">
            <v>LIAM</v>
          </cell>
          <cell r="D250" t="str">
            <v>NGHIA</v>
          </cell>
          <cell r="E250" t="str">
            <v>TAN</v>
          </cell>
          <cell r="F250" t="str">
            <v>DONE 0509
MAKING 0504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H</v>
          </cell>
          <cell r="AC250">
            <v>0</v>
          </cell>
          <cell r="AD250" t="str">
            <v>YES</v>
          </cell>
          <cell r="AE250" t="str">
            <v xml:space="preserve">5/3: test to failure, no cs pend </v>
          </cell>
          <cell r="AF250" t="str">
            <v>MILLION DOLLAR BABY</v>
          </cell>
          <cell r="AG250" t="str">
            <v>MILLION DOLLAR BABY</v>
          </cell>
          <cell r="AH250" t="str">
            <v>REGULAR</v>
          </cell>
          <cell r="AI250">
            <v>45037</v>
          </cell>
          <cell r="AJ250">
            <v>45050</v>
          </cell>
          <cell r="AK250">
            <v>45052</v>
          </cell>
          <cell r="AL250">
            <v>45057</v>
          </cell>
          <cell r="AM250">
            <v>45057</v>
          </cell>
          <cell r="AN250"/>
          <cell r="AO250">
            <v>45058</v>
          </cell>
          <cell r="AP250" t="str">
            <v>OFF HOLD</v>
          </cell>
        </row>
        <row r="251">
          <cell r="A251">
            <v>96231110118</v>
          </cell>
          <cell r="B251" t="str">
            <v>US1-AS</v>
          </cell>
          <cell r="C251">
            <v>0</v>
          </cell>
          <cell r="D251">
            <v>0</v>
          </cell>
          <cell r="E251" t="str">
            <v>MIN</v>
          </cell>
          <cell r="F251" t="str">
            <v>MAKING 0509</v>
          </cell>
          <cell r="G251"/>
          <cell r="H251">
            <v>0</v>
          </cell>
          <cell r="I251">
            <v>0</v>
          </cell>
          <cell r="J251"/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/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H, R, P, W, F, L, Q, V</v>
          </cell>
          <cell r="AC251">
            <v>0</v>
          </cell>
          <cell r="AD251">
            <v>0</v>
          </cell>
          <cell r="AE251" t="str">
            <v>0508: no CS pend</v>
          </cell>
          <cell r="AF251" t="str">
            <v>KUKA (HK) TRADE CO LIMITED</v>
          </cell>
          <cell r="AG251" t="str">
            <v>WAL-MART.COM USA, LLC</v>
          </cell>
          <cell r="AH251" t="str">
            <v>REGULAR</v>
          </cell>
          <cell r="AI251">
            <v>45037</v>
          </cell>
          <cell r="AJ251">
            <v>45043</v>
          </cell>
          <cell r="AK251">
            <v>45043</v>
          </cell>
          <cell r="AL251">
            <v>45051</v>
          </cell>
          <cell r="AM251">
            <v>45051</v>
          </cell>
          <cell r="AN251"/>
          <cell r="AO251">
            <v>45052</v>
          </cell>
          <cell r="AP251" t="str">
            <v>LATECS</v>
          </cell>
        </row>
        <row r="252">
          <cell r="A252">
            <v>96231110129</v>
          </cell>
          <cell r="B252" t="str">
            <v>US1</v>
          </cell>
          <cell r="C252">
            <v>0</v>
          </cell>
          <cell r="D252">
            <v>0</v>
          </cell>
          <cell r="E252" t="str">
            <v>ELV</v>
          </cell>
          <cell r="F252">
            <v>0</v>
          </cell>
          <cell r="G252" t="str">
            <v>R</v>
          </cell>
          <cell r="H252">
            <v>0</v>
          </cell>
          <cell r="I252">
            <v>0</v>
          </cell>
          <cell r="J252" t="str">
            <v>H</v>
          </cell>
          <cell r="K252">
            <v>0</v>
          </cell>
          <cell r="L252" t="str">
            <v>J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 t="str">
            <v>L</v>
          </cell>
          <cell r="S252">
            <v>0</v>
          </cell>
          <cell r="T252">
            <v>0</v>
          </cell>
          <cell r="U252" t="str">
            <v>A</v>
          </cell>
          <cell r="V252">
            <v>0</v>
          </cell>
          <cell r="W252" t="str">
            <v>V</v>
          </cell>
          <cell r="X252">
            <v>0</v>
          </cell>
          <cell r="Y252">
            <v>0</v>
          </cell>
          <cell r="Z252">
            <v>0</v>
          </cell>
          <cell r="AA252">
            <v>6</v>
          </cell>
          <cell r="AB252" t="str">
            <v>H, J, R, L, A, Q, V</v>
          </cell>
          <cell r="AC252">
            <v>0</v>
          </cell>
          <cell r="AD252" t="str">
            <v>YES</v>
          </cell>
          <cell r="AE252">
            <v>0</v>
          </cell>
          <cell r="AF252" t="str">
            <v>KODA LTD.</v>
          </cell>
          <cell r="AG252" t="str">
            <v>WILLIAMS-SONOMA INC</v>
          </cell>
          <cell r="AH252" t="str">
            <v>REGULAR</v>
          </cell>
          <cell r="AI252">
            <v>45037</v>
          </cell>
          <cell r="AJ252">
            <v>45041</v>
          </cell>
          <cell r="AK252">
            <v>45042</v>
          </cell>
          <cell r="AL252">
            <v>45056</v>
          </cell>
          <cell r="AM252">
            <v>45056</v>
          </cell>
          <cell r="AN252"/>
          <cell r="AO252">
            <v>45057</v>
          </cell>
          <cell r="AP252" t="str">
            <v>OFF HOLD</v>
          </cell>
        </row>
        <row r="253">
          <cell r="A253">
            <v>96231110173</v>
          </cell>
          <cell r="B253" t="str">
            <v>US2-TRANSFER 96231080399/1080416</v>
          </cell>
          <cell r="C253">
            <v>0</v>
          </cell>
          <cell r="D253">
            <v>0</v>
          </cell>
          <cell r="E253" t="str">
            <v>SHE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 t="str">
            <v>H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 t="str">
            <v>P</v>
          </cell>
          <cell r="P253" t="str">
            <v>W</v>
          </cell>
          <cell r="Q253" t="str">
            <v>F</v>
          </cell>
          <cell r="R253" t="str">
            <v>L</v>
          </cell>
          <cell r="S253" t="str">
            <v>M</v>
          </cell>
          <cell r="T253">
            <v>0</v>
          </cell>
          <cell r="U253" t="str">
            <v>A</v>
          </cell>
          <cell r="V253" t="str">
            <v>Q</v>
          </cell>
          <cell r="W253" t="str">
            <v>V</v>
          </cell>
          <cell r="X253">
            <v>0</v>
          </cell>
          <cell r="Y253">
            <v>0</v>
          </cell>
          <cell r="Z253">
            <v>0</v>
          </cell>
          <cell r="AA253">
            <v>9</v>
          </cell>
          <cell r="AB253" t="str">
            <v>H, P, W, F, L, M, A, Q, V</v>
          </cell>
          <cell r="AC253">
            <v>0</v>
          </cell>
          <cell r="AD253">
            <v>0</v>
          </cell>
          <cell r="AE253" t="str">
            <v>4/28: wait foam+ vải, doccs/ nhận da rồi, off PI, 4/26: update form, wait onhold, wait confirm PI</v>
          </cell>
          <cell r="AF253" t="str">
            <v>STARWOOD FURNITURE MFG VN CORP</v>
          </cell>
          <cell r="AG253" t="str">
            <v xml:space="preserve">CRATE &amp; BARREL </v>
          </cell>
          <cell r="AH253" t="str">
            <v>REGULAR</v>
          </cell>
          <cell r="AI253">
            <v>45037</v>
          </cell>
          <cell r="AJ253">
            <v>45050</v>
          </cell>
          <cell r="AK253">
            <v>45044</v>
          </cell>
          <cell r="AL253">
            <v>45054</v>
          </cell>
          <cell r="AM253">
            <v>45054</v>
          </cell>
          <cell r="AN253"/>
          <cell r="AO253">
            <v>45055</v>
          </cell>
          <cell r="AP253" t="str">
            <v>ON HOLD</v>
          </cell>
        </row>
        <row r="254">
          <cell r="A254">
            <v>96231110199</v>
          </cell>
          <cell r="B254" t="str">
            <v>US2-RF SP 96231070243</v>
          </cell>
          <cell r="C254">
            <v>0</v>
          </cell>
          <cell r="D254">
            <v>0</v>
          </cell>
          <cell r="E254" t="str">
            <v>VAN</v>
          </cell>
          <cell r="F254" t="str">
            <v>FIRST MAKING 0506-SL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Y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1</v>
          </cell>
          <cell r="AB254" t="str">
            <v>Y</v>
          </cell>
          <cell r="AC254">
            <v>0</v>
          </cell>
          <cell r="AD254">
            <v>0</v>
          </cell>
          <cell r="AE254">
            <v>0</v>
          </cell>
          <cell r="AF254" t="str">
            <v>SIGNATURE HOME FURNISHINGS CO LTD</v>
          </cell>
          <cell r="AG254" t="str">
            <v>SIGNATURE HOME FURNISHINGS CO LTD</v>
          </cell>
          <cell r="AH254" t="str">
            <v>REGULAR</v>
          </cell>
          <cell r="AI254">
            <v>45037</v>
          </cell>
          <cell r="AJ254"/>
          <cell r="AK254"/>
          <cell r="AL254">
            <v>45073</v>
          </cell>
          <cell r="AM254">
            <v>45073</v>
          </cell>
          <cell r="AN254"/>
          <cell r="AO254">
            <v>45075</v>
          </cell>
          <cell r="AP254" t="str">
            <v>ACTIVE</v>
          </cell>
        </row>
        <row r="255">
          <cell r="A255">
            <v>96231110268</v>
          </cell>
          <cell r="B255" t="str">
            <v>TY</v>
          </cell>
          <cell r="C255" t="str">
            <v>0503: testing</v>
          </cell>
          <cell r="D255">
            <v>0</v>
          </cell>
          <cell r="E255" t="str">
            <v>TAN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 t="str">
            <v>H</v>
          </cell>
          <cell r="K255" t="str">
            <v>T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 t="str">
            <v>M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3</v>
          </cell>
          <cell r="AB255" t="str">
            <v>H, T, L, M, Q, V</v>
          </cell>
          <cell r="AC255">
            <v>0</v>
          </cell>
          <cell r="AD255" t="str">
            <v>YES</v>
          </cell>
          <cell r="AE255" t="str">
            <v xml:space="preserve">5/4: wait Point of Sale photo </v>
          </cell>
          <cell r="AF255" t="str">
            <v>DANU INTERNATIONAL LTD</v>
          </cell>
          <cell r="AG255" t="str">
            <v>THE DISNEY STORE, INC (CA)</v>
          </cell>
          <cell r="AH255" t="str">
            <v>REGULAR</v>
          </cell>
          <cell r="AI255">
            <v>45037</v>
          </cell>
          <cell r="AJ255">
            <v>45049</v>
          </cell>
          <cell r="AK255">
            <v>45050</v>
          </cell>
          <cell r="AL255">
            <v>45055</v>
          </cell>
          <cell r="AM255">
            <v>45055</v>
          </cell>
          <cell r="AN255"/>
          <cell r="AO255">
            <v>45056</v>
          </cell>
          <cell r="AP255" t="str">
            <v>MUST</v>
          </cell>
        </row>
        <row r="256">
          <cell r="A256">
            <v>96231110270</v>
          </cell>
          <cell r="B256" t="str">
            <v>TY-RF SP 96231110268</v>
          </cell>
          <cell r="C256">
            <v>0</v>
          </cell>
          <cell r="D256">
            <v>0</v>
          </cell>
          <cell r="E256" t="str">
            <v>TAN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 t="str">
            <v>H</v>
          </cell>
          <cell r="K256" t="str">
            <v>T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 t="str">
            <v>L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3</v>
          </cell>
          <cell r="AB256" t="str">
            <v>H, T, L, M, Q, V</v>
          </cell>
          <cell r="AC256">
            <v>0</v>
          </cell>
          <cell r="AD256" t="str">
            <v>YES</v>
          </cell>
          <cell r="AE256" t="str">
            <v xml:space="preserve">5/4: wait Point of Sale photo </v>
          </cell>
          <cell r="AF256" t="str">
            <v>DANU INTERNATIONAL LTD</v>
          </cell>
          <cell r="AG256" t="str">
            <v>THE DISNEY STORE, INC (CA)</v>
          </cell>
          <cell r="AH256" t="str">
            <v>REGULAR</v>
          </cell>
          <cell r="AI256">
            <v>45037</v>
          </cell>
          <cell r="AJ256">
            <v>45049</v>
          </cell>
          <cell r="AK256">
            <v>45050</v>
          </cell>
          <cell r="AL256">
            <v>45055</v>
          </cell>
          <cell r="AM256">
            <v>45055</v>
          </cell>
          <cell r="AN256"/>
          <cell r="AO256">
            <v>45056</v>
          </cell>
          <cell r="AP256" t="str">
            <v>MUST</v>
          </cell>
        </row>
        <row r="257">
          <cell r="A257">
            <v>96231110272</v>
          </cell>
          <cell r="B257" t="str">
            <v>TY-RF SP 96231110268</v>
          </cell>
          <cell r="C257">
            <v>0</v>
          </cell>
          <cell r="D257">
            <v>0</v>
          </cell>
          <cell r="E257" t="str">
            <v>TAN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 t="str">
            <v>H</v>
          </cell>
          <cell r="K257" t="str">
            <v>T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 t="str">
            <v>L</v>
          </cell>
          <cell r="S257" t="str">
            <v>M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4</v>
          </cell>
          <cell r="AB257" t="str">
            <v>H, T, L, M, Q, V</v>
          </cell>
          <cell r="AC257">
            <v>0</v>
          </cell>
          <cell r="AD257" t="str">
            <v>YES</v>
          </cell>
          <cell r="AE257" t="str">
            <v xml:space="preserve">5/4: wait Point of Sale photo </v>
          </cell>
          <cell r="AF257" t="str">
            <v>DANU INTERNATIONAL LTD</v>
          </cell>
          <cell r="AG257" t="str">
            <v>THE DISNEY STORE, INC (CA)</v>
          </cell>
          <cell r="AH257" t="str">
            <v>REGULAR</v>
          </cell>
          <cell r="AI257">
            <v>45037</v>
          </cell>
          <cell r="AJ257">
            <v>45049</v>
          </cell>
          <cell r="AK257">
            <v>45050</v>
          </cell>
          <cell r="AL257">
            <v>45055</v>
          </cell>
          <cell r="AM257">
            <v>45055</v>
          </cell>
          <cell r="AN257"/>
          <cell r="AO257">
            <v>45056</v>
          </cell>
          <cell r="AP257" t="str">
            <v>MUST</v>
          </cell>
        </row>
        <row r="258">
          <cell r="A258">
            <v>96231110279</v>
          </cell>
          <cell r="B258" t="str">
            <v>US2</v>
          </cell>
          <cell r="C258">
            <v>0</v>
          </cell>
          <cell r="D258">
            <v>0</v>
          </cell>
          <cell r="E258" t="str">
            <v>FLO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 t="str">
            <v>H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1</v>
          </cell>
          <cell r="AB258" t="str">
            <v>H</v>
          </cell>
          <cell r="AC258">
            <v>0</v>
          </cell>
          <cell r="AD258" t="str">
            <v>YES</v>
          </cell>
          <cell r="AE258" t="str">
            <v>04/28: PI confirmed</v>
          </cell>
          <cell r="AF258" t="str">
            <v>VIETNAM HOUSEWARES CORPORATION</v>
          </cell>
          <cell r="AG258" t="str">
            <v>VIETNAM HOUSEWARES CORPORATION</v>
          </cell>
          <cell r="AH258" t="str">
            <v>REGULAR</v>
          </cell>
          <cell r="AI258">
            <v>45037</v>
          </cell>
          <cell r="AJ258">
            <v>45043</v>
          </cell>
          <cell r="AK258">
            <v>45044</v>
          </cell>
          <cell r="AL258">
            <v>45058</v>
          </cell>
          <cell r="AM258">
            <v>45058</v>
          </cell>
          <cell r="AN258">
            <v>45054</v>
          </cell>
          <cell r="AO258">
            <v>45058</v>
          </cell>
          <cell r="AP258" t="str">
            <v>OFF HOLD</v>
          </cell>
        </row>
        <row r="259">
          <cell r="A259">
            <v>96231110331</v>
          </cell>
          <cell r="B259" t="str">
            <v>US1</v>
          </cell>
          <cell r="C259">
            <v>0</v>
          </cell>
          <cell r="D259">
            <v>0</v>
          </cell>
          <cell r="E259" t="str">
            <v>FLO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 t="str">
            <v>H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 t="str">
            <v>Q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2</v>
          </cell>
          <cell r="AB259" t="str">
            <v>H, Q</v>
          </cell>
          <cell r="AC259" t="str">
            <v>x</v>
          </cell>
          <cell r="AD259" t="str">
            <v>YES</v>
          </cell>
          <cell r="AE259" t="str">
            <v>05/08:Wait extra sample; 04/24: PI confirmed,wait extra sample</v>
          </cell>
          <cell r="AF259" t="str">
            <v>KODA LTD.</v>
          </cell>
          <cell r="AG259" t="str">
            <v>WORLD MARKET</v>
          </cell>
          <cell r="AH259" t="str">
            <v>REGULAR</v>
          </cell>
          <cell r="AI259">
            <v>45037</v>
          </cell>
          <cell r="AJ259">
            <v>45049</v>
          </cell>
          <cell r="AK259">
            <v>45044</v>
          </cell>
          <cell r="AL259">
            <v>45054</v>
          </cell>
          <cell r="AM259">
            <v>45054</v>
          </cell>
          <cell r="AN259"/>
          <cell r="AO259">
            <v>45055</v>
          </cell>
          <cell r="AP259" t="str">
            <v>ON HOLD</v>
          </cell>
        </row>
        <row r="260">
          <cell r="A260">
            <v>96231110339</v>
          </cell>
          <cell r="B260" t="str">
            <v>US1-AS</v>
          </cell>
          <cell r="C260">
            <v>0</v>
          </cell>
          <cell r="D260">
            <v>0</v>
          </cell>
          <cell r="E260" t="str">
            <v>MIN</v>
          </cell>
          <cell r="F260">
            <v>0</v>
          </cell>
          <cell r="G260" t="str">
            <v>R</v>
          </cell>
          <cell r="H260">
            <v>0</v>
          </cell>
          <cell r="I260">
            <v>0</v>
          </cell>
          <cell r="J260" t="str">
            <v>H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 t="str">
            <v>Q</v>
          </cell>
          <cell r="W260" t="str">
            <v>V</v>
          </cell>
          <cell r="X260">
            <v>0</v>
          </cell>
          <cell r="Y260">
            <v>0</v>
          </cell>
          <cell r="Z260">
            <v>0</v>
          </cell>
          <cell r="AA260">
            <v>4</v>
          </cell>
          <cell r="AB260" t="str">
            <v>H, R, Q, V</v>
          </cell>
          <cell r="AC260">
            <v>0</v>
          </cell>
          <cell r="AD260" t="str">
            <v>YES</v>
          </cell>
          <cell r="AE260" t="str">
            <v>0429-0425: ask docs, report refer AN</v>
          </cell>
          <cell r="AF260" t="str">
            <v>DOREL HOME FURNISHINGS INC (US)</v>
          </cell>
          <cell r="AG260" t="str">
            <v>DOREL HOME FURNISHINGS INC (US)</v>
          </cell>
          <cell r="AH260" t="str">
            <v>REGULAR</v>
          </cell>
          <cell r="AI260">
            <v>45037</v>
          </cell>
          <cell r="AJ260">
            <v>45049</v>
          </cell>
          <cell r="AK260">
            <v>45044</v>
          </cell>
          <cell r="AL260">
            <v>45055</v>
          </cell>
          <cell r="AM260">
            <v>45055</v>
          </cell>
          <cell r="AN260"/>
          <cell r="AO260">
            <v>45056</v>
          </cell>
          <cell r="AP260" t="str">
            <v>ON HOLD</v>
          </cell>
        </row>
        <row r="261">
          <cell r="A261">
            <v>96231110395</v>
          </cell>
          <cell r="B261" t="str">
            <v>TY-RF SP 96231110268</v>
          </cell>
          <cell r="C261">
            <v>0</v>
          </cell>
          <cell r="D261">
            <v>0</v>
          </cell>
          <cell r="E261" t="str">
            <v>TAN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 t="str">
            <v>T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1</v>
          </cell>
          <cell r="AB261" t="str">
            <v>T, P, F</v>
          </cell>
          <cell r="AC261">
            <v>0</v>
          </cell>
          <cell r="AD261" t="str">
            <v>YES</v>
          </cell>
          <cell r="AE261" t="str">
            <v xml:space="preserve">5/4: wait Point of Sale photo </v>
          </cell>
          <cell r="AF261" t="str">
            <v>DANU INTERNATIONAL LTD</v>
          </cell>
          <cell r="AG261" t="str">
            <v>THE DISNEY STORE, INC (CA)</v>
          </cell>
          <cell r="AH261" t="str">
            <v>REGULAR</v>
          </cell>
          <cell r="AI261">
            <v>45037</v>
          </cell>
          <cell r="AJ261">
            <v>45049</v>
          </cell>
          <cell r="AK261">
            <v>45050</v>
          </cell>
          <cell r="AL261">
            <v>45052</v>
          </cell>
          <cell r="AM261">
            <v>45052</v>
          </cell>
          <cell r="AN261"/>
          <cell r="AO261">
            <v>45054</v>
          </cell>
          <cell r="AP261" t="str">
            <v>LATE</v>
          </cell>
        </row>
        <row r="262">
          <cell r="A262">
            <v>96231110506</v>
          </cell>
          <cell r="B262" t="str">
            <v>US2</v>
          </cell>
          <cell r="C262">
            <v>0</v>
          </cell>
          <cell r="D262">
            <v>0</v>
          </cell>
          <cell r="E262" t="str">
            <v>VAN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 t="str">
            <v>H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1</v>
          </cell>
          <cell r="AB262" t="str">
            <v>H</v>
          </cell>
          <cell r="AC262">
            <v>0</v>
          </cell>
          <cell r="AD262">
            <v>0</v>
          </cell>
          <cell r="AE262" t="str">
            <v>5/9: received extra samples for lead test</v>
          </cell>
          <cell r="AF262" t="str">
            <v>ESSENTIAL HOME FURNITURE COMPANY LIMITED</v>
          </cell>
          <cell r="AG262" t="str">
            <v>CINMAR-FRONTGATE</v>
          </cell>
          <cell r="AH262" t="str">
            <v>REGULAR</v>
          </cell>
          <cell r="AI262">
            <v>45037</v>
          </cell>
          <cell r="AJ262"/>
          <cell r="AK262"/>
          <cell r="AL262">
            <v>45056</v>
          </cell>
          <cell r="AM262">
            <v>45056</v>
          </cell>
          <cell r="AN262">
            <v>45044</v>
          </cell>
          <cell r="AO262">
            <v>45056</v>
          </cell>
          <cell r="AP262" t="str">
            <v>OFF HOLD</v>
          </cell>
        </row>
        <row r="263">
          <cell r="A263">
            <v>96231110512</v>
          </cell>
          <cell r="B263" t="str">
            <v>US2</v>
          </cell>
          <cell r="C263">
            <v>0</v>
          </cell>
          <cell r="D263">
            <v>0</v>
          </cell>
          <cell r="E263" t="str">
            <v>VAN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 t="str">
            <v>H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1</v>
          </cell>
          <cell r="AB263" t="str">
            <v>H</v>
          </cell>
          <cell r="AC263" t="str">
            <v>X</v>
          </cell>
          <cell r="AD263">
            <v>0</v>
          </cell>
          <cell r="AE263" t="str">
            <v>4/27: waiting extra sample for AN</v>
          </cell>
          <cell r="AF263" t="str">
            <v>ESSENTIAL HOME FURNITURE COMPANY LIMITED</v>
          </cell>
          <cell r="AG263" t="str">
            <v>CINMAR-FRONTGATE</v>
          </cell>
          <cell r="AH263" t="str">
            <v>REGULAR</v>
          </cell>
          <cell r="AI263">
            <v>45037</v>
          </cell>
          <cell r="AJ263">
            <v>45049</v>
          </cell>
          <cell r="AK263">
            <v>45044</v>
          </cell>
          <cell r="AL263">
            <v>45054</v>
          </cell>
          <cell r="AM263">
            <v>45054</v>
          </cell>
          <cell r="AN263"/>
          <cell r="AO263">
            <v>45055</v>
          </cell>
          <cell r="AP263" t="str">
            <v>ON HOLD</v>
          </cell>
        </row>
        <row r="264">
          <cell r="A264">
            <v>96231110534</v>
          </cell>
          <cell r="B264" t="str">
            <v>TY</v>
          </cell>
          <cell r="C264">
            <v>0</v>
          </cell>
          <cell r="D264">
            <v>0</v>
          </cell>
          <cell r="E264" t="str">
            <v>ELV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 t="str">
            <v>H</v>
          </cell>
          <cell r="K264" t="str">
            <v>T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 t="str">
            <v>A</v>
          </cell>
          <cell r="V264">
            <v>0</v>
          </cell>
          <cell r="W264">
            <v>0</v>
          </cell>
          <cell r="X264" t="str">
            <v>X</v>
          </cell>
          <cell r="Y264">
            <v>0</v>
          </cell>
          <cell r="Z264">
            <v>0</v>
          </cell>
          <cell r="AA264">
            <v>4</v>
          </cell>
          <cell r="AB264" t="str">
            <v>H, T, A, Q, V, X</v>
          </cell>
          <cell r="AC264" t="str">
            <v>x</v>
          </cell>
          <cell r="AD264" t="str">
            <v>YES</v>
          </cell>
          <cell r="AE264">
            <v>0</v>
          </cell>
          <cell r="AF264" t="str">
            <v>DREAM INTERNATIONAL LIMITED</v>
          </cell>
          <cell r="AG264" t="str">
            <v>THE DISNEY STORE, INC (CA)</v>
          </cell>
          <cell r="AH264" t="str">
            <v>REGULAR</v>
          </cell>
          <cell r="AI264">
            <v>45038</v>
          </cell>
          <cell r="AJ264">
            <v>45049</v>
          </cell>
          <cell r="AK264">
            <v>45044</v>
          </cell>
          <cell r="AL264">
            <v>45065</v>
          </cell>
          <cell r="AM264">
            <v>45065</v>
          </cell>
          <cell r="AN264"/>
          <cell r="AO264">
            <v>45066</v>
          </cell>
          <cell r="AP264" t="str">
            <v>ON HOLD</v>
          </cell>
        </row>
        <row r="265">
          <cell r="A265">
            <v>96231110536</v>
          </cell>
          <cell r="B265" t="str">
            <v>TY-RF SP 96231110534</v>
          </cell>
          <cell r="C265">
            <v>0</v>
          </cell>
          <cell r="D265">
            <v>0</v>
          </cell>
          <cell r="E265" t="str">
            <v>ELV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 t="str">
            <v>H</v>
          </cell>
          <cell r="K265" t="str">
            <v>T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2</v>
          </cell>
          <cell r="AB265" t="str">
            <v>H, T, Q, V</v>
          </cell>
          <cell r="AC265" t="str">
            <v>x</v>
          </cell>
          <cell r="AD265" t="str">
            <v>YES</v>
          </cell>
          <cell r="AE265">
            <v>0</v>
          </cell>
          <cell r="AF265" t="str">
            <v>DREAM INTERNATIONAL LIMITED</v>
          </cell>
          <cell r="AG265" t="str">
            <v>THE DISNEY STORE, INC (CA)</v>
          </cell>
          <cell r="AH265" t="str">
            <v>REGULAR</v>
          </cell>
          <cell r="AI265">
            <v>45038</v>
          </cell>
          <cell r="AJ265">
            <v>45049</v>
          </cell>
          <cell r="AK265">
            <v>45044</v>
          </cell>
          <cell r="AL265">
            <v>45054</v>
          </cell>
          <cell r="AM265">
            <v>45054</v>
          </cell>
          <cell r="AN265"/>
          <cell r="AO265">
            <v>45055</v>
          </cell>
          <cell r="AP265" t="str">
            <v>ON HOLD</v>
          </cell>
        </row>
        <row r="266">
          <cell r="A266">
            <v>96231110538</v>
          </cell>
          <cell r="B266" t="str">
            <v>TY-RF SP 96231110534</v>
          </cell>
          <cell r="C266">
            <v>0</v>
          </cell>
          <cell r="D266">
            <v>0</v>
          </cell>
          <cell r="E266" t="str">
            <v>ELV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>T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 t="str">
            <v>W</v>
          </cell>
          <cell r="Q266" t="str">
            <v>F</v>
          </cell>
          <cell r="R266">
            <v>0</v>
          </cell>
          <cell r="S266">
            <v>0</v>
          </cell>
          <cell r="T266">
            <v>0</v>
          </cell>
          <cell r="U266" t="str">
            <v>A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4</v>
          </cell>
          <cell r="AB266" t="str">
            <v>T, W, F, A, Q, V</v>
          </cell>
          <cell r="AC266" t="str">
            <v>x</v>
          </cell>
          <cell r="AD266" t="str">
            <v>YES</v>
          </cell>
          <cell r="AE266">
            <v>0</v>
          </cell>
          <cell r="AF266" t="str">
            <v>DREAM INTERNATIONAL LIMITED</v>
          </cell>
          <cell r="AG266" t="str">
            <v>THE DISNEY STORE, INC (CA)</v>
          </cell>
          <cell r="AH266" t="str">
            <v>REGULAR</v>
          </cell>
          <cell r="AI266">
            <v>45038</v>
          </cell>
          <cell r="AJ266">
            <v>45049</v>
          </cell>
          <cell r="AK266">
            <v>45044</v>
          </cell>
          <cell r="AL266">
            <v>45054</v>
          </cell>
          <cell r="AM266">
            <v>45054</v>
          </cell>
          <cell r="AN266"/>
          <cell r="AO266">
            <v>45055</v>
          </cell>
          <cell r="AP266" t="str">
            <v>ON HOLD</v>
          </cell>
        </row>
        <row r="267">
          <cell r="A267">
            <v>96231110568</v>
          </cell>
          <cell r="B267" t="str">
            <v>US1-POPT</v>
          </cell>
          <cell r="C267">
            <v>0</v>
          </cell>
          <cell r="D267">
            <v>0</v>
          </cell>
          <cell r="E267" t="str">
            <v>MIN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 t="str">
            <v>PoPT sampling</v>
          </cell>
          <cell r="AF267" t="str">
            <v>N/A</v>
          </cell>
          <cell r="AG267" t="str">
            <v>THE HOME DEPOT INC</v>
          </cell>
          <cell r="AH267" t="str">
            <v>REGULAR</v>
          </cell>
          <cell r="AI267">
            <v>45037</v>
          </cell>
          <cell r="AJ267">
            <v>45037</v>
          </cell>
          <cell r="AK267"/>
          <cell r="AL267">
            <v>45037</v>
          </cell>
          <cell r="AM267">
            <v>45037</v>
          </cell>
          <cell r="AN267"/>
          <cell r="AO267">
            <v>45037</v>
          </cell>
          <cell r="AP267" t="str">
            <v>ON HOLD</v>
          </cell>
        </row>
        <row r="268">
          <cell r="A268">
            <v>96231110573</v>
          </cell>
          <cell r="B268" t="str">
            <v>US1-POPT</v>
          </cell>
          <cell r="C268">
            <v>0</v>
          </cell>
          <cell r="D268">
            <v>0</v>
          </cell>
          <cell r="E268" t="str">
            <v>MIN</v>
          </cell>
          <cell r="F268">
            <v>0</v>
          </cell>
          <cell r="G268" t="str">
            <v>R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 t="str">
            <v>F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2</v>
          </cell>
          <cell r="AB268" t="str">
            <v>R, F</v>
          </cell>
          <cell r="AC268">
            <v>0</v>
          </cell>
          <cell r="AD268">
            <v>0</v>
          </cell>
          <cell r="AE268" t="str">
            <v>PoPT sampling</v>
          </cell>
          <cell r="AF268" t="str">
            <v>NIEN MADE (U.S.A.), INC</v>
          </cell>
          <cell r="AG268" t="str">
            <v>THE HOME DEPOT INC</v>
          </cell>
          <cell r="AH268" t="str">
            <v>REGULAR</v>
          </cell>
          <cell r="AI268">
            <v>45037</v>
          </cell>
          <cell r="AJ268">
            <v>45037</v>
          </cell>
          <cell r="AK268">
            <v>45054</v>
          </cell>
          <cell r="AL268">
            <v>45059</v>
          </cell>
          <cell r="AM268">
            <v>45059</v>
          </cell>
          <cell r="AN268">
            <v>45059</v>
          </cell>
          <cell r="AO268">
            <v>45061</v>
          </cell>
          <cell r="AP268" t="str">
            <v>OFF HOLD</v>
          </cell>
        </row>
        <row r="269">
          <cell r="A269">
            <v>96231110602</v>
          </cell>
          <cell r="B269" t="str">
            <v>EE-AN</v>
          </cell>
          <cell r="C269">
            <v>0</v>
          </cell>
          <cell r="D269">
            <v>0</v>
          </cell>
          <cell r="E269" t="str">
            <v>LYNN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/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EE REPORT</v>
          </cell>
          <cell r="AC269">
            <v>0</v>
          </cell>
          <cell r="AD269" t="str">
            <v>YES</v>
          </cell>
          <cell r="AE269">
            <v>0</v>
          </cell>
          <cell r="AF269" t="str">
            <v>LIGHTING SAIGON CO LTD</v>
          </cell>
          <cell r="AG269" t="str">
            <v>LIGHTING SAIGON CO LTD</v>
          </cell>
          <cell r="AH269" t="str">
            <v>URGENT</v>
          </cell>
          <cell r="AI269">
            <v>45038</v>
          </cell>
          <cell r="AJ269">
            <v>45038</v>
          </cell>
          <cell r="AK269">
            <v>45052</v>
          </cell>
          <cell r="AL269">
            <v>45054</v>
          </cell>
          <cell r="AM269">
            <v>45054</v>
          </cell>
          <cell r="AN269"/>
          <cell r="AO269">
            <v>45054</v>
          </cell>
          <cell r="AP269" t="str">
            <v>LATE</v>
          </cell>
        </row>
        <row r="270">
          <cell r="A270">
            <v>96231120112</v>
          </cell>
          <cell r="B270" t="str">
            <v>TY</v>
          </cell>
          <cell r="C270" t="str">
            <v>0428: pend CS-info</v>
          </cell>
          <cell r="D270">
            <v>0</v>
          </cell>
          <cell r="E270" t="str">
            <v>TAN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 t="str">
            <v>H</v>
          </cell>
          <cell r="K270" t="str">
            <v>T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 t="str">
            <v>M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3</v>
          </cell>
          <cell r="AB270" t="str">
            <v>H, T, L, M, Q, V</v>
          </cell>
          <cell r="AC270">
            <v>0</v>
          </cell>
          <cell r="AD270" t="str">
            <v>YES</v>
          </cell>
          <cell r="AE270" t="str">
            <v xml:space="preserve">5/4: wait Point of Sale photo </v>
          </cell>
          <cell r="AF270" t="str">
            <v>DANU INTERNATIONAL LTD</v>
          </cell>
          <cell r="AG270" t="str">
            <v>THE DISNEY STORE, INC (CA)</v>
          </cell>
          <cell r="AH270" t="str">
            <v>REGULAR</v>
          </cell>
          <cell r="AI270">
            <v>45038</v>
          </cell>
          <cell r="AJ270">
            <v>45049</v>
          </cell>
          <cell r="AK270">
            <v>45049</v>
          </cell>
          <cell r="AL270">
            <v>45055</v>
          </cell>
          <cell r="AM270">
            <v>45055</v>
          </cell>
          <cell r="AN270"/>
          <cell r="AO270">
            <v>45056</v>
          </cell>
          <cell r="AP270" t="str">
            <v>MUST</v>
          </cell>
        </row>
        <row r="271">
          <cell r="A271">
            <v>96231120116</v>
          </cell>
          <cell r="B271" t="str">
            <v>TY-RF SP 96231120112</v>
          </cell>
          <cell r="C271" t="str">
            <v>0428: pend CS-info</v>
          </cell>
          <cell r="D271">
            <v>0</v>
          </cell>
          <cell r="E271" t="str">
            <v>TAN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 t="str">
            <v>H</v>
          </cell>
          <cell r="K271" t="str">
            <v>T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 t="str">
            <v>L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3</v>
          </cell>
          <cell r="AB271" t="str">
            <v>H, T, L, M, Q, V</v>
          </cell>
          <cell r="AC271">
            <v>0</v>
          </cell>
          <cell r="AD271" t="str">
            <v>YES</v>
          </cell>
          <cell r="AE271" t="str">
            <v xml:space="preserve">5/4: wait Point of Sale photo </v>
          </cell>
          <cell r="AF271" t="str">
            <v>DANU INTERNATIONAL LTD</v>
          </cell>
          <cell r="AG271" t="str">
            <v>THE DISNEY STORE, INC (CA)</v>
          </cell>
          <cell r="AH271" t="str">
            <v>REGULAR</v>
          </cell>
          <cell r="AI271">
            <v>45038</v>
          </cell>
          <cell r="AJ271">
            <v>45049</v>
          </cell>
          <cell r="AK271">
            <v>45049</v>
          </cell>
          <cell r="AL271">
            <v>45055</v>
          </cell>
          <cell r="AM271">
            <v>45055</v>
          </cell>
          <cell r="AN271"/>
          <cell r="AO271">
            <v>45056</v>
          </cell>
          <cell r="AP271" t="str">
            <v>MUST</v>
          </cell>
        </row>
        <row r="272">
          <cell r="A272">
            <v>96231120117</v>
          </cell>
          <cell r="B272" t="str">
            <v>TY-RF SP 96231120112</v>
          </cell>
          <cell r="C272" t="str">
            <v>0428: pend CS-info</v>
          </cell>
          <cell r="D272">
            <v>0</v>
          </cell>
          <cell r="E272" t="str">
            <v>TAN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 t="str">
            <v>H</v>
          </cell>
          <cell r="K272" t="str">
            <v>T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 t="str">
            <v>L</v>
          </cell>
          <cell r="S272" t="str">
            <v>M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4</v>
          </cell>
          <cell r="AB272" t="str">
            <v>H, T, L, M, Q, V</v>
          </cell>
          <cell r="AC272">
            <v>0</v>
          </cell>
          <cell r="AD272" t="str">
            <v>YES</v>
          </cell>
          <cell r="AE272" t="str">
            <v xml:space="preserve">5/4: wait Point of Sale photo </v>
          </cell>
          <cell r="AF272" t="str">
            <v>DANU INTERNATIONAL LTD</v>
          </cell>
          <cell r="AG272" t="str">
            <v>THE DISNEY STORE, INC (CA)</v>
          </cell>
          <cell r="AH272" t="str">
            <v>REGULAR</v>
          </cell>
          <cell r="AI272">
            <v>45038</v>
          </cell>
          <cell r="AJ272">
            <v>45049</v>
          </cell>
          <cell r="AK272">
            <v>45049</v>
          </cell>
          <cell r="AL272">
            <v>45055</v>
          </cell>
          <cell r="AM272">
            <v>45055</v>
          </cell>
          <cell r="AN272"/>
          <cell r="AO272">
            <v>45056</v>
          </cell>
          <cell r="AP272" t="str">
            <v>MUST</v>
          </cell>
        </row>
        <row r="273">
          <cell r="A273">
            <v>96231120121</v>
          </cell>
          <cell r="B273" t="str">
            <v>TY-RF SP 96231120112</v>
          </cell>
          <cell r="C273" t="str">
            <v>0428: pend CS-info</v>
          </cell>
          <cell r="D273">
            <v>0</v>
          </cell>
          <cell r="E273" t="str">
            <v>TAN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 t="str">
            <v>H</v>
          </cell>
          <cell r="K273" t="str">
            <v>T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 t="str">
            <v>L</v>
          </cell>
          <cell r="S273" t="str">
            <v>M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4</v>
          </cell>
          <cell r="AB273" t="str">
            <v>H, T, L, M, Q, V</v>
          </cell>
          <cell r="AC273">
            <v>0</v>
          </cell>
          <cell r="AD273" t="str">
            <v>YES</v>
          </cell>
          <cell r="AE273" t="str">
            <v xml:space="preserve">5/4: wait Point of Sale photo </v>
          </cell>
          <cell r="AF273" t="str">
            <v>DANU INTERNATIONAL LTD</v>
          </cell>
          <cell r="AG273" t="str">
            <v>THE DISNEY STORE, INC (CA)</v>
          </cell>
          <cell r="AH273" t="str">
            <v>REGULAR</v>
          </cell>
          <cell r="AI273">
            <v>45038</v>
          </cell>
          <cell r="AJ273">
            <v>45049</v>
          </cell>
          <cell r="AK273">
            <v>45049</v>
          </cell>
          <cell r="AL273">
            <v>45055</v>
          </cell>
          <cell r="AM273">
            <v>45055</v>
          </cell>
          <cell r="AN273"/>
          <cell r="AO273">
            <v>45056</v>
          </cell>
          <cell r="AP273" t="str">
            <v>MUST</v>
          </cell>
        </row>
        <row r="274">
          <cell r="A274">
            <v>96231120142</v>
          </cell>
          <cell r="B274" t="str">
            <v>TY</v>
          </cell>
          <cell r="C274">
            <v>0</v>
          </cell>
          <cell r="D274">
            <v>0</v>
          </cell>
          <cell r="E274" t="str">
            <v>TAN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 t="str">
            <v>H</v>
          </cell>
          <cell r="K274" t="str">
            <v>T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 t="str">
            <v>M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3</v>
          </cell>
          <cell r="AB274" t="str">
            <v>H, T, L, M, Q, V</v>
          </cell>
          <cell r="AC274">
            <v>0</v>
          </cell>
          <cell r="AD274" t="str">
            <v>YES</v>
          </cell>
          <cell r="AE274" t="str">
            <v xml:space="preserve">5/4: wait Point of Sale photo </v>
          </cell>
          <cell r="AF274" t="str">
            <v>DANU INTERNATIONAL LTD</v>
          </cell>
          <cell r="AG274" t="str">
            <v>THE DISNEY STORE, INC (CA)</v>
          </cell>
          <cell r="AH274" t="str">
            <v>REGULAR</v>
          </cell>
          <cell r="AI274">
            <v>45038</v>
          </cell>
          <cell r="AJ274">
            <v>45049</v>
          </cell>
          <cell r="AK274">
            <v>45050</v>
          </cell>
          <cell r="AL274">
            <v>45055</v>
          </cell>
          <cell r="AM274">
            <v>45055</v>
          </cell>
          <cell r="AN274"/>
          <cell r="AO274">
            <v>45056</v>
          </cell>
          <cell r="AP274" t="str">
            <v>MUST</v>
          </cell>
        </row>
        <row r="275">
          <cell r="A275">
            <v>96231120143</v>
          </cell>
          <cell r="B275" t="str">
            <v>TY-RF SP 96231120142</v>
          </cell>
          <cell r="C275">
            <v>0</v>
          </cell>
          <cell r="D275">
            <v>0</v>
          </cell>
          <cell r="E275" t="str">
            <v>TAN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 t="str">
            <v>H</v>
          </cell>
          <cell r="K275" t="str">
            <v>T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 t="str">
            <v>L</v>
          </cell>
          <cell r="S275">
            <v>0</v>
          </cell>
          <cell r="T275">
            <v>0</v>
          </cell>
          <cell r="U275">
            <v>0</v>
          </cell>
          <cell r="V275" t="str">
            <v>Q</v>
          </cell>
          <cell r="W275" t="str">
            <v>V</v>
          </cell>
          <cell r="X275">
            <v>0</v>
          </cell>
          <cell r="Y275">
            <v>0</v>
          </cell>
          <cell r="Z275">
            <v>0</v>
          </cell>
          <cell r="AA275">
            <v>5</v>
          </cell>
          <cell r="AB275" t="str">
            <v>H, T, L, M, Q, V</v>
          </cell>
          <cell r="AC275">
            <v>0</v>
          </cell>
          <cell r="AD275" t="str">
            <v>YES</v>
          </cell>
          <cell r="AE275" t="str">
            <v xml:space="preserve">5/4: wait Point of Sale photo </v>
          </cell>
          <cell r="AF275" t="str">
            <v>DANU INTERNATIONAL LTD</v>
          </cell>
          <cell r="AG275" t="str">
            <v>THE DISNEY STORE, INC (CA)</v>
          </cell>
          <cell r="AH275" t="str">
            <v>REGULAR</v>
          </cell>
          <cell r="AI275">
            <v>45038</v>
          </cell>
          <cell r="AJ275">
            <v>45049</v>
          </cell>
          <cell r="AK275">
            <v>45050</v>
          </cell>
          <cell r="AL275">
            <v>45055</v>
          </cell>
          <cell r="AM275">
            <v>45055</v>
          </cell>
          <cell r="AN275"/>
          <cell r="AO275">
            <v>45056</v>
          </cell>
          <cell r="AP275" t="str">
            <v>MUST</v>
          </cell>
        </row>
        <row r="276">
          <cell r="A276">
            <v>96231120167</v>
          </cell>
          <cell r="B276" t="str">
            <v>CD-USD</v>
          </cell>
          <cell r="C276">
            <v>0</v>
          </cell>
          <cell r="D276">
            <v>0</v>
          </cell>
          <cell r="E276" t="str">
            <v>VAN</v>
          </cell>
          <cell r="F276" t="str">
            <v>FIRST  MAKING 0424-CD</v>
          </cell>
          <cell r="G276">
            <v>0</v>
          </cell>
          <cell r="H276">
            <v>0</v>
          </cell>
          <cell r="I276">
            <v>0</v>
          </cell>
          <cell r="J276" t="str">
            <v>H</v>
          </cell>
          <cell r="K276">
            <v>0</v>
          </cell>
          <cell r="L276">
            <v>0</v>
          </cell>
          <cell r="M276" t="str">
            <v>C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 t="str">
            <v>V</v>
          </cell>
          <cell r="X276">
            <v>0</v>
          </cell>
          <cell r="Y276">
            <v>0</v>
          </cell>
          <cell r="Z276">
            <v>0</v>
          </cell>
          <cell r="AA276">
            <v>3</v>
          </cell>
          <cell r="AB276" t="str">
            <v>H, Z, C, Q, V</v>
          </cell>
          <cell r="AC276">
            <v>0</v>
          </cell>
          <cell r="AD276">
            <v>0</v>
          </cell>
          <cell r="AE276" t="str">
            <v>4/27: no CS pend</v>
          </cell>
          <cell r="AF276" t="str">
            <v>PACIFIC ACCENT INC (CN)</v>
          </cell>
          <cell r="AG276" t="str">
            <v>TARGET CORPORATION</v>
          </cell>
          <cell r="AH276" t="str">
            <v>REGULAR</v>
          </cell>
          <cell r="AI276">
            <v>45038</v>
          </cell>
          <cell r="AJ276"/>
          <cell r="AK276"/>
          <cell r="AL276">
            <v>45056</v>
          </cell>
          <cell r="AM276">
            <v>45056</v>
          </cell>
          <cell r="AN276">
            <v>45051</v>
          </cell>
          <cell r="AO276">
            <v>45056</v>
          </cell>
          <cell r="AP276" t="str">
            <v>MUST</v>
          </cell>
        </row>
        <row r="277">
          <cell r="A277">
            <v>96231120210</v>
          </cell>
          <cell r="B277" t="str">
            <v>JP</v>
          </cell>
          <cell r="C277">
            <v>0</v>
          </cell>
          <cell r="D277">
            <v>0</v>
          </cell>
          <cell r="E277" t="str">
            <v>ELV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 t="str">
            <v>H</v>
          </cell>
          <cell r="K277">
            <v>0</v>
          </cell>
          <cell r="L277" t="str">
            <v>J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 t="str">
            <v>Q</v>
          </cell>
          <cell r="W277" t="str">
            <v>V</v>
          </cell>
          <cell r="X277">
            <v>0</v>
          </cell>
          <cell r="Y277">
            <v>0</v>
          </cell>
          <cell r="Z277">
            <v>0</v>
          </cell>
          <cell r="AA277">
            <v>4</v>
          </cell>
          <cell r="AB277" t="str">
            <v>H, J, Q, V</v>
          </cell>
          <cell r="AC277">
            <v>0</v>
          </cell>
          <cell r="AD277" t="str">
            <v>YES</v>
          </cell>
          <cell r="AE277">
            <v>0</v>
          </cell>
          <cell r="AF277" t="str">
            <v>CHIEN (VIETNAM) FURNITURE MFG. CO LTD</v>
          </cell>
          <cell r="AG277" t="str">
            <v>WILLIAMS-SONOMA INC</v>
          </cell>
          <cell r="AH277" t="str">
            <v>REGULAR</v>
          </cell>
          <cell r="AI277">
            <v>45038</v>
          </cell>
          <cell r="AJ277">
            <v>45051</v>
          </cell>
          <cell r="AK277">
            <v>45042</v>
          </cell>
          <cell r="AL277">
            <v>45050</v>
          </cell>
          <cell r="AM277">
            <v>45050</v>
          </cell>
          <cell r="AN277"/>
          <cell r="AO277">
            <v>45051</v>
          </cell>
          <cell r="AP277" t="str">
            <v>ON HOLD</v>
          </cell>
        </row>
        <row r="278">
          <cell r="A278">
            <v>96231120220</v>
          </cell>
          <cell r="B278" t="str">
            <v>AN</v>
          </cell>
          <cell r="C278">
            <v>0</v>
          </cell>
          <cell r="D278">
            <v>0</v>
          </cell>
          <cell r="E278" t="str">
            <v>SHE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 t="str">
            <v>Q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1</v>
          </cell>
          <cell r="AB278" t="str">
            <v>AN HANDLE</v>
          </cell>
          <cell r="AC278">
            <v>0</v>
          </cell>
          <cell r="AD278">
            <v>0</v>
          </cell>
          <cell r="AE278" t="str">
            <v>5/5: off, 5/5: wait confirm PI, 4/23: off, 4/22: recheck TR</v>
          </cell>
          <cell r="AF278" t="str">
            <v>BOSUNGVINA CO LTD</v>
          </cell>
          <cell r="AG278" t="str">
            <v>BOSUNGVINA CO LTD</v>
          </cell>
          <cell r="AH278" t="str">
            <v>REGULAR</v>
          </cell>
          <cell r="AI278">
            <v>45038</v>
          </cell>
          <cell r="AJ278">
            <v>45051</v>
          </cell>
          <cell r="AK278">
            <v>45051</v>
          </cell>
          <cell r="AL278">
            <v>45056</v>
          </cell>
          <cell r="AM278">
            <v>45056</v>
          </cell>
          <cell r="AN278"/>
          <cell r="AO278">
            <v>45057</v>
          </cell>
          <cell r="AP278" t="str">
            <v>AN HANDLE</v>
          </cell>
        </row>
        <row r="279">
          <cell r="A279">
            <v>96231120227</v>
          </cell>
          <cell r="B279" t="str">
            <v>TY-RF SP 96231120142</v>
          </cell>
          <cell r="C279">
            <v>0</v>
          </cell>
          <cell r="D279">
            <v>0</v>
          </cell>
          <cell r="E279" t="str">
            <v>TAN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>T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1</v>
          </cell>
          <cell r="AB279" t="str">
            <v>T, P, F</v>
          </cell>
          <cell r="AC279">
            <v>0</v>
          </cell>
          <cell r="AD279" t="str">
            <v>YES</v>
          </cell>
          <cell r="AE279" t="str">
            <v xml:space="preserve">5/4: wait Point of Sale photo </v>
          </cell>
          <cell r="AF279" t="str">
            <v>DANU INTERNATIONAL LTD</v>
          </cell>
          <cell r="AG279" t="str">
            <v>THE DISNEY STORE, INC (CA)</v>
          </cell>
          <cell r="AH279" t="str">
            <v>REGULAR</v>
          </cell>
          <cell r="AI279">
            <v>45038</v>
          </cell>
          <cell r="AJ279">
            <v>45049</v>
          </cell>
          <cell r="AK279">
            <v>45050</v>
          </cell>
          <cell r="AL279">
            <v>45052</v>
          </cell>
          <cell r="AM279">
            <v>45052</v>
          </cell>
          <cell r="AN279"/>
          <cell r="AO279">
            <v>45054</v>
          </cell>
          <cell r="AP279" t="str">
            <v>LATE</v>
          </cell>
        </row>
        <row r="280">
          <cell r="A280">
            <v>96231120229</v>
          </cell>
          <cell r="B280" t="str">
            <v>TY-RF SP 96231120112</v>
          </cell>
          <cell r="C280">
            <v>0</v>
          </cell>
          <cell r="D280">
            <v>0</v>
          </cell>
          <cell r="E280" t="str">
            <v>TAN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>T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1</v>
          </cell>
          <cell r="AB280" t="str">
            <v>T, P, F</v>
          </cell>
          <cell r="AC280">
            <v>0</v>
          </cell>
          <cell r="AD280" t="str">
            <v>YES</v>
          </cell>
          <cell r="AE280" t="str">
            <v xml:space="preserve">5/4: wait Point of Sale photo </v>
          </cell>
          <cell r="AF280" t="str">
            <v>DANU INTERNATIONAL LTD</v>
          </cell>
          <cell r="AG280" t="str">
            <v>THE DISNEY STORE, INC (CA)</v>
          </cell>
          <cell r="AH280" t="str">
            <v>REGULAR</v>
          </cell>
          <cell r="AI280">
            <v>45038</v>
          </cell>
          <cell r="AJ280">
            <v>45049</v>
          </cell>
          <cell r="AK280">
            <v>45049</v>
          </cell>
          <cell r="AL280">
            <v>45052</v>
          </cell>
          <cell r="AM280">
            <v>45052</v>
          </cell>
          <cell r="AN280"/>
          <cell r="AO280">
            <v>45054</v>
          </cell>
          <cell r="AP280" t="str">
            <v>LATE</v>
          </cell>
        </row>
        <row r="281">
          <cell r="A281">
            <v>96231120246</v>
          </cell>
          <cell r="B281" t="str">
            <v>CD-USD</v>
          </cell>
          <cell r="C281">
            <v>0</v>
          </cell>
          <cell r="D281">
            <v>0</v>
          </cell>
          <cell r="E281" t="str">
            <v>VAN</v>
          </cell>
          <cell r="F281" t="str">
            <v>FIRST MAKING 0424-CD</v>
          </cell>
          <cell r="G281">
            <v>0</v>
          </cell>
          <cell r="H281">
            <v>0</v>
          </cell>
          <cell r="I281">
            <v>0</v>
          </cell>
          <cell r="J281" t="str">
            <v>H</v>
          </cell>
          <cell r="K281">
            <v>0</v>
          </cell>
          <cell r="L281">
            <v>0</v>
          </cell>
          <cell r="M281" t="str">
            <v>C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 t="str">
            <v>V</v>
          </cell>
          <cell r="X281">
            <v>0</v>
          </cell>
          <cell r="Y281">
            <v>0</v>
          </cell>
          <cell r="Z281">
            <v>0</v>
          </cell>
          <cell r="AA281">
            <v>3</v>
          </cell>
          <cell r="AB281" t="str">
            <v>H, Z, C, Q, V</v>
          </cell>
          <cell r="AC281">
            <v>0</v>
          </cell>
          <cell r="AD281">
            <v>0</v>
          </cell>
          <cell r="AE281" t="str">
            <v>5/5: no CS pend, extend to 5/15; 4/28: CSE; 4/27: no CS pend</v>
          </cell>
          <cell r="AF281" t="str">
            <v>PACIFIC ACCENT INC (CN)</v>
          </cell>
          <cell r="AG281" t="str">
            <v>TARGET CORPORATION</v>
          </cell>
          <cell r="AH281" t="str">
            <v>REGULAR</v>
          </cell>
          <cell r="AI281">
            <v>45038</v>
          </cell>
          <cell r="AJ281"/>
          <cell r="AK281"/>
          <cell r="AL281">
            <v>45056</v>
          </cell>
          <cell r="AM281">
            <v>45056</v>
          </cell>
          <cell r="AN281">
            <v>45044</v>
          </cell>
          <cell r="AO281">
            <v>45056</v>
          </cell>
          <cell r="AP281" t="str">
            <v>MUST</v>
          </cell>
        </row>
        <row r="282">
          <cell r="A282">
            <v>96231120247</v>
          </cell>
          <cell r="B282" t="str">
            <v>US1</v>
          </cell>
          <cell r="C282">
            <v>0</v>
          </cell>
          <cell r="D282">
            <v>0</v>
          </cell>
          <cell r="E282" t="str">
            <v>ELV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 t="str">
            <v>H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 t="str">
            <v>P</v>
          </cell>
          <cell r="P282">
            <v>0</v>
          </cell>
          <cell r="Q282" t="str">
            <v>F</v>
          </cell>
          <cell r="R282" t="str">
            <v>L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4</v>
          </cell>
          <cell r="AB282" t="str">
            <v>H, P, F, L, A, Q, V</v>
          </cell>
          <cell r="AC282">
            <v>0</v>
          </cell>
          <cell r="AD282">
            <v>0</v>
          </cell>
          <cell r="AE282">
            <v>0</v>
          </cell>
          <cell r="AF282" t="str">
            <v>LIFESTYLE SOLUTIONS VENTURES LLC</v>
          </cell>
          <cell r="AG282" t="str">
            <v>LIFESTYLE SOLUTIONS VENTURES LLC</v>
          </cell>
          <cell r="AH282" t="str">
            <v>REGULAR</v>
          </cell>
          <cell r="AI282">
            <v>45038</v>
          </cell>
          <cell r="AJ282">
            <v>45050</v>
          </cell>
          <cell r="AK282">
            <v>45050</v>
          </cell>
          <cell r="AL282">
            <v>45055</v>
          </cell>
          <cell r="AM282">
            <v>45055</v>
          </cell>
          <cell r="AN282"/>
          <cell r="AO282">
            <v>45056</v>
          </cell>
          <cell r="AP282" t="str">
            <v>MUST</v>
          </cell>
        </row>
        <row r="283">
          <cell r="A283">
            <v>96231120265</v>
          </cell>
          <cell r="B283" t="str">
            <v>CD</v>
          </cell>
          <cell r="C283">
            <v>0</v>
          </cell>
          <cell r="D283">
            <v>0</v>
          </cell>
          <cell r="E283" t="str">
            <v>FLO</v>
          </cell>
          <cell r="F283" t="str">
            <v>FIRST MAKING 0508-AN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H, Q</v>
          </cell>
          <cell r="AC283">
            <v>0</v>
          </cell>
          <cell r="AD283">
            <v>0</v>
          </cell>
          <cell r="AE283" t="str">
            <v>0509-04/28: no CS pending</v>
          </cell>
          <cell r="AF283" t="str">
            <v>NTN CO LTD</v>
          </cell>
          <cell r="AG283" t="str">
            <v>NTN CO LTD</v>
          </cell>
          <cell r="AH283" t="str">
            <v>REGULAR</v>
          </cell>
          <cell r="AI283">
            <v>45038</v>
          </cell>
          <cell r="AJ283">
            <v>45044</v>
          </cell>
          <cell r="AK283">
            <v>45044</v>
          </cell>
          <cell r="AL283">
            <v>45054</v>
          </cell>
          <cell r="AM283">
            <v>45054</v>
          </cell>
          <cell r="AN283"/>
          <cell r="AO283">
            <v>45055</v>
          </cell>
          <cell r="AP283" t="str">
            <v>DUE</v>
          </cell>
        </row>
        <row r="284">
          <cell r="A284">
            <v>96231120271</v>
          </cell>
          <cell r="B284" t="str">
            <v>TY-HANOI</v>
          </cell>
          <cell r="C284">
            <v>0</v>
          </cell>
          <cell r="D284">
            <v>0</v>
          </cell>
          <cell r="E284" t="str">
            <v>NOMI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 t="str">
            <v>H</v>
          </cell>
          <cell r="K284" t="str">
            <v>T</v>
          </cell>
          <cell r="L284" t="str">
            <v>J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 t="str">
            <v>F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 t="str">
            <v>Q</v>
          </cell>
          <cell r="W284" t="str">
            <v>V</v>
          </cell>
          <cell r="X284">
            <v>0</v>
          </cell>
          <cell r="Y284">
            <v>0</v>
          </cell>
          <cell r="Z284">
            <v>0</v>
          </cell>
          <cell r="AA284">
            <v>6</v>
          </cell>
          <cell r="AB284" t="str">
            <v>H, T, J, F, Q, V</v>
          </cell>
          <cell r="AC284">
            <v>0</v>
          </cell>
          <cell r="AD284">
            <v>0</v>
          </cell>
          <cell r="AE284">
            <v>0</v>
          </cell>
          <cell r="AF284" t="str">
            <v>MTCAN INC</v>
          </cell>
          <cell r="AG284" t="str">
            <v>WAL-MART CANADA</v>
          </cell>
          <cell r="AH284" t="str">
            <v>REGULAR</v>
          </cell>
          <cell r="AI284">
            <v>45038</v>
          </cell>
          <cell r="AJ284">
            <v>45051</v>
          </cell>
          <cell r="AK284">
            <v>45051</v>
          </cell>
          <cell r="AL284">
            <v>45071</v>
          </cell>
          <cell r="AM284">
            <v>45071</v>
          </cell>
          <cell r="AN284"/>
          <cell r="AO284">
            <v>45072</v>
          </cell>
          <cell r="AP284" t="str">
            <v>ON HOLD</v>
          </cell>
        </row>
        <row r="285">
          <cell r="A285">
            <v>96231120307</v>
          </cell>
          <cell r="B285" t="str">
            <v>US2</v>
          </cell>
          <cell r="C285">
            <v>0</v>
          </cell>
          <cell r="D285">
            <v>0</v>
          </cell>
          <cell r="E285" t="str">
            <v>FLO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 t="str">
            <v>H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1</v>
          </cell>
          <cell r="AB285" t="str">
            <v>H</v>
          </cell>
          <cell r="AC285" t="str">
            <v>x</v>
          </cell>
          <cell r="AD285">
            <v>0</v>
          </cell>
          <cell r="AE285" t="str">
            <v xml:space="preserve">04/28: clarify test, vendor still on holiday - comeback 5/8 </v>
          </cell>
          <cell r="AF285" t="str">
            <v>KAISER 1 FURNITURE INDUSTRY (VIETNAM) CO LTD</v>
          </cell>
          <cell r="AG285" t="str">
            <v>KAISER 1 FURNITURE INDUSTRY (VIETNAM) CO LTD</v>
          </cell>
          <cell r="AH285" t="str">
            <v>REGULAR</v>
          </cell>
          <cell r="AI285">
            <v>45038</v>
          </cell>
          <cell r="AJ285">
            <v>45049</v>
          </cell>
          <cell r="AK285">
            <v>45054</v>
          </cell>
          <cell r="AL285">
            <v>45058</v>
          </cell>
          <cell r="AM285">
            <v>45058</v>
          </cell>
          <cell r="AN285"/>
          <cell r="AO285">
            <v>45059</v>
          </cell>
          <cell r="AP285" t="str">
            <v>OFF HOLD</v>
          </cell>
        </row>
        <row r="286">
          <cell r="A286">
            <v>96231120388</v>
          </cell>
          <cell r="B286" t="str">
            <v>EU</v>
          </cell>
          <cell r="C286">
            <v>0</v>
          </cell>
          <cell r="D286" t="str">
            <v>DUC</v>
          </cell>
          <cell r="E286" t="str">
            <v>FLO</v>
          </cell>
          <cell r="F286" t="str">
            <v>DONE 0509
FIRST MAKING 0505-SL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F, Y, A, Q, V</v>
          </cell>
          <cell r="AC286">
            <v>0</v>
          </cell>
          <cell r="AD286">
            <v>0</v>
          </cell>
          <cell r="AE286" t="str">
            <v>05/09; 05/05; 04/28: no CS pending</v>
          </cell>
          <cell r="AF286" t="str">
            <v>HAPPY FURNITURE (VIETNAM) CO LTD</v>
          </cell>
          <cell r="AG286" t="str">
            <v>HAPPY FURNITURE (VIETNAM) CO LTD</v>
          </cell>
          <cell r="AH286" t="str">
            <v>REGULAR</v>
          </cell>
          <cell r="AI286">
            <v>45038</v>
          </cell>
          <cell r="AJ286">
            <v>45040</v>
          </cell>
          <cell r="AK286">
            <v>45040</v>
          </cell>
          <cell r="AL286">
            <v>45044</v>
          </cell>
          <cell r="AM286">
            <v>45044</v>
          </cell>
          <cell r="AN286"/>
          <cell r="AO286">
            <v>45049</v>
          </cell>
          <cell r="AP286" t="str">
            <v>LATE</v>
          </cell>
        </row>
        <row r="287">
          <cell r="A287">
            <v>96231120393</v>
          </cell>
          <cell r="B287" t="str">
            <v>EU</v>
          </cell>
          <cell r="C287" t="str">
            <v>DONE 0509</v>
          </cell>
          <cell r="D287" t="str">
            <v>VAN</v>
          </cell>
          <cell r="E287" t="str">
            <v>FLO</v>
          </cell>
          <cell r="F287" t="str">
            <v>DONE 0509
FIRST MAKING 0505-SL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F, Y, A, Q, V</v>
          </cell>
          <cell r="AC287">
            <v>0</v>
          </cell>
          <cell r="AD287">
            <v>0</v>
          </cell>
          <cell r="AE287" t="str">
            <v>05/09; 05/05; 04/28: no CS pending</v>
          </cell>
          <cell r="AF287" t="str">
            <v>HAPPY FURNITURE (VIETNAM) CO LTD</v>
          </cell>
          <cell r="AG287" t="str">
            <v>HAPPY FURNITURE (VIETNAM) CO LTD</v>
          </cell>
          <cell r="AH287" t="str">
            <v>REGULAR</v>
          </cell>
          <cell r="AI287">
            <v>45038</v>
          </cell>
          <cell r="AJ287">
            <v>45040</v>
          </cell>
          <cell r="AK287">
            <v>45040</v>
          </cell>
          <cell r="AL287">
            <v>45044</v>
          </cell>
          <cell r="AM287">
            <v>45044</v>
          </cell>
          <cell r="AN287"/>
          <cell r="AO287">
            <v>45049</v>
          </cell>
          <cell r="AP287" t="str">
            <v>LATE</v>
          </cell>
        </row>
        <row r="288">
          <cell r="A288">
            <v>96231120400</v>
          </cell>
          <cell r="B288" t="str">
            <v>JP</v>
          </cell>
          <cell r="C288" t="str">
            <v>PI</v>
          </cell>
          <cell r="D288">
            <v>0</v>
          </cell>
          <cell r="E288" t="str">
            <v>TAN</v>
          </cell>
          <cell r="F288" t="str">
            <v>FIRST MAKIING 0508-AN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 t="str">
            <v>Q</v>
          </cell>
          <cell r="W288" t="str">
            <v>V</v>
          </cell>
          <cell r="X288">
            <v>0</v>
          </cell>
          <cell r="Y288">
            <v>0</v>
          </cell>
          <cell r="Z288">
            <v>0</v>
          </cell>
          <cell r="AA288">
            <v>2</v>
          </cell>
          <cell r="AB288" t="str">
            <v>J, Q, V</v>
          </cell>
          <cell r="AC288">
            <v>0</v>
          </cell>
          <cell r="AD288">
            <v>0</v>
          </cell>
          <cell r="AE288" t="str">
            <v xml:space="preserve">5/6: no cs pend, ACCOUNT PREPAYMENT ALL </v>
          </cell>
          <cell r="AF288" t="str">
            <v>HONG YI METALS CO LTD</v>
          </cell>
          <cell r="AG288" t="str">
            <v>RTG FURNITURE CORP.</v>
          </cell>
          <cell r="AH288" t="str">
            <v>REGULAR</v>
          </cell>
          <cell r="AI288">
            <v>45038</v>
          </cell>
          <cell r="AJ288">
            <v>45050</v>
          </cell>
          <cell r="AK288">
            <v>45052</v>
          </cell>
          <cell r="AL288">
            <v>45057</v>
          </cell>
          <cell r="AM288">
            <v>45057</v>
          </cell>
          <cell r="AN288"/>
          <cell r="AO288">
            <v>45058</v>
          </cell>
          <cell r="AP288" t="str">
            <v>OFF HOLD</v>
          </cell>
        </row>
        <row r="289">
          <cell r="A289">
            <v>96231140137</v>
          </cell>
          <cell r="B289" t="str">
            <v>US2-AS-TRANSFER QUALITY FROM 96231050309</v>
          </cell>
          <cell r="C289">
            <v>0</v>
          </cell>
          <cell r="D289">
            <v>0</v>
          </cell>
          <cell r="E289" t="str">
            <v>VAN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 t="str">
            <v>H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 t="str">
            <v>Q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2</v>
          </cell>
          <cell r="AB289" t="str">
            <v>H, Q</v>
          </cell>
          <cell r="AC289">
            <v>0</v>
          </cell>
          <cell r="AD289">
            <v>0</v>
          </cell>
          <cell r="AE289" t="str">
            <v>5/3: waiting for confirmation from vendor (material, coating)</v>
          </cell>
          <cell r="AF289" t="str">
            <v>ESSENTIAL HOME FURNITURE COMPANY LIMITED</v>
          </cell>
          <cell r="AG289" t="str">
            <v>CINMAR-FRONTGATE</v>
          </cell>
          <cell r="AH289" t="str">
            <v>REGULAR</v>
          </cell>
          <cell r="AI289">
            <v>45040</v>
          </cell>
          <cell r="AJ289">
            <v>45050</v>
          </cell>
          <cell r="AK289"/>
          <cell r="AL289">
            <v>45049</v>
          </cell>
          <cell r="AM289">
            <v>45049</v>
          </cell>
          <cell r="AN289"/>
          <cell r="AO289">
            <v>45050</v>
          </cell>
          <cell r="AP289" t="str">
            <v>ON HOLD</v>
          </cell>
        </row>
        <row r="290">
          <cell r="A290">
            <v>96231140160</v>
          </cell>
          <cell r="B290" t="str">
            <v>US2</v>
          </cell>
          <cell r="C290">
            <v>0</v>
          </cell>
          <cell r="D290">
            <v>0</v>
          </cell>
          <cell r="E290" t="str">
            <v>VAN</v>
          </cell>
          <cell r="F290">
            <v>0</v>
          </cell>
          <cell r="G290" t="str">
            <v>R</v>
          </cell>
          <cell r="H290">
            <v>0</v>
          </cell>
          <cell r="I290">
            <v>0</v>
          </cell>
          <cell r="J290" t="str">
            <v>H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2</v>
          </cell>
          <cell r="AB290" t="str">
            <v>H, R</v>
          </cell>
          <cell r="AC290">
            <v>0</v>
          </cell>
          <cell r="AD290">
            <v>0</v>
          </cell>
          <cell r="AE290" t="str">
            <v>5/9: no CS pend; 5/4: waiting for confirming PI</v>
          </cell>
          <cell r="AF290" t="str">
            <v>TRUONG THANH FURNITURE INCORPORATED COMPANY</v>
          </cell>
          <cell r="AG290" t="str">
            <v>TRUONG THANH FURNITURE INCORPORATED COMPANY</v>
          </cell>
          <cell r="AH290" t="str">
            <v>REGULAR</v>
          </cell>
          <cell r="AI290">
            <v>45040</v>
          </cell>
          <cell r="AJ290">
            <v>45050</v>
          </cell>
          <cell r="AK290"/>
          <cell r="AL290">
            <v>45049</v>
          </cell>
          <cell r="AM290">
            <v>45049</v>
          </cell>
          <cell r="AN290"/>
          <cell r="AO290">
            <v>45050</v>
          </cell>
          <cell r="AP290" t="str">
            <v>OFF HOLD</v>
          </cell>
        </row>
        <row r="291">
          <cell r="A291">
            <v>96231140161</v>
          </cell>
          <cell r="B291" t="str">
            <v>US2-AS-TRANSFER QUALITY FROM 96231050291</v>
          </cell>
          <cell r="C291">
            <v>0</v>
          </cell>
          <cell r="D291">
            <v>0</v>
          </cell>
          <cell r="E291" t="str">
            <v>VAN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 t="str">
            <v>H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 t="str">
            <v>Q</v>
          </cell>
          <cell r="W291" t="str">
            <v>V</v>
          </cell>
          <cell r="X291">
            <v>0</v>
          </cell>
          <cell r="Y291">
            <v>0</v>
          </cell>
          <cell r="Z291">
            <v>0</v>
          </cell>
          <cell r="AA291">
            <v>3</v>
          </cell>
          <cell r="AB291" t="str">
            <v>H, Q, V</v>
          </cell>
          <cell r="AC291">
            <v>0</v>
          </cell>
          <cell r="AD291">
            <v>0</v>
          </cell>
          <cell r="AE291" t="str">
            <v>5/4: waiting extra samples for lead test</v>
          </cell>
          <cell r="AF291" t="str">
            <v>ESSENTIAL HOME FURNITURE COMPANY LIMITED</v>
          </cell>
          <cell r="AG291" t="str">
            <v>CINMAR-FRONTGATE</v>
          </cell>
          <cell r="AH291" t="str">
            <v>REGULAR</v>
          </cell>
          <cell r="AI291">
            <v>45040</v>
          </cell>
          <cell r="AJ291">
            <v>45050</v>
          </cell>
          <cell r="AK291"/>
          <cell r="AL291">
            <v>45049</v>
          </cell>
          <cell r="AM291">
            <v>45049</v>
          </cell>
          <cell r="AN291">
            <v>45052</v>
          </cell>
          <cell r="AO291">
            <v>45050</v>
          </cell>
          <cell r="AP291" t="str">
            <v>ON HOLD</v>
          </cell>
        </row>
        <row r="292">
          <cell r="A292">
            <v>96231140223</v>
          </cell>
          <cell r="B292" t="str">
            <v>JP</v>
          </cell>
          <cell r="C292">
            <v>0</v>
          </cell>
          <cell r="D292">
            <v>0</v>
          </cell>
          <cell r="E292" t="str">
            <v>FLO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 t="str">
            <v>x</v>
          </cell>
          <cell r="AD292">
            <v>0</v>
          </cell>
          <cell r="AE292" t="str">
            <v>0428: New vendor: Long tech</v>
          </cell>
          <cell r="AF292" t="str">
            <v>N/A</v>
          </cell>
          <cell r="AG292" t="str">
            <v>N/A</v>
          </cell>
          <cell r="AH292" t="str">
            <v>REGULAR</v>
          </cell>
          <cell r="AI292">
            <v>45040</v>
          </cell>
          <cell r="AJ292">
            <v>45049</v>
          </cell>
          <cell r="AK292">
            <v>45044</v>
          </cell>
          <cell r="AL292">
            <v>45044</v>
          </cell>
          <cell r="AM292">
            <v>45044</v>
          </cell>
          <cell r="AN292"/>
          <cell r="AO292">
            <v>45050</v>
          </cell>
          <cell r="AP292" t="str">
            <v>ON HOLD</v>
          </cell>
        </row>
        <row r="293">
          <cell r="A293">
            <v>96231140233</v>
          </cell>
          <cell r="B293" t="str">
            <v>US2</v>
          </cell>
          <cell r="C293">
            <v>0</v>
          </cell>
          <cell r="D293">
            <v>0</v>
          </cell>
          <cell r="E293" t="str">
            <v>SHE</v>
          </cell>
          <cell r="F293">
            <v>0</v>
          </cell>
          <cell r="G293" t="str">
            <v>R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1</v>
          </cell>
          <cell r="AB293" t="str">
            <v>R</v>
          </cell>
          <cell r="AC293">
            <v>0</v>
          </cell>
          <cell r="AD293">
            <v>0</v>
          </cell>
          <cell r="AE293" t="str">
            <v>4/27: off confirmed PI</v>
          </cell>
          <cell r="AF293" t="str">
            <v>VIETNAM WAYTEX INTERNATIONAL COMPANY LIMITED</v>
          </cell>
          <cell r="AG293" t="str">
            <v>VIETNAM WAYTEX INTERNATIONAL COMPANY LIMITED</v>
          </cell>
          <cell r="AH293" t="str">
            <v>REGULAR</v>
          </cell>
          <cell r="AI293">
            <v>45040</v>
          </cell>
          <cell r="AJ293">
            <v>45043</v>
          </cell>
          <cell r="AK293">
            <v>45043</v>
          </cell>
          <cell r="AL293">
            <v>45082</v>
          </cell>
          <cell r="AM293">
            <v>45082</v>
          </cell>
          <cell r="AN293"/>
          <cell r="AO293">
            <v>45083</v>
          </cell>
          <cell r="AP293" t="str">
            <v>OFF HOLD</v>
          </cell>
        </row>
        <row r="294">
          <cell r="A294">
            <v>96231140234</v>
          </cell>
          <cell r="B294" t="str">
            <v>US2</v>
          </cell>
          <cell r="C294">
            <v>0</v>
          </cell>
          <cell r="D294">
            <v>0</v>
          </cell>
          <cell r="E294" t="str">
            <v>SHE</v>
          </cell>
          <cell r="F294">
            <v>0</v>
          </cell>
          <cell r="G294" t="str">
            <v>R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1</v>
          </cell>
          <cell r="AB294" t="str">
            <v>R</v>
          </cell>
          <cell r="AC294">
            <v>0</v>
          </cell>
          <cell r="AD294">
            <v>0</v>
          </cell>
          <cell r="AE294" t="str">
            <v>4/27: off confirmed PI</v>
          </cell>
          <cell r="AF294" t="str">
            <v>VIETNAM WAYTEX INTERNATIONAL COMPANY LIMITED</v>
          </cell>
          <cell r="AG294" t="str">
            <v>VIETNAM WAYTEX INTERNATIONAL COMPANY LIMITED</v>
          </cell>
          <cell r="AH294" t="str">
            <v>REGULAR</v>
          </cell>
          <cell r="AI294">
            <v>45040</v>
          </cell>
          <cell r="AJ294">
            <v>45043</v>
          </cell>
          <cell r="AK294">
            <v>45043</v>
          </cell>
          <cell r="AL294">
            <v>45082</v>
          </cell>
          <cell r="AM294">
            <v>45082</v>
          </cell>
          <cell r="AN294"/>
          <cell r="AO294">
            <v>45083</v>
          </cell>
          <cell r="AP294" t="str">
            <v>OFF HOLD</v>
          </cell>
        </row>
        <row r="295">
          <cell r="A295">
            <v>96231140235</v>
          </cell>
          <cell r="B295" t="str">
            <v>US2</v>
          </cell>
          <cell r="C295">
            <v>0</v>
          </cell>
          <cell r="D295">
            <v>0</v>
          </cell>
          <cell r="E295" t="str">
            <v>SHE</v>
          </cell>
          <cell r="F295">
            <v>0</v>
          </cell>
          <cell r="G295" t="str">
            <v>R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1</v>
          </cell>
          <cell r="AB295" t="str">
            <v>R</v>
          </cell>
          <cell r="AC295">
            <v>0</v>
          </cell>
          <cell r="AD295">
            <v>0</v>
          </cell>
          <cell r="AE295" t="str">
            <v>4/27: off confirmed PI</v>
          </cell>
          <cell r="AF295" t="str">
            <v>VIETNAM WAYTEX INTERNATIONAL COMPANY LIMITED</v>
          </cell>
          <cell r="AG295" t="str">
            <v>VIETNAM WAYTEX INTERNATIONAL COMPANY LIMITED</v>
          </cell>
          <cell r="AH295" t="str">
            <v>REGULAR</v>
          </cell>
          <cell r="AI295">
            <v>45040</v>
          </cell>
          <cell r="AJ295">
            <v>45043</v>
          </cell>
          <cell r="AK295">
            <v>45043</v>
          </cell>
          <cell r="AL295">
            <v>45097</v>
          </cell>
          <cell r="AM295">
            <v>45097</v>
          </cell>
          <cell r="AN295"/>
          <cell r="AO295">
            <v>45098</v>
          </cell>
          <cell r="AP295" t="str">
            <v>OFF HOLD</v>
          </cell>
        </row>
        <row r="296">
          <cell r="A296">
            <v>96231140236</v>
          </cell>
          <cell r="B296" t="str">
            <v>US2</v>
          </cell>
          <cell r="C296">
            <v>0</v>
          </cell>
          <cell r="D296">
            <v>0</v>
          </cell>
          <cell r="E296" t="str">
            <v>SHE</v>
          </cell>
          <cell r="F296">
            <v>0</v>
          </cell>
          <cell r="G296" t="str">
            <v>R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1</v>
          </cell>
          <cell r="AB296" t="str">
            <v>R</v>
          </cell>
          <cell r="AC296">
            <v>0</v>
          </cell>
          <cell r="AD296">
            <v>0</v>
          </cell>
          <cell r="AE296" t="str">
            <v>4/27: off confirmed PI</v>
          </cell>
          <cell r="AF296" t="str">
            <v>VIETNAM WAYTEX INTERNATIONAL COMPANY LIMITED</v>
          </cell>
          <cell r="AG296" t="str">
            <v>VIETNAM WAYTEX INTERNATIONAL COMPANY LIMITED</v>
          </cell>
          <cell r="AH296" t="str">
            <v>REGULAR</v>
          </cell>
          <cell r="AI296">
            <v>45040</v>
          </cell>
          <cell r="AJ296">
            <v>45043</v>
          </cell>
          <cell r="AK296">
            <v>45043</v>
          </cell>
          <cell r="AL296">
            <v>45073</v>
          </cell>
          <cell r="AM296">
            <v>45073</v>
          </cell>
          <cell r="AN296"/>
          <cell r="AO296">
            <v>45075</v>
          </cell>
          <cell r="AP296" t="str">
            <v>OFF HOLD</v>
          </cell>
        </row>
        <row r="297">
          <cell r="A297">
            <v>96231140237</v>
          </cell>
          <cell r="B297" t="str">
            <v>US2</v>
          </cell>
          <cell r="C297">
            <v>0</v>
          </cell>
          <cell r="D297">
            <v>0</v>
          </cell>
          <cell r="E297" t="str">
            <v>SHE</v>
          </cell>
          <cell r="F297">
            <v>0</v>
          </cell>
          <cell r="G297" t="str">
            <v>R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1</v>
          </cell>
          <cell r="AB297" t="str">
            <v>R</v>
          </cell>
          <cell r="AC297">
            <v>0</v>
          </cell>
          <cell r="AD297">
            <v>0</v>
          </cell>
          <cell r="AE297" t="str">
            <v>4/27: off confirmed PI</v>
          </cell>
          <cell r="AF297" t="str">
            <v>VIETNAM WAYTEX INTERNATIONAL COMPANY LIMITED</v>
          </cell>
          <cell r="AG297" t="str">
            <v>VIETNAM WAYTEX INTERNATIONAL COMPANY LIMITED</v>
          </cell>
          <cell r="AH297" t="str">
            <v>REGULAR</v>
          </cell>
          <cell r="AI297">
            <v>45040</v>
          </cell>
          <cell r="AJ297">
            <v>45043</v>
          </cell>
          <cell r="AK297">
            <v>45043</v>
          </cell>
          <cell r="AL297">
            <v>45073</v>
          </cell>
          <cell r="AM297">
            <v>45073</v>
          </cell>
          <cell r="AN297"/>
          <cell r="AO297">
            <v>45075</v>
          </cell>
          <cell r="AP297" t="str">
            <v>OFF HOLD</v>
          </cell>
        </row>
        <row r="298">
          <cell r="A298">
            <v>96231140238</v>
          </cell>
          <cell r="B298" t="str">
            <v>US2</v>
          </cell>
          <cell r="C298">
            <v>0</v>
          </cell>
          <cell r="D298">
            <v>0</v>
          </cell>
          <cell r="E298" t="str">
            <v>SHE</v>
          </cell>
          <cell r="F298">
            <v>0</v>
          </cell>
          <cell r="G298" t="str">
            <v>R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1</v>
          </cell>
          <cell r="AB298" t="str">
            <v>R</v>
          </cell>
          <cell r="AC298">
            <v>0</v>
          </cell>
          <cell r="AD298">
            <v>0</v>
          </cell>
          <cell r="AE298" t="str">
            <v>4/27: off confirmed PI</v>
          </cell>
          <cell r="AF298" t="str">
            <v>VIETNAM WAYTEX INTERNATIONAL COMPANY LIMITED</v>
          </cell>
          <cell r="AG298" t="str">
            <v>VIETNAM WAYTEX INTERNATIONAL COMPANY LIMITED</v>
          </cell>
          <cell r="AH298" t="str">
            <v>REGULAR</v>
          </cell>
          <cell r="AI298">
            <v>45040</v>
          </cell>
          <cell r="AJ298">
            <v>45043</v>
          </cell>
          <cell r="AK298">
            <v>45043</v>
          </cell>
          <cell r="AL298">
            <v>45097</v>
          </cell>
          <cell r="AM298">
            <v>45097</v>
          </cell>
          <cell r="AN298"/>
          <cell r="AO298">
            <v>45098</v>
          </cell>
          <cell r="AP298" t="str">
            <v>OFF HOLD</v>
          </cell>
        </row>
        <row r="299">
          <cell r="A299">
            <v>96231140239</v>
          </cell>
          <cell r="B299" t="str">
            <v>US2</v>
          </cell>
          <cell r="C299">
            <v>0</v>
          </cell>
          <cell r="D299">
            <v>0</v>
          </cell>
          <cell r="E299" t="str">
            <v>SHE</v>
          </cell>
          <cell r="F299">
            <v>0</v>
          </cell>
          <cell r="G299" t="str">
            <v>R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1</v>
          </cell>
          <cell r="AB299" t="str">
            <v>R</v>
          </cell>
          <cell r="AC299">
            <v>0</v>
          </cell>
          <cell r="AD299">
            <v>0</v>
          </cell>
          <cell r="AE299" t="str">
            <v>4/27: off confirmed PI</v>
          </cell>
          <cell r="AF299" t="str">
            <v>VIETNAM WAYTEX INTERNATIONAL COMPANY LIMITED</v>
          </cell>
          <cell r="AG299" t="str">
            <v>VIETNAM WAYTEX INTERNATIONAL COMPANY LIMITED</v>
          </cell>
          <cell r="AH299" t="str">
            <v>REGULAR</v>
          </cell>
          <cell r="AI299">
            <v>45040</v>
          </cell>
          <cell r="AJ299">
            <v>45043</v>
          </cell>
          <cell r="AK299">
            <v>45043</v>
          </cell>
          <cell r="AL299">
            <v>45082</v>
          </cell>
          <cell r="AM299">
            <v>45082</v>
          </cell>
          <cell r="AN299"/>
          <cell r="AO299">
            <v>45083</v>
          </cell>
          <cell r="AP299" t="str">
            <v>OFF HOLD</v>
          </cell>
        </row>
        <row r="300">
          <cell r="A300">
            <v>96231140240</v>
          </cell>
          <cell r="B300" t="str">
            <v>US2</v>
          </cell>
          <cell r="C300">
            <v>0</v>
          </cell>
          <cell r="D300">
            <v>0</v>
          </cell>
          <cell r="E300" t="str">
            <v>SHE</v>
          </cell>
          <cell r="F300">
            <v>0</v>
          </cell>
          <cell r="G300" t="str">
            <v>R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1</v>
          </cell>
          <cell r="AB300" t="str">
            <v>R</v>
          </cell>
          <cell r="AC300">
            <v>0</v>
          </cell>
          <cell r="AD300">
            <v>0</v>
          </cell>
          <cell r="AE300" t="str">
            <v>4/27: off confirmed PI</v>
          </cell>
          <cell r="AF300" t="str">
            <v>VIETNAM WAYTEX INTERNATIONAL COMPANY LIMITED</v>
          </cell>
          <cell r="AG300" t="str">
            <v>VIETNAM WAYTEX INTERNATIONAL COMPANY LIMITED</v>
          </cell>
          <cell r="AH300" t="str">
            <v>REGULAR</v>
          </cell>
          <cell r="AI300">
            <v>45040</v>
          </cell>
          <cell r="AJ300">
            <v>45043</v>
          </cell>
          <cell r="AK300">
            <v>45043</v>
          </cell>
          <cell r="AL300">
            <v>45073</v>
          </cell>
          <cell r="AM300">
            <v>45073</v>
          </cell>
          <cell r="AN300"/>
          <cell r="AO300">
            <v>45075</v>
          </cell>
          <cell r="AP300" t="str">
            <v>OFF HOLD</v>
          </cell>
        </row>
        <row r="301">
          <cell r="A301">
            <v>96231140241</v>
          </cell>
          <cell r="B301" t="str">
            <v>US2</v>
          </cell>
          <cell r="C301">
            <v>0</v>
          </cell>
          <cell r="D301">
            <v>0</v>
          </cell>
          <cell r="E301" t="str">
            <v>SHE</v>
          </cell>
          <cell r="F301">
            <v>0</v>
          </cell>
          <cell r="G301" t="str">
            <v>R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1</v>
          </cell>
          <cell r="AB301" t="str">
            <v>R</v>
          </cell>
          <cell r="AC301">
            <v>0</v>
          </cell>
          <cell r="AD301">
            <v>0</v>
          </cell>
          <cell r="AE301" t="str">
            <v>4/27: off confirmed PI</v>
          </cell>
          <cell r="AF301" t="str">
            <v>VIETNAM WAYTEX INTERNATIONAL COMPANY LIMITED</v>
          </cell>
          <cell r="AG301" t="str">
            <v>VIETNAM WAYTEX INTERNATIONAL COMPANY LIMITED</v>
          </cell>
          <cell r="AH301" t="str">
            <v>REGULAR</v>
          </cell>
          <cell r="AI301">
            <v>45040</v>
          </cell>
          <cell r="AJ301">
            <v>45043</v>
          </cell>
          <cell r="AK301">
            <v>45043</v>
          </cell>
          <cell r="AL301">
            <v>45082</v>
          </cell>
          <cell r="AM301">
            <v>45082</v>
          </cell>
          <cell r="AN301"/>
          <cell r="AO301">
            <v>45083</v>
          </cell>
          <cell r="AP301" t="str">
            <v>OFF HOLD</v>
          </cell>
        </row>
        <row r="302">
          <cell r="A302">
            <v>96231140243</v>
          </cell>
          <cell r="B302" t="str">
            <v>US2</v>
          </cell>
          <cell r="C302">
            <v>0</v>
          </cell>
          <cell r="D302">
            <v>0</v>
          </cell>
          <cell r="E302" t="str">
            <v>SHE</v>
          </cell>
          <cell r="F302">
            <v>0</v>
          </cell>
          <cell r="G302" t="str">
            <v>R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1</v>
          </cell>
          <cell r="AB302" t="str">
            <v>R</v>
          </cell>
          <cell r="AC302">
            <v>0</v>
          </cell>
          <cell r="AD302">
            <v>0</v>
          </cell>
          <cell r="AE302" t="str">
            <v>4/27: off confirmed PI</v>
          </cell>
          <cell r="AF302" t="str">
            <v>VIETNAM WAYTEX INTERNATIONAL COMPANY LIMITED</v>
          </cell>
          <cell r="AG302" t="str">
            <v>VIETNAM WAYTEX INTERNATIONAL COMPANY LIMITED</v>
          </cell>
          <cell r="AH302" t="str">
            <v>REGULAR</v>
          </cell>
          <cell r="AI302">
            <v>45040</v>
          </cell>
          <cell r="AJ302">
            <v>45043</v>
          </cell>
          <cell r="AK302">
            <v>45043</v>
          </cell>
          <cell r="AL302">
            <v>45097</v>
          </cell>
          <cell r="AM302">
            <v>45097</v>
          </cell>
          <cell r="AN302"/>
          <cell r="AO302">
            <v>45098</v>
          </cell>
          <cell r="AP302" t="str">
            <v>OFF HOLD</v>
          </cell>
        </row>
        <row r="303">
          <cell r="A303">
            <v>96231140244</v>
          </cell>
          <cell r="B303" t="str">
            <v>US2</v>
          </cell>
          <cell r="C303">
            <v>0</v>
          </cell>
          <cell r="D303">
            <v>0</v>
          </cell>
          <cell r="E303" t="str">
            <v>SHE</v>
          </cell>
          <cell r="F303">
            <v>0</v>
          </cell>
          <cell r="G303" t="str">
            <v>R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1</v>
          </cell>
          <cell r="AB303" t="str">
            <v>R</v>
          </cell>
          <cell r="AC303">
            <v>0</v>
          </cell>
          <cell r="AD303">
            <v>0</v>
          </cell>
          <cell r="AE303" t="str">
            <v>4/27: off confirmed PI</v>
          </cell>
          <cell r="AF303" t="str">
            <v>VIETNAM WAYTEX INTERNATIONAL COMPANY LIMITED</v>
          </cell>
          <cell r="AG303" t="str">
            <v>VIETNAM WAYTEX INTERNATIONAL COMPANY LIMITED</v>
          </cell>
          <cell r="AH303" t="str">
            <v>REGULAR</v>
          </cell>
          <cell r="AI303">
            <v>45040</v>
          </cell>
          <cell r="AJ303">
            <v>45043</v>
          </cell>
          <cell r="AK303">
            <v>45043</v>
          </cell>
          <cell r="AL303">
            <v>45073</v>
          </cell>
          <cell r="AM303">
            <v>45073</v>
          </cell>
          <cell r="AN303"/>
          <cell r="AO303">
            <v>45075</v>
          </cell>
          <cell r="AP303" t="str">
            <v>OFF HOLD</v>
          </cell>
        </row>
        <row r="304">
          <cell r="A304">
            <v>96231140245</v>
          </cell>
          <cell r="B304" t="str">
            <v>US2</v>
          </cell>
          <cell r="C304">
            <v>0</v>
          </cell>
          <cell r="D304">
            <v>0</v>
          </cell>
          <cell r="E304" t="str">
            <v>SHE</v>
          </cell>
          <cell r="F304">
            <v>0</v>
          </cell>
          <cell r="G304" t="str">
            <v>R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1</v>
          </cell>
          <cell r="AB304" t="str">
            <v>R</v>
          </cell>
          <cell r="AC304">
            <v>0</v>
          </cell>
          <cell r="AD304">
            <v>0</v>
          </cell>
          <cell r="AE304" t="str">
            <v>4/27: off confirmed PI</v>
          </cell>
          <cell r="AF304" t="str">
            <v>VIETNAM WAYTEX INTERNATIONAL COMPANY LIMITED</v>
          </cell>
          <cell r="AG304" t="str">
            <v>VIETNAM WAYTEX INTERNATIONAL COMPANY LIMITED</v>
          </cell>
          <cell r="AH304" t="str">
            <v>REGULAR</v>
          </cell>
          <cell r="AI304">
            <v>45040</v>
          </cell>
          <cell r="AJ304">
            <v>45043</v>
          </cell>
          <cell r="AK304">
            <v>45043</v>
          </cell>
          <cell r="AL304">
            <v>45082</v>
          </cell>
          <cell r="AM304">
            <v>45082</v>
          </cell>
          <cell r="AN304"/>
          <cell r="AO304">
            <v>45083</v>
          </cell>
          <cell r="AP304" t="str">
            <v>OFF HOLD</v>
          </cell>
        </row>
        <row r="305">
          <cell r="A305">
            <v>96231140246</v>
          </cell>
          <cell r="B305" t="str">
            <v>US2</v>
          </cell>
          <cell r="C305">
            <v>0</v>
          </cell>
          <cell r="D305">
            <v>0</v>
          </cell>
          <cell r="E305" t="str">
            <v>SHE</v>
          </cell>
          <cell r="F305">
            <v>0</v>
          </cell>
          <cell r="G305" t="str">
            <v>R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1</v>
          </cell>
          <cell r="AB305" t="str">
            <v>R</v>
          </cell>
          <cell r="AC305">
            <v>0</v>
          </cell>
          <cell r="AD305">
            <v>0</v>
          </cell>
          <cell r="AE305" t="str">
            <v>4/27: off confirmed PI</v>
          </cell>
          <cell r="AF305" t="str">
            <v>VIETNAM WAYTEX INTERNATIONAL COMPANY LIMITED</v>
          </cell>
          <cell r="AG305" t="str">
            <v>VIETNAM WAYTEX INTERNATIONAL COMPANY LIMITED</v>
          </cell>
          <cell r="AH305" t="str">
            <v>REGULAR</v>
          </cell>
          <cell r="AI305">
            <v>45040</v>
          </cell>
          <cell r="AJ305">
            <v>45043</v>
          </cell>
          <cell r="AK305">
            <v>45043</v>
          </cell>
          <cell r="AL305">
            <v>45097</v>
          </cell>
          <cell r="AM305">
            <v>45097</v>
          </cell>
          <cell r="AN305"/>
          <cell r="AO305">
            <v>45098</v>
          </cell>
          <cell r="AP305" t="str">
            <v>OFF HOLD</v>
          </cell>
        </row>
        <row r="306">
          <cell r="A306">
            <v>96231140247</v>
          </cell>
          <cell r="B306" t="str">
            <v>US2</v>
          </cell>
          <cell r="C306">
            <v>0</v>
          </cell>
          <cell r="D306">
            <v>0</v>
          </cell>
          <cell r="E306" t="str">
            <v>SHE</v>
          </cell>
          <cell r="F306">
            <v>0</v>
          </cell>
          <cell r="G306" t="str">
            <v>R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1</v>
          </cell>
          <cell r="AB306" t="str">
            <v>R</v>
          </cell>
          <cell r="AC306">
            <v>0</v>
          </cell>
          <cell r="AD306">
            <v>0</v>
          </cell>
          <cell r="AE306" t="str">
            <v>4/27: off confirmed PI</v>
          </cell>
          <cell r="AF306" t="str">
            <v>VIETNAM WAYTEX INTERNATIONAL COMPANY LIMITED</v>
          </cell>
          <cell r="AG306" t="str">
            <v>VIETNAM WAYTEX INTERNATIONAL COMPANY LIMITED</v>
          </cell>
          <cell r="AH306" t="str">
            <v>REGULAR</v>
          </cell>
          <cell r="AI306">
            <v>45040</v>
          </cell>
          <cell r="AJ306">
            <v>45043</v>
          </cell>
          <cell r="AK306">
            <v>45043</v>
          </cell>
          <cell r="AL306">
            <v>45073</v>
          </cell>
          <cell r="AM306">
            <v>45073</v>
          </cell>
          <cell r="AN306"/>
          <cell r="AO306">
            <v>45075</v>
          </cell>
          <cell r="AP306" t="str">
            <v>OFF HOLD</v>
          </cell>
        </row>
        <row r="307">
          <cell r="A307">
            <v>96231140250</v>
          </cell>
          <cell r="B307" t="str">
            <v>US2</v>
          </cell>
          <cell r="C307">
            <v>0</v>
          </cell>
          <cell r="D307">
            <v>0</v>
          </cell>
          <cell r="E307" t="str">
            <v>SHE</v>
          </cell>
          <cell r="F307">
            <v>0</v>
          </cell>
          <cell r="G307" t="str">
            <v>R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1</v>
          </cell>
          <cell r="AB307" t="str">
            <v>R</v>
          </cell>
          <cell r="AC307">
            <v>0</v>
          </cell>
          <cell r="AD307">
            <v>0</v>
          </cell>
          <cell r="AE307" t="str">
            <v>4/27: off confirmed PI</v>
          </cell>
          <cell r="AF307" t="str">
            <v>VIETNAM WAYTEX INTERNATIONAL COMPANY LIMITED</v>
          </cell>
          <cell r="AG307" t="str">
            <v>VIETNAM WAYTEX INTERNATIONAL COMPANY LIMITED</v>
          </cell>
          <cell r="AH307" t="str">
            <v>REGULAR</v>
          </cell>
          <cell r="AI307">
            <v>45040</v>
          </cell>
          <cell r="AJ307">
            <v>45043</v>
          </cell>
          <cell r="AK307">
            <v>45043</v>
          </cell>
          <cell r="AL307">
            <v>45097</v>
          </cell>
          <cell r="AM307">
            <v>45097</v>
          </cell>
          <cell r="AN307"/>
          <cell r="AO307">
            <v>45098</v>
          </cell>
          <cell r="AP307" t="str">
            <v>OFF HOLD</v>
          </cell>
        </row>
        <row r="308">
          <cell r="A308">
            <v>96231140253</v>
          </cell>
          <cell r="B308" t="str">
            <v>US2</v>
          </cell>
          <cell r="C308">
            <v>0</v>
          </cell>
          <cell r="D308">
            <v>0</v>
          </cell>
          <cell r="E308" t="str">
            <v>SHE</v>
          </cell>
          <cell r="F308">
            <v>0</v>
          </cell>
          <cell r="G308" t="str">
            <v>R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1</v>
          </cell>
          <cell r="AB308" t="str">
            <v>R</v>
          </cell>
          <cell r="AC308">
            <v>0</v>
          </cell>
          <cell r="AD308">
            <v>0</v>
          </cell>
          <cell r="AE308" t="str">
            <v>4/27: off confirmed PI</v>
          </cell>
          <cell r="AF308" t="str">
            <v>VIETNAM WAYTEX INTERNATIONAL COMPANY LIMITED</v>
          </cell>
          <cell r="AG308" t="str">
            <v>VIETNAM WAYTEX INTERNATIONAL COMPANY LIMITED</v>
          </cell>
          <cell r="AH308" t="str">
            <v>REGULAR</v>
          </cell>
          <cell r="AI308">
            <v>45040</v>
          </cell>
          <cell r="AJ308">
            <v>45043</v>
          </cell>
          <cell r="AK308">
            <v>45043</v>
          </cell>
          <cell r="AL308">
            <v>45097</v>
          </cell>
          <cell r="AM308">
            <v>45097</v>
          </cell>
          <cell r="AN308"/>
          <cell r="AO308">
            <v>45098</v>
          </cell>
          <cell r="AP308" t="str">
            <v>OFF HOLD</v>
          </cell>
        </row>
        <row r="309">
          <cell r="A309">
            <v>96231140255</v>
          </cell>
          <cell r="B309" t="str">
            <v>US2</v>
          </cell>
          <cell r="C309">
            <v>0</v>
          </cell>
          <cell r="D309">
            <v>0</v>
          </cell>
          <cell r="E309" t="str">
            <v>SHE</v>
          </cell>
          <cell r="F309">
            <v>0</v>
          </cell>
          <cell r="G309" t="str">
            <v>R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1</v>
          </cell>
          <cell r="AB309" t="str">
            <v>R</v>
          </cell>
          <cell r="AC309">
            <v>0</v>
          </cell>
          <cell r="AD309">
            <v>0</v>
          </cell>
          <cell r="AE309" t="str">
            <v>4/27: off confirmed PI</v>
          </cell>
          <cell r="AF309" t="str">
            <v>VIETNAM WAYTEX INTERNATIONAL COMPANY LIMITED</v>
          </cell>
          <cell r="AG309" t="str">
            <v>VIETNAM WAYTEX INTERNATIONAL COMPANY LIMITED</v>
          </cell>
          <cell r="AH309" t="str">
            <v>REGULAR</v>
          </cell>
          <cell r="AI309">
            <v>45040</v>
          </cell>
          <cell r="AJ309">
            <v>45043</v>
          </cell>
          <cell r="AK309">
            <v>45043</v>
          </cell>
          <cell r="AL309">
            <v>45073</v>
          </cell>
          <cell r="AM309">
            <v>45073</v>
          </cell>
          <cell r="AN309"/>
          <cell r="AO309">
            <v>45075</v>
          </cell>
          <cell r="AP309" t="str">
            <v>OFF HOLD</v>
          </cell>
        </row>
        <row r="310">
          <cell r="A310">
            <v>96231140256</v>
          </cell>
          <cell r="B310" t="str">
            <v>US2</v>
          </cell>
          <cell r="C310">
            <v>0</v>
          </cell>
          <cell r="D310">
            <v>0</v>
          </cell>
          <cell r="E310" t="str">
            <v>SHE</v>
          </cell>
          <cell r="F310">
            <v>0</v>
          </cell>
          <cell r="G310" t="str">
            <v>R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1</v>
          </cell>
          <cell r="AB310" t="str">
            <v>R</v>
          </cell>
          <cell r="AC310">
            <v>0</v>
          </cell>
          <cell r="AD310">
            <v>0</v>
          </cell>
          <cell r="AE310" t="str">
            <v>4/27: off confirmed PI</v>
          </cell>
          <cell r="AF310" t="str">
            <v>VIETNAM WAYTEX INTERNATIONAL COMPANY LIMITED</v>
          </cell>
          <cell r="AG310" t="str">
            <v>VIETNAM WAYTEX INTERNATIONAL COMPANY LIMITED</v>
          </cell>
          <cell r="AH310" t="str">
            <v>REGULAR</v>
          </cell>
          <cell r="AI310">
            <v>45040</v>
          </cell>
          <cell r="AJ310">
            <v>45043</v>
          </cell>
          <cell r="AK310">
            <v>45043</v>
          </cell>
          <cell r="AL310">
            <v>45073</v>
          </cell>
          <cell r="AM310">
            <v>45073</v>
          </cell>
          <cell r="AN310"/>
          <cell r="AO310">
            <v>45075</v>
          </cell>
          <cell r="AP310" t="str">
            <v>OFF HOLD</v>
          </cell>
        </row>
        <row r="311">
          <cell r="A311">
            <v>96231140259</v>
          </cell>
          <cell r="B311" t="str">
            <v>US2</v>
          </cell>
          <cell r="C311">
            <v>0</v>
          </cell>
          <cell r="D311">
            <v>0</v>
          </cell>
          <cell r="E311" t="str">
            <v>SHE</v>
          </cell>
          <cell r="F311">
            <v>0</v>
          </cell>
          <cell r="G311" t="str">
            <v>R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1</v>
          </cell>
          <cell r="AB311" t="str">
            <v>R</v>
          </cell>
          <cell r="AC311">
            <v>0</v>
          </cell>
          <cell r="AD311">
            <v>0</v>
          </cell>
          <cell r="AE311" t="str">
            <v>4/27: off confirmed PI</v>
          </cell>
          <cell r="AF311" t="str">
            <v>VIETNAM WAYTEX INTERNATIONAL COMPANY LIMITED</v>
          </cell>
          <cell r="AG311" t="str">
            <v>VIETNAM WAYTEX INTERNATIONAL COMPANY LIMITED</v>
          </cell>
          <cell r="AH311" t="str">
            <v>REGULAR</v>
          </cell>
          <cell r="AI311">
            <v>45040</v>
          </cell>
          <cell r="AJ311">
            <v>45043</v>
          </cell>
          <cell r="AK311">
            <v>45043</v>
          </cell>
          <cell r="AL311">
            <v>45082</v>
          </cell>
          <cell r="AM311">
            <v>45082</v>
          </cell>
          <cell r="AN311"/>
          <cell r="AO311">
            <v>45083</v>
          </cell>
          <cell r="AP311" t="str">
            <v>OFF HOLD</v>
          </cell>
        </row>
        <row r="312">
          <cell r="A312">
            <v>96231140260</v>
          </cell>
          <cell r="B312" t="str">
            <v>US2</v>
          </cell>
          <cell r="C312">
            <v>0</v>
          </cell>
          <cell r="D312">
            <v>0</v>
          </cell>
          <cell r="E312" t="str">
            <v>SHE</v>
          </cell>
          <cell r="F312">
            <v>0</v>
          </cell>
          <cell r="G312" t="str">
            <v>R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1</v>
          </cell>
          <cell r="AB312" t="str">
            <v>R</v>
          </cell>
          <cell r="AC312">
            <v>0</v>
          </cell>
          <cell r="AD312">
            <v>0</v>
          </cell>
          <cell r="AE312" t="str">
            <v>4/27: off confirmed PI</v>
          </cell>
          <cell r="AF312" t="str">
            <v>VIETNAM WAYTEX INTERNATIONAL COMPANY LIMITED</v>
          </cell>
          <cell r="AG312" t="str">
            <v>VIETNAM WAYTEX INTERNATIONAL COMPANY LIMITED</v>
          </cell>
          <cell r="AH312" t="str">
            <v>REGULAR</v>
          </cell>
          <cell r="AI312">
            <v>45040</v>
          </cell>
          <cell r="AJ312">
            <v>45043</v>
          </cell>
          <cell r="AK312">
            <v>45043</v>
          </cell>
          <cell r="AL312">
            <v>45082</v>
          </cell>
          <cell r="AM312">
            <v>45082</v>
          </cell>
          <cell r="AN312"/>
          <cell r="AO312">
            <v>45083</v>
          </cell>
          <cell r="AP312" t="str">
            <v>OFF HOLD</v>
          </cell>
        </row>
        <row r="313">
          <cell r="A313">
            <v>96231140266</v>
          </cell>
          <cell r="B313" t="str">
            <v>US2-RF SP 96231140255</v>
          </cell>
          <cell r="C313">
            <v>0</v>
          </cell>
          <cell r="D313">
            <v>0</v>
          </cell>
          <cell r="E313" t="str">
            <v>SHE</v>
          </cell>
          <cell r="F313">
            <v>0</v>
          </cell>
          <cell r="G313" t="str">
            <v>R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1</v>
          </cell>
          <cell r="AB313" t="str">
            <v>R</v>
          </cell>
          <cell r="AC313">
            <v>0</v>
          </cell>
          <cell r="AD313">
            <v>0</v>
          </cell>
          <cell r="AE313" t="str">
            <v>4/27: off confirmed PI</v>
          </cell>
          <cell r="AF313" t="str">
            <v>VIETNAM WAYTEX INTERNATIONAL COMPANY LIMITED</v>
          </cell>
          <cell r="AG313" t="str">
            <v>VIETNAM WAYTEX INTERNATIONAL COMPANY LIMITED</v>
          </cell>
          <cell r="AH313" t="str">
            <v>REGULAR</v>
          </cell>
          <cell r="AI313">
            <v>45040</v>
          </cell>
          <cell r="AJ313">
            <v>45043</v>
          </cell>
          <cell r="AK313">
            <v>45043</v>
          </cell>
          <cell r="AL313">
            <v>45082</v>
          </cell>
          <cell r="AM313">
            <v>45082</v>
          </cell>
          <cell r="AN313"/>
          <cell r="AO313">
            <v>45083</v>
          </cell>
          <cell r="AP313" t="str">
            <v>OFF HOLD</v>
          </cell>
        </row>
        <row r="314">
          <cell r="A314">
            <v>96231140267</v>
          </cell>
          <cell r="B314" t="str">
            <v>US2</v>
          </cell>
          <cell r="C314">
            <v>0</v>
          </cell>
          <cell r="D314">
            <v>0</v>
          </cell>
          <cell r="E314" t="str">
            <v>SHE</v>
          </cell>
          <cell r="F314">
            <v>0</v>
          </cell>
          <cell r="G314" t="str">
            <v>R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1</v>
          </cell>
          <cell r="AB314" t="str">
            <v>R</v>
          </cell>
          <cell r="AC314">
            <v>0</v>
          </cell>
          <cell r="AD314">
            <v>0</v>
          </cell>
          <cell r="AE314" t="str">
            <v>4/27: off confirmed PI</v>
          </cell>
          <cell r="AF314" t="str">
            <v>VIETNAM WAYTEX INTERNATIONAL COMPANY LIMITED</v>
          </cell>
          <cell r="AG314" t="str">
            <v>VIETNAM WAYTEX INTERNATIONAL COMPANY LIMITED</v>
          </cell>
          <cell r="AH314" t="str">
            <v>REGULAR</v>
          </cell>
          <cell r="AI314">
            <v>45040</v>
          </cell>
          <cell r="AJ314">
            <v>45043</v>
          </cell>
          <cell r="AK314">
            <v>45043</v>
          </cell>
          <cell r="AL314">
            <v>45097</v>
          </cell>
          <cell r="AM314">
            <v>45097</v>
          </cell>
          <cell r="AN314"/>
          <cell r="AO314">
            <v>45098</v>
          </cell>
          <cell r="AP314" t="str">
            <v>OFF HOLD</v>
          </cell>
        </row>
        <row r="315">
          <cell r="A315">
            <v>96231140272</v>
          </cell>
          <cell r="B315" t="str">
            <v>US2-RF SP 96231140255</v>
          </cell>
          <cell r="C315">
            <v>0</v>
          </cell>
          <cell r="D315">
            <v>0</v>
          </cell>
          <cell r="E315" t="str">
            <v>SHE</v>
          </cell>
          <cell r="F315">
            <v>0</v>
          </cell>
          <cell r="G315" t="str">
            <v>R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1</v>
          </cell>
          <cell r="AB315" t="str">
            <v>R</v>
          </cell>
          <cell r="AC315">
            <v>0</v>
          </cell>
          <cell r="AD315">
            <v>0</v>
          </cell>
          <cell r="AE315" t="str">
            <v>4/27: off confirmed PI</v>
          </cell>
          <cell r="AF315" t="str">
            <v>VIETNAM WAYTEX INTERNATIONAL COMPANY LIMITED</v>
          </cell>
          <cell r="AG315" t="str">
            <v>VIETNAM WAYTEX INTERNATIONAL COMPANY LIMITED</v>
          </cell>
          <cell r="AH315" t="str">
            <v>REGULAR</v>
          </cell>
          <cell r="AI315">
            <v>45040</v>
          </cell>
          <cell r="AJ315">
            <v>45043</v>
          </cell>
          <cell r="AK315">
            <v>45043</v>
          </cell>
          <cell r="AL315">
            <v>45097</v>
          </cell>
          <cell r="AM315">
            <v>45097</v>
          </cell>
          <cell r="AN315"/>
          <cell r="AO315">
            <v>45098</v>
          </cell>
          <cell r="AP315" t="str">
            <v>OFF HOLD</v>
          </cell>
        </row>
        <row r="316">
          <cell r="A316">
            <v>96231140273</v>
          </cell>
          <cell r="B316" t="str">
            <v>US2</v>
          </cell>
          <cell r="C316">
            <v>0</v>
          </cell>
          <cell r="D316">
            <v>0</v>
          </cell>
          <cell r="E316" t="str">
            <v>SHE</v>
          </cell>
          <cell r="F316">
            <v>0</v>
          </cell>
          <cell r="G316" t="str">
            <v>R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1</v>
          </cell>
          <cell r="AB316" t="str">
            <v>R</v>
          </cell>
          <cell r="AC316">
            <v>0</v>
          </cell>
          <cell r="AD316">
            <v>0</v>
          </cell>
          <cell r="AE316" t="str">
            <v>4/27: off confirmed PI</v>
          </cell>
          <cell r="AF316" t="str">
            <v>VIETNAM WAYTEX INTERNATIONAL COMPANY LIMITED</v>
          </cell>
          <cell r="AG316" t="str">
            <v>VIETNAM WAYTEX INTERNATIONAL COMPANY LIMITED</v>
          </cell>
          <cell r="AH316" t="str">
            <v>REGULAR</v>
          </cell>
          <cell r="AI316">
            <v>45040</v>
          </cell>
          <cell r="AJ316">
            <v>45043</v>
          </cell>
          <cell r="AK316">
            <v>45043</v>
          </cell>
          <cell r="AL316">
            <v>45082</v>
          </cell>
          <cell r="AM316">
            <v>45082</v>
          </cell>
          <cell r="AN316"/>
          <cell r="AO316">
            <v>45083</v>
          </cell>
          <cell r="AP316" t="str">
            <v>OFF HOLD</v>
          </cell>
        </row>
        <row r="317">
          <cell r="A317">
            <v>96231140276</v>
          </cell>
          <cell r="B317" t="str">
            <v>US2</v>
          </cell>
          <cell r="C317">
            <v>0</v>
          </cell>
          <cell r="D317">
            <v>0</v>
          </cell>
          <cell r="E317" t="str">
            <v>SHE</v>
          </cell>
          <cell r="F317">
            <v>0</v>
          </cell>
          <cell r="G317" t="str">
            <v>R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1</v>
          </cell>
          <cell r="AB317" t="str">
            <v>R</v>
          </cell>
          <cell r="AC317">
            <v>0</v>
          </cell>
          <cell r="AD317">
            <v>0</v>
          </cell>
          <cell r="AE317" t="str">
            <v>4/27: off confirmed PI</v>
          </cell>
          <cell r="AF317" t="str">
            <v>VIETNAM WAYTEX INTERNATIONAL COMPANY LIMITED</v>
          </cell>
          <cell r="AG317" t="str">
            <v>VIETNAM WAYTEX INTERNATIONAL COMPANY LIMITED</v>
          </cell>
          <cell r="AH317" t="str">
            <v>REGULAR</v>
          </cell>
          <cell r="AI317">
            <v>45040</v>
          </cell>
          <cell r="AJ317">
            <v>45043</v>
          </cell>
          <cell r="AK317">
            <v>45043</v>
          </cell>
          <cell r="AL317">
            <v>45073</v>
          </cell>
          <cell r="AM317">
            <v>45073</v>
          </cell>
          <cell r="AN317"/>
          <cell r="AO317">
            <v>45075</v>
          </cell>
          <cell r="AP317" t="str">
            <v>OFF HOLD</v>
          </cell>
        </row>
        <row r="318">
          <cell r="A318">
            <v>96231140277</v>
          </cell>
          <cell r="B318" t="str">
            <v>US2</v>
          </cell>
          <cell r="C318">
            <v>0</v>
          </cell>
          <cell r="D318">
            <v>0</v>
          </cell>
          <cell r="E318" t="str">
            <v>SHE</v>
          </cell>
          <cell r="F318">
            <v>0</v>
          </cell>
          <cell r="G318" t="str">
            <v>R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1</v>
          </cell>
          <cell r="AB318" t="str">
            <v>R</v>
          </cell>
          <cell r="AC318">
            <v>0</v>
          </cell>
          <cell r="AD318">
            <v>0</v>
          </cell>
          <cell r="AE318" t="str">
            <v>4/27: off confirmed PI</v>
          </cell>
          <cell r="AF318" t="str">
            <v>VIETNAM WAYTEX INTERNATIONAL COMPANY LIMITED</v>
          </cell>
          <cell r="AG318" t="str">
            <v>VIETNAM WAYTEX INTERNATIONAL COMPANY LIMITED</v>
          </cell>
          <cell r="AH318" t="str">
            <v>REGULAR</v>
          </cell>
          <cell r="AI318">
            <v>45040</v>
          </cell>
          <cell r="AJ318">
            <v>45043</v>
          </cell>
          <cell r="AK318">
            <v>45043</v>
          </cell>
          <cell r="AL318">
            <v>45073</v>
          </cell>
          <cell r="AM318">
            <v>45073</v>
          </cell>
          <cell r="AN318"/>
          <cell r="AO318">
            <v>45075</v>
          </cell>
          <cell r="AP318" t="str">
            <v>OFF HOLD</v>
          </cell>
        </row>
        <row r="319">
          <cell r="A319">
            <v>96231140278</v>
          </cell>
          <cell r="B319" t="str">
            <v>US2</v>
          </cell>
          <cell r="C319">
            <v>0</v>
          </cell>
          <cell r="D319">
            <v>0</v>
          </cell>
          <cell r="E319" t="str">
            <v>SHE</v>
          </cell>
          <cell r="F319">
            <v>0</v>
          </cell>
          <cell r="G319" t="str">
            <v>R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1</v>
          </cell>
          <cell r="AB319" t="str">
            <v>R</v>
          </cell>
          <cell r="AC319">
            <v>0</v>
          </cell>
          <cell r="AD319">
            <v>0</v>
          </cell>
          <cell r="AE319" t="str">
            <v>4/27: off confirmed PI</v>
          </cell>
          <cell r="AF319" t="str">
            <v>VIETNAM WAYTEX INTERNATIONAL COMPANY LIMITED</v>
          </cell>
          <cell r="AG319" t="str">
            <v>VIETNAM WAYTEX INTERNATIONAL COMPANY LIMITED</v>
          </cell>
          <cell r="AH319" t="str">
            <v>REGULAR</v>
          </cell>
          <cell r="AI319">
            <v>45040</v>
          </cell>
          <cell r="AJ319">
            <v>45043</v>
          </cell>
          <cell r="AK319">
            <v>45043</v>
          </cell>
          <cell r="AL319">
            <v>45073</v>
          </cell>
          <cell r="AM319">
            <v>45073</v>
          </cell>
          <cell r="AN319"/>
          <cell r="AO319">
            <v>45075</v>
          </cell>
          <cell r="AP319" t="str">
            <v>OFF HOLD</v>
          </cell>
        </row>
        <row r="320">
          <cell r="A320">
            <v>96231140279</v>
          </cell>
          <cell r="B320" t="str">
            <v>US2</v>
          </cell>
          <cell r="C320">
            <v>0</v>
          </cell>
          <cell r="D320">
            <v>0</v>
          </cell>
          <cell r="E320" t="str">
            <v>SHE</v>
          </cell>
          <cell r="F320">
            <v>0</v>
          </cell>
          <cell r="G320" t="str">
            <v>R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1</v>
          </cell>
          <cell r="AB320" t="str">
            <v>R</v>
          </cell>
          <cell r="AC320">
            <v>0</v>
          </cell>
          <cell r="AD320">
            <v>0</v>
          </cell>
          <cell r="AE320" t="str">
            <v>4/27: off confirmed PI</v>
          </cell>
          <cell r="AF320" t="str">
            <v>VIETNAM WAYTEX INTERNATIONAL COMPANY LIMITED</v>
          </cell>
          <cell r="AG320" t="str">
            <v>VIETNAM WAYTEX INTERNATIONAL COMPANY LIMITED</v>
          </cell>
          <cell r="AH320" t="str">
            <v>REGULAR</v>
          </cell>
          <cell r="AI320">
            <v>45040</v>
          </cell>
          <cell r="AJ320">
            <v>45043</v>
          </cell>
          <cell r="AK320">
            <v>45043</v>
          </cell>
          <cell r="AL320">
            <v>45082</v>
          </cell>
          <cell r="AM320">
            <v>45082</v>
          </cell>
          <cell r="AN320"/>
          <cell r="AO320">
            <v>45083</v>
          </cell>
          <cell r="AP320" t="str">
            <v>OFF HOLD</v>
          </cell>
        </row>
        <row r="321">
          <cell r="A321">
            <v>96231140280</v>
          </cell>
          <cell r="B321" t="str">
            <v>US2</v>
          </cell>
          <cell r="C321">
            <v>0</v>
          </cell>
          <cell r="D321">
            <v>0</v>
          </cell>
          <cell r="E321" t="str">
            <v>SHE</v>
          </cell>
          <cell r="F321">
            <v>0</v>
          </cell>
          <cell r="G321" t="str">
            <v>R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1</v>
          </cell>
          <cell r="AB321" t="str">
            <v>R</v>
          </cell>
          <cell r="AC321">
            <v>0</v>
          </cell>
          <cell r="AD321">
            <v>0</v>
          </cell>
          <cell r="AE321" t="str">
            <v>4/27: off confirmed PI</v>
          </cell>
          <cell r="AF321" t="str">
            <v>VIETNAM WAYTEX INTERNATIONAL COMPANY LIMITED</v>
          </cell>
          <cell r="AG321" t="str">
            <v>VIETNAM WAYTEX INTERNATIONAL COMPANY LIMITED</v>
          </cell>
          <cell r="AH321" t="str">
            <v>REGULAR</v>
          </cell>
          <cell r="AI321">
            <v>45040</v>
          </cell>
          <cell r="AJ321">
            <v>45043</v>
          </cell>
          <cell r="AK321">
            <v>45043</v>
          </cell>
          <cell r="AL321">
            <v>45097</v>
          </cell>
          <cell r="AM321">
            <v>45097</v>
          </cell>
          <cell r="AN321"/>
          <cell r="AO321">
            <v>45098</v>
          </cell>
          <cell r="AP321" t="str">
            <v>OFF HOLD</v>
          </cell>
        </row>
        <row r="322">
          <cell r="A322">
            <v>96231140281</v>
          </cell>
          <cell r="B322" t="str">
            <v>US2</v>
          </cell>
          <cell r="C322">
            <v>0</v>
          </cell>
          <cell r="D322">
            <v>0</v>
          </cell>
          <cell r="E322" t="str">
            <v>SHE</v>
          </cell>
          <cell r="F322">
            <v>0</v>
          </cell>
          <cell r="G322" t="str">
            <v>R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1</v>
          </cell>
          <cell r="AB322" t="str">
            <v>R</v>
          </cell>
          <cell r="AC322">
            <v>0</v>
          </cell>
          <cell r="AD322">
            <v>0</v>
          </cell>
          <cell r="AE322" t="str">
            <v>4/27: off confirmed PI</v>
          </cell>
          <cell r="AF322" t="str">
            <v>VIETNAM WAYTEX INTERNATIONAL COMPANY LIMITED</v>
          </cell>
          <cell r="AG322" t="str">
            <v>VIETNAM WAYTEX INTERNATIONAL COMPANY LIMITED</v>
          </cell>
          <cell r="AH322" t="str">
            <v>REGULAR</v>
          </cell>
          <cell r="AI322">
            <v>45040</v>
          </cell>
          <cell r="AJ322">
            <v>45043</v>
          </cell>
          <cell r="AK322">
            <v>45043</v>
          </cell>
          <cell r="AL322">
            <v>45097</v>
          </cell>
          <cell r="AM322">
            <v>45097</v>
          </cell>
          <cell r="AN322"/>
          <cell r="AO322">
            <v>45098</v>
          </cell>
          <cell r="AP322" t="str">
            <v>OFF HOLD</v>
          </cell>
        </row>
        <row r="323">
          <cell r="A323">
            <v>96231140282</v>
          </cell>
          <cell r="B323" t="str">
            <v>US2-RF SP 96231140277</v>
          </cell>
          <cell r="C323">
            <v>0</v>
          </cell>
          <cell r="D323">
            <v>0</v>
          </cell>
          <cell r="E323" t="str">
            <v>SHE</v>
          </cell>
          <cell r="F323">
            <v>0</v>
          </cell>
          <cell r="G323" t="str">
            <v>R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1</v>
          </cell>
          <cell r="AB323" t="str">
            <v>R</v>
          </cell>
          <cell r="AC323">
            <v>0</v>
          </cell>
          <cell r="AD323">
            <v>0</v>
          </cell>
          <cell r="AE323" t="str">
            <v>4/27: off confirmed PI</v>
          </cell>
          <cell r="AF323" t="str">
            <v>VIETNAM WAYTEX INTERNATIONAL COMPANY LIMITED</v>
          </cell>
          <cell r="AG323" t="str">
            <v>VIETNAM WAYTEX INTERNATIONAL COMPANY LIMITED</v>
          </cell>
          <cell r="AH323" t="str">
            <v>REGULAR</v>
          </cell>
          <cell r="AI323">
            <v>45040</v>
          </cell>
          <cell r="AJ323">
            <v>45043</v>
          </cell>
          <cell r="AK323">
            <v>45043</v>
          </cell>
          <cell r="AL323">
            <v>45082</v>
          </cell>
          <cell r="AM323">
            <v>45082</v>
          </cell>
          <cell r="AN323"/>
          <cell r="AO323">
            <v>45083</v>
          </cell>
          <cell r="AP323" t="str">
            <v>OFF HOLD</v>
          </cell>
        </row>
        <row r="324">
          <cell r="A324">
            <v>96231140284</v>
          </cell>
          <cell r="B324" t="str">
            <v>US2-RF SP 96231140277</v>
          </cell>
          <cell r="C324">
            <v>0</v>
          </cell>
          <cell r="D324">
            <v>0</v>
          </cell>
          <cell r="E324" t="str">
            <v>SHE</v>
          </cell>
          <cell r="F324">
            <v>0</v>
          </cell>
          <cell r="G324" t="str">
            <v>R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1</v>
          </cell>
          <cell r="AB324" t="str">
            <v>R</v>
          </cell>
          <cell r="AC324">
            <v>0</v>
          </cell>
          <cell r="AD324">
            <v>0</v>
          </cell>
          <cell r="AE324" t="str">
            <v>4/27: off confirmed PI</v>
          </cell>
          <cell r="AF324" t="str">
            <v>VIETNAM WAYTEX INTERNATIONAL COMPANY LIMITED</v>
          </cell>
          <cell r="AG324" t="str">
            <v>VIETNAM WAYTEX INTERNATIONAL COMPANY LIMITED</v>
          </cell>
          <cell r="AH324" t="str">
            <v>REGULAR</v>
          </cell>
          <cell r="AI324">
            <v>45040</v>
          </cell>
          <cell r="AJ324">
            <v>45043</v>
          </cell>
          <cell r="AK324">
            <v>45043</v>
          </cell>
          <cell r="AL324">
            <v>45097</v>
          </cell>
          <cell r="AM324">
            <v>45097</v>
          </cell>
          <cell r="AN324"/>
          <cell r="AO324">
            <v>45098</v>
          </cell>
          <cell r="AP324" t="str">
            <v>OFF HOLD</v>
          </cell>
        </row>
        <row r="325">
          <cell r="A325">
            <v>96231140285</v>
          </cell>
          <cell r="B325" t="str">
            <v>US2</v>
          </cell>
          <cell r="C325">
            <v>0</v>
          </cell>
          <cell r="D325">
            <v>0</v>
          </cell>
          <cell r="E325" t="str">
            <v>SHE</v>
          </cell>
          <cell r="F325">
            <v>0</v>
          </cell>
          <cell r="G325" t="str">
            <v>R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1</v>
          </cell>
          <cell r="AB325" t="str">
            <v>R</v>
          </cell>
          <cell r="AC325">
            <v>0</v>
          </cell>
          <cell r="AD325">
            <v>0</v>
          </cell>
          <cell r="AE325" t="str">
            <v>4/27: off confirmed PI</v>
          </cell>
          <cell r="AF325" t="str">
            <v>VIETNAM WAYTEX INTERNATIONAL COMPANY LIMITED</v>
          </cell>
          <cell r="AG325" t="str">
            <v>VIETNAM WAYTEX INTERNATIONAL COMPANY LIMITED</v>
          </cell>
          <cell r="AH325" t="str">
            <v>REGULAR</v>
          </cell>
          <cell r="AI325">
            <v>45040</v>
          </cell>
          <cell r="AJ325">
            <v>45043</v>
          </cell>
          <cell r="AK325">
            <v>45043</v>
          </cell>
          <cell r="AL325">
            <v>45082</v>
          </cell>
          <cell r="AM325">
            <v>45082</v>
          </cell>
          <cell r="AN325"/>
          <cell r="AO325">
            <v>45083</v>
          </cell>
          <cell r="AP325" t="str">
            <v>OFF HOLD</v>
          </cell>
        </row>
        <row r="326">
          <cell r="A326">
            <v>96231140304</v>
          </cell>
          <cell r="B326" t="str">
            <v>US2</v>
          </cell>
          <cell r="C326">
            <v>0</v>
          </cell>
          <cell r="D326">
            <v>0</v>
          </cell>
          <cell r="E326" t="str">
            <v>SHE</v>
          </cell>
          <cell r="F326">
            <v>0</v>
          </cell>
          <cell r="G326" t="str">
            <v>R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1</v>
          </cell>
          <cell r="AB326" t="str">
            <v>R</v>
          </cell>
          <cell r="AC326">
            <v>0</v>
          </cell>
          <cell r="AD326">
            <v>0</v>
          </cell>
          <cell r="AE326" t="str">
            <v>4/27: off confirmed PI</v>
          </cell>
          <cell r="AF326" t="str">
            <v>VIETNAM WAYTEX INTERNATIONAL COMPANY LIMITED</v>
          </cell>
          <cell r="AG326" t="str">
            <v>VIETNAM WAYTEX INTERNATIONAL COMPANY LIMITED</v>
          </cell>
          <cell r="AH326" t="str">
            <v>REGULAR</v>
          </cell>
          <cell r="AI326">
            <v>45040</v>
          </cell>
          <cell r="AJ326">
            <v>45043</v>
          </cell>
          <cell r="AK326">
            <v>45043</v>
          </cell>
          <cell r="AL326">
            <v>45073</v>
          </cell>
          <cell r="AM326">
            <v>45073</v>
          </cell>
          <cell r="AN326"/>
          <cell r="AO326">
            <v>45075</v>
          </cell>
          <cell r="AP326" t="str">
            <v>OFF HOLD</v>
          </cell>
        </row>
        <row r="327">
          <cell r="A327">
            <v>96231140305</v>
          </cell>
          <cell r="B327" t="str">
            <v>US2</v>
          </cell>
          <cell r="C327">
            <v>0</v>
          </cell>
          <cell r="D327">
            <v>0</v>
          </cell>
          <cell r="E327" t="str">
            <v>SHE</v>
          </cell>
          <cell r="F327">
            <v>0</v>
          </cell>
          <cell r="G327" t="str">
            <v>R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1</v>
          </cell>
          <cell r="AB327" t="str">
            <v>R</v>
          </cell>
          <cell r="AC327">
            <v>0</v>
          </cell>
          <cell r="AD327">
            <v>0</v>
          </cell>
          <cell r="AE327" t="str">
            <v>4/27: off confirmed PI</v>
          </cell>
          <cell r="AF327" t="str">
            <v>VIETNAM WAYTEX INTERNATIONAL COMPANY LIMITED</v>
          </cell>
          <cell r="AG327" t="str">
            <v>VIETNAM WAYTEX INTERNATIONAL COMPANY LIMITED</v>
          </cell>
          <cell r="AH327" t="str">
            <v>REGULAR</v>
          </cell>
          <cell r="AI327">
            <v>45040</v>
          </cell>
          <cell r="AJ327">
            <v>45043</v>
          </cell>
          <cell r="AK327">
            <v>45043</v>
          </cell>
          <cell r="AL327">
            <v>45082</v>
          </cell>
          <cell r="AM327">
            <v>45082</v>
          </cell>
          <cell r="AN327"/>
          <cell r="AO327">
            <v>45083</v>
          </cell>
          <cell r="AP327" t="str">
            <v>OFF HOLD</v>
          </cell>
        </row>
        <row r="328">
          <cell r="A328">
            <v>96231140306</v>
          </cell>
          <cell r="B328" t="str">
            <v>US2</v>
          </cell>
          <cell r="C328">
            <v>0</v>
          </cell>
          <cell r="D328">
            <v>0</v>
          </cell>
          <cell r="E328" t="str">
            <v>SHE</v>
          </cell>
          <cell r="F328">
            <v>0</v>
          </cell>
          <cell r="G328" t="str">
            <v>R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1</v>
          </cell>
          <cell r="AB328" t="str">
            <v>R</v>
          </cell>
          <cell r="AC328">
            <v>0</v>
          </cell>
          <cell r="AD328">
            <v>0</v>
          </cell>
          <cell r="AE328" t="str">
            <v>4/27: off confirmed PI</v>
          </cell>
          <cell r="AF328" t="str">
            <v>VIETNAM WAYTEX INTERNATIONAL COMPANY LIMITED</v>
          </cell>
          <cell r="AG328" t="str">
            <v>VIETNAM WAYTEX INTERNATIONAL COMPANY LIMITED</v>
          </cell>
          <cell r="AH328" t="str">
            <v>REGULAR</v>
          </cell>
          <cell r="AI328">
            <v>45040</v>
          </cell>
          <cell r="AJ328">
            <v>45043</v>
          </cell>
          <cell r="AK328">
            <v>45043</v>
          </cell>
          <cell r="AL328">
            <v>45097</v>
          </cell>
          <cell r="AM328">
            <v>45097</v>
          </cell>
          <cell r="AN328"/>
          <cell r="AO328">
            <v>45098</v>
          </cell>
          <cell r="AP328" t="str">
            <v>OFF HOLD</v>
          </cell>
        </row>
        <row r="329">
          <cell r="A329">
            <v>96231140307</v>
          </cell>
          <cell r="B329" t="str">
            <v>US2</v>
          </cell>
          <cell r="C329">
            <v>0</v>
          </cell>
          <cell r="D329">
            <v>0</v>
          </cell>
          <cell r="E329" t="str">
            <v>SHE</v>
          </cell>
          <cell r="F329">
            <v>0</v>
          </cell>
          <cell r="G329" t="str">
            <v>R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1</v>
          </cell>
          <cell r="AB329" t="str">
            <v>R</v>
          </cell>
          <cell r="AC329">
            <v>0</v>
          </cell>
          <cell r="AD329">
            <v>0</v>
          </cell>
          <cell r="AE329" t="str">
            <v>4/27: off confirmed PI</v>
          </cell>
          <cell r="AF329" t="str">
            <v>VIETNAM WAYTEX INTERNATIONAL COMPANY LIMITED</v>
          </cell>
          <cell r="AG329" t="str">
            <v>VIETNAM WAYTEX INTERNATIONAL COMPANY LIMITED</v>
          </cell>
          <cell r="AH329" t="str">
            <v>REGULAR</v>
          </cell>
          <cell r="AI329">
            <v>45040</v>
          </cell>
          <cell r="AJ329">
            <v>45043</v>
          </cell>
          <cell r="AK329">
            <v>45043</v>
          </cell>
          <cell r="AL329">
            <v>45073</v>
          </cell>
          <cell r="AM329">
            <v>45073</v>
          </cell>
          <cell r="AN329"/>
          <cell r="AO329">
            <v>45075</v>
          </cell>
          <cell r="AP329" t="str">
            <v>OFF HOLD</v>
          </cell>
        </row>
        <row r="330">
          <cell r="A330">
            <v>96231140308</v>
          </cell>
          <cell r="B330" t="str">
            <v>US2</v>
          </cell>
          <cell r="C330">
            <v>0</v>
          </cell>
          <cell r="D330">
            <v>0</v>
          </cell>
          <cell r="E330" t="str">
            <v>SHE</v>
          </cell>
          <cell r="F330">
            <v>0</v>
          </cell>
          <cell r="G330" t="str">
            <v>R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1</v>
          </cell>
          <cell r="AB330" t="str">
            <v>R</v>
          </cell>
          <cell r="AC330">
            <v>0</v>
          </cell>
          <cell r="AD330">
            <v>0</v>
          </cell>
          <cell r="AE330" t="str">
            <v>4/27: off confirmed PI</v>
          </cell>
          <cell r="AF330" t="str">
            <v>VIETNAM WAYTEX INTERNATIONAL COMPANY LIMITED</v>
          </cell>
          <cell r="AG330" t="str">
            <v>VIETNAM WAYTEX INTERNATIONAL COMPANY LIMITED</v>
          </cell>
          <cell r="AH330" t="str">
            <v>REGULAR</v>
          </cell>
          <cell r="AI330">
            <v>45040</v>
          </cell>
          <cell r="AJ330">
            <v>45043</v>
          </cell>
          <cell r="AK330">
            <v>45043</v>
          </cell>
          <cell r="AL330">
            <v>45082</v>
          </cell>
          <cell r="AM330">
            <v>45082</v>
          </cell>
          <cell r="AN330"/>
          <cell r="AO330">
            <v>45083</v>
          </cell>
          <cell r="AP330" t="str">
            <v>OFF HOLD</v>
          </cell>
        </row>
        <row r="331">
          <cell r="A331">
            <v>96231140309</v>
          </cell>
          <cell r="B331" t="str">
            <v>US2</v>
          </cell>
          <cell r="C331">
            <v>0</v>
          </cell>
          <cell r="D331">
            <v>0</v>
          </cell>
          <cell r="E331" t="str">
            <v>SHE</v>
          </cell>
          <cell r="F331">
            <v>0</v>
          </cell>
          <cell r="G331" t="str">
            <v>R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1</v>
          </cell>
          <cell r="AB331" t="str">
            <v>R</v>
          </cell>
          <cell r="AC331">
            <v>0</v>
          </cell>
          <cell r="AD331">
            <v>0</v>
          </cell>
          <cell r="AE331" t="str">
            <v>4/27: off confirmed PI</v>
          </cell>
          <cell r="AF331" t="str">
            <v>VIETNAM WAYTEX INTERNATIONAL COMPANY LIMITED</v>
          </cell>
          <cell r="AG331" t="str">
            <v>VIETNAM WAYTEX INTERNATIONAL COMPANY LIMITED</v>
          </cell>
          <cell r="AH331" t="str">
            <v>REGULAR</v>
          </cell>
          <cell r="AI331">
            <v>45040</v>
          </cell>
          <cell r="AJ331">
            <v>45043</v>
          </cell>
          <cell r="AK331">
            <v>45043</v>
          </cell>
          <cell r="AL331">
            <v>45097</v>
          </cell>
          <cell r="AM331">
            <v>45097</v>
          </cell>
          <cell r="AN331"/>
          <cell r="AO331">
            <v>45098</v>
          </cell>
          <cell r="AP331" t="str">
            <v>OFF HOLD</v>
          </cell>
        </row>
        <row r="332">
          <cell r="A332">
            <v>96231140310</v>
          </cell>
          <cell r="B332" t="str">
            <v>US2</v>
          </cell>
          <cell r="C332">
            <v>0</v>
          </cell>
          <cell r="D332">
            <v>0</v>
          </cell>
          <cell r="E332" t="str">
            <v>SHE</v>
          </cell>
          <cell r="F332">
            <v>0</v>
          </cell>
          <cell r="G332" t="str">
            <v>R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1</v>
          </cell>
          <cell r="AB332" t="str">
            <v>R</v>
          </cell>
          <cell r="AC332">
            <v>0</v>
          </cell>
          <cell r="AD332">
            <v>0</v>
          </cell>
          <cell r="AE332" t="str">
            <v>4/27: off confirmed PI</v>
          </cell>
          <cell r="AF332" t="str">
            <v>VIETNAM WAYTEX INTERNATIONAL COMPANY LIMITED</v>
          </cell>
          <cell r="AG332" t="str">
            <v>VIETNAM WAYTEX INTERNATIONAL COMPANY LIMITED</v>
          </cell>
          <cell r="AH332" t="str">
            <v>REGULAR</v>
          </cell>
          <cell r="AI332">
            <v>45040</v>
          </cell>
          <cell r="AJ332">
            <v>45043</v>
          </cell>
          <cell r="AK332">
            <v>45043</v>
          </cell>
          <cell r="AL332">
            <v>45073</v>
          </cell>
          <cell r="AM332">
            <v>45073</v>
          </cell>
          <cell r="AN332"/>
          <cell r="AO332">
            <v>45075</v>
          </cell>
          <cell r="AP332" t="str">
            <v>OFF HOLD</v>
          </cell>
        </row>
        <row r="333">
          <cell r="A333">
            <v>96231140311</v>
          </cell>
          <cell r="B333" t="str">
            <v>US2</v>
          </cell>
          <cell r="C333">
            <v>0</v>
          </cell>
          <cell r="D333">
            <v>0</v>
          </cell>
          <cell r="E333" t="str">
            <v>SHE</v>
          </cell>
          <cell r="F333">
            <v>0</v>
          </cell>
          <cell r="G333" t="str">
            <v>R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1</v>
          </cell>
          <cell r="AB333" t="str">
            <v>R</v>
          </cell>
          <cell r="AC333">
            <v>0</v>
          </cell>
          <cell r="AD333">
            <v>0</v>
          </cell>
          <cell r="AE333" t="str">
            <v>4/27: off confirmed PI</v>
          </cell>
          <cell r="AF333" t="str">
            <v>VIETNAM WAYTEX INTERNATIONAL COMPANY LIMITED</v>
          </cell>
          <cell r="AG333" t="str">
            <v>VIETNAM WAYTEX INTERNATIONAL COMPANY LIMITED</v>
          </cell>
          <cell r="AH333" t="str">
            <v>REGULAR</v>
          </cell>
          <cell r="AI333">
            <v>45040</v>
          </cell>
          <cell r="AJ333">
            <v>45043</v>
          </cell>
          <cell r="AK333">
            <v>45043</v>
          </cell>
          <cell r="AL333">
            <v>45082</v>
          </cell>
          <cell r="AM333">
            <v>45082</v>
          </cell>
          <cell r="AN333"/>
          <cell r="AO333">
            <v>45083</v>
          </cell>
          <cell r="AP333" t="str">
            <v>OFF HOLD</v>
          </cell>
        </row>
        <row r="334">
          <cell r="A334">
            <v>96231140312</v>
          </cell>
          <cell r="B334" t="str">
            <v>US2</v>
          </cell>
          <cell r="C334">
            <v>0</v>
          </cell>
          <cell r="D334">
            <v>0</v>
          </cell>
          <cell r="E334" t="str">
            <v>SHE</v>
          </cell>
          <cell r="F334">
            <v>0</v>
          </cell>
          <cell r="G334" t="str">
            <v>R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1</v>
          </cell>
          <cell r="AB334" t="str">
            <v>R</v>
          </cell>
          <cell r="AC334">
            <v>0</v>
          </cell>
          <cell r="AD334">
            <v>0</v>
          </cell>
          <cell r="AE334" t="str">
            <v>4/27: off confirmed PI</v>
          </cell>
          <cell r="AF334" t="str">
            <v>VIETNAM WAYTEX INTERNATIONAL COMPANY LIMITED</v>
          </cell>
          <cell r="AG334" t="str">
            <v>VIETNAM WAYTEX INTERNATIONAL COMPANY LIMITED</v>
          </cell>
          <cell r="AH334" t="str">
            <v>REGULAR</v>
          </cell>
          <cell r="AI334">
            <v>45040</v>
          </cell>
          <cell r="AJ334">
            <v>45043</v>
          </cell>
          <cell r="AK334">
            <v>45043</v>
          </cell>
          <cell r="AL334">
            <v>45073</v>
          </cell>
          <cell r="AM334">
            <v>45073</v>
          </cell>
          <cell r="AN334"/>
          <cell r="AO334">
            <v>45075</v>
          </cell>
          <cell r="AP334" t="str">
            <v>OFF HOLD</v>
          </cell>
        </row>
        <row r="335">
          <cell r="A335">
            <v>96231140313</v>
          </cell>
          <cell r="B335" t="str">
            <v>US2</v>
          </cell>
          <cell r="C335">
            <v>0</v>
          </cell>
          <cell r="D335">
            <v>0</v>
          </cell>
          <cell r="E335" t="str">
            <v>SHE</v>
          </cell>
          <cell r="F335">
            <v>0</v>
          </cell>
          <cell r="G335" t="str">
            <v>R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1</v>
          </cell>
          <cell r="AB335" t="str">
            <v>R</v>
          </cell>
          <cell r="AC335">
            <v>0</v>
          </cell>
          <cell r="AD335">
            <v>0</v>
          </cell>
          <cell r="AE335" t="str">
            <v>4/27: off confirmed PI</v>
          </cell>
          <cell r="AF335" t="str">
            <v>VIETNAM WAYTEX INTERNATIONAL COMPANY LIMITED</v>
          </cell>
          <cell r="AG335" t="str">
            <v>VIETNAM WAYTEX INTERNATIONAL COMPANY LIMITED</v>
          </cell>
          <cell r="AH335" t="str">
            <v>REGULAR</v>
          </cell>
          <cell r="AI335">
            <v>45040</v>
          </cell>
          <cell r="AJ335">
            <v>45043</v>
          </cell>
          <cell r="AK335">
            <v>45043</v>
          </cell>
          <cell r="AL335">
            <v>45097</v>
          </cell>
          <cell r="AM335">
            <v>45097</v>
          </cell>
          <cell r="AN335"/>
          <cell r="AO335">
            <v>45098</v>
          </cell>
          <cell r="AP335" t="str">
            <v>OFF HOLD</v>
          </cell>
        </row>
        <row r="336">
          <cell r="A336">
            <v>96231140314</v>
          </cell>
          <cell r="B336" t="str">
            <v>US2</v>
          </cell>
          <cell r="C336">
            <v>0</v>
          </cell>
          <cell r="D336">
            <v>0</v>
          </cell>
          <cell r="E336" t="str">
            <v>SHE</v>
          </cell>
          <cell r="F336">
            <v>0</v>
          </cell>
          <cell r="G336" t="str">
            <v>R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1</v>
          </cell>
          <cell r="AB336" t="str">
            <v>R</v>
          </cell>
          <cell r="AC336">
            <v>0</v>
          </cell>
          <cell r="AD336">
            <v>0</v>
          </cell>
          <cell r="AE336" t="str">
            <v>4/27: off confirmed PI</v>
          </cell>
          <cell r="AF336" t="str">
            <v>VIETNAM WAYTEX INTERNATIONAL COMPANY LIMITED</v>
          </cell>
          <cell r="AG336" t="str">
            <v>VIETNAM WAYTEX INTERNATIONAL COMPANY LIMITED</v>
          </cell>
          <cell r="AH336" t="str">
            <v>REGULAR</v>
          </cell>
          <cell r="AI336">
            <v>45040</v>
          </cell>
          <cell r="AJ336">
            <v>45043</v>
          </cell>
          <cell r="AK336">
            <v>45043</v>
          </cell>
          <cell r="AL336">
            <v>45082</v>
          </cell>
          <cell r="AM336">
            <v>45082</v>
          </cell>
          <cell r="AN336"/>
          <cell r="AO336">
            <v>45083</v>
          </cell>
          <cell r="AP336" t="str">
            <v>OFF HOLD</v>
          </cell>
        </row>
        <row r="337">
          <cell r="A337">
            <v>96231140315</v>
          </cell>
          <cell r="B337" t="str">
            <v>US2</v>
          </cell>
          <cell r="C337">
            <v>0</v>
          </cell>
          <cell r="D337">
            <v>0</v>
          </cell>
          <cell r="E337" t="str">
            <v>SHE</v>
          </cell>
          <cell r="F337">
            <v>0</v>
          </cell>
          <cell r="G337" t="str">
            <v>R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1</v>
          </cell>
          <cell r="AB337" t="str">
            <v>R</v>
          </cell>
          <cell r="AC337">
            <v>0</v>
          </cell>
          <cell r="AD337">
            <v>0</v>
          </cell>
          <cell r="AE337" t="str">
            <v>4/27: off confirmed PI</v>
          </cell>
          <cell r="AF337" t="str">
            <v>VIETNAM WAYTEX INTERNATIONAL COMPANY LIMITED</v>
          </cell>
          <cell r="AG337" t="str">
            <v>VIETNAM WAYTEX INTERNATIONAL COMPANY LIMITED</v>
          </cell>
          <cell r="AH337" t="str">
            <v>REGULAR</v>
          </cell>
          <cell r="AI337">
            <v>45040</v>
          </cell>
          <cell r="AJ337">
            <v>45043</v>
          </cell>
          <cell r="AK337">
            <v>45043</v>
          </cell>
          <cell r="AL337">
            <v>45097</v>
          </cell>
          <cell r="AM337">
            <v>45097</v>
          </cell>
          <cell r="AN337"/>
          <cell r="AO337">
            <v>45098</v>
          </cell>
          <cell r="AP337" t="str">
            <v>OFF HOLD</v>
          </cell>
        </row>
        <row r="338">
          <cell r="A338">
            <v>96231140316</v>
          </cell>
          <cell r="B338" t="str">
            <v>US2</v>
          </cell>
          <cell r="C338">
            <v>0</v>
          </cell>
          <cell r="D338">
            <v>0</v>
          </cell>
          <cell r="E338" t="str">
            <v>SHE</v>
          </cell>
          <cell r="F338">
            <v>0</v>
          </cell>
          <cell r="G338" t="str">
            <v>R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1</v>
          </cell>
          <cell r="AB338" t="str">
            <v>R</v>
          </cell>
          <cell r="AC338">
            <v>0</v>
          </cell>
          <cell r="AD338">
            <v>0</v>
          </cell>
          <cell r="AE338" t="str">
            <v>4/27: off confirmed PI</v>
          </cell>
          <cell r="AF338" t="str">
            <v>VIETNAM WAYTEX INTERNATIONAL COMPANY LIMITED</v>
          </cell>
          <cell r="AG338" t="str">
            <v>VIETNAM WAYTEX INTERNATIONAL COMPANY LIMITED</v>
          </cell>
          <cell r="AH338" t="str">
            <v>REGULAR</v>
          </cell>
          <cell r="AI338">
            <v>45040</v>
          </cell>
          <cell r="AJ338">
            <v>45043</v>
          </cell>
          <cell r="AK338">
            <v>45043</v>
          </cell>
          <cell r="AL338">
            <v>45073</v>
          </cell>
          <cell r="AM338">
            <v>45073</v>
          </cell>
          <cell r="AN338"/>
          <cell r="AO338">
            <v>45075</v>
          </cell>
          <cell r="AP338" t="str">
            <v>OFF HOLD</v>
          </cell>
        </row>
        <row r="339">
          <cell r="A339">
            <v>96231140317</v>
          </cell>
          <cell r="B339" t="str">
            <v>US2</v>
          </cell>
          <cell r="C339">
            <v>0</v>
          </cell>
          <cell r="D339">
            <v>0</v>
          </cell>
          <cell r="E339" t="str">
            <v>SHE</v>
          </cell>
          <cell r="F339">
            <v>0</v>
          </cell>
          <cell r="G339" t="str">
            <v>R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1</v>
          </cell>
          <cell r="AB339" t="str">
            <v>R</v>
          </cell>
          <cell r="AC339">
            <v>0</v>
          </cell>
          <cell r="AD339">
            <v>0</v>
          </cell>
          <cell r="AE339" t="str">
            <v>4/27: off confirmed PI</v>
          </cell>
          <cell r="AF339" t="str">
            <v>VIETNAM WAYTEX INTERNATIONAL COMPANY LIMITED</v>
          </cell>
          <cell r="AG339" t="str">
            <v>VIETNAM WAYTEX INTERNATIONAL COMPANY LIMITED</v>
          </cell>
          <cell r="AH339" t="str">
            <v>REGULAR</v>
          </cell>
          <cell r="AI339">
            <v>45040</v>
          </cell>
          <cell r="AJ339">
            <v>45043</v>
          </cell>
          <cell r="AK339">
            <v>45043</v>
          </cell>
          <cell r="AL339">
            <v>45082</v>
          </cell>
          <cell r="AM339">
            <v>45082</v>
          </cell>
          <cell r="AN339"/>
          <cell r="AO339">
            <v>45083</v>
          </cell>
          <cell r="AP339" t="str">
            <v>OFF HOLD</v>
          </cell>
        </row>
        <row r="340">
          <cell r="A340">
            <v>96231140318</v>
          </cell>
          <cell r="B340" t="str">
            <v>US2</v>
          </cell>
          <cell r="C340">
            <v>0</v>
          </cell>
          <cell r="D340">
            <v>0</v>
          </cell>
          <cell r="E340" t="str">
            <v>SHE</v>
          </cell>
          <cell r="F340">
            <v>0</v>
          </cell>
          <cell r="G340" t="str">
            <v>R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1</v>
          </cell>
          <cell r="AB340" t="str">
            <v>R</v>
          </cell>
          <cell r="AC340">
            <v>0</v>
          </cell>
          <cell r="AD340">
            <v>0</v>
          </cell>
          <cell r="AE340" t="str">
            <v>4/27: off confirmed PI</v>
          </cell>
          <cell r="AF340" t="str">
            <v>VIETNAM WAYTEX INTERNATIONAL COMPANY LIMITED</v>
          </cell>
          <cell r="AG340" t="str">
            <v>VIETNAM WAYTEX INTERNATIONAL COMPANY LIMITED</v>
          </cell>
          <cell r="AH340" t="str">
            <v>REGULAR</v>
          </cell>
          <cell r="AI340">
            <v>45040</v>
          </cell>
          <cell r="AJ340">
            <v>45043</v>
          </cell>
          <cell r="AK340">
            <v>45043</v>
          </cell>
          <cell r="AL340">
            <v>45097</v>
          </cell>
          <cell r="AM340">
            <v>45097</v>
          </cell>
          <cell r="AN340"/>
          <cell r="AO340">
            <v>45098</v>
          </cell>
          <cell r="AP340" t="str">
            <v>OFF HOLD</v>
          </cell>
        </row>
        <row r="341">
          <cell r="A341">
            <v>96231140319</v>
          </cell>
          <cell r="B341" t="str">
            <v>US2</v>
          </cell>
          <cell r="C341">
            <v>0</v>
          </cell>
          <cell r="D341">
            <v>0</v>
          </cell>
          <cell r="E341" t="str">
            <v>SHE</v>
          </cell>
          <cell r="F341">
            <v>0</v>
          </cell>
          <cell r="G341" t="str">
            <v>R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1</v>
          </cell>
          <cell r="AB341" t="str">
            <v>R</v>
          </cell>
          <cell r="AC341">
            <v>0</v>
          </cell>
          <cell r="AD341">
            <v>0</v>
          </cell>
          <cell r="AE341" t="str">
            <v>4/27: off confirmed PI</v>
          </cell>
          <cell r="AF341" t="str">
            <v>VIETNAM WAYTEX INTERNATIONAL COMPANY LIMITED</v>
          </cell>
          <cell r="AG341" t="str">
            <v>VIETNAM WAYTEX INTERNATIONAL COMPANY LIMITED</v>
          </cell>
          <cell r="AH341" t="str">
            <v>REGULAR</v>
          </cell>
          <cell r="AI341">
            <v>45040</v>
          </cell>
          <cell r="AJ341">
            <v>45043</v>
          </cell>
          <cell r="AK341">
            <v>45043</v>
          </cell>
          <cell r="AL341">
            <v>45073</v>
          </cell>
          <cell r="AM341">
            <v>45073</v>
          </cell>
          <cell r="AN341"/>
          <cell r="AO341">
            <v>45075</v>
          </cell>
          <cell r="AP341" t="str">
            <v>OFF HOLD</v>
          </cell>
        </row>
        <row r="342">
          <cell r="A342">
            <v>96231140320</v>
          </cell>
          <cell r="B342" t="str">
            <v>US2</v>
          </cell>
          <cell r="C342">
            <v>0</v>
          </cell>
          <cell r="D342">
            <v>0</v>
          </cell>
          <cell r="E342" t="str">
            <v>SHE</v>
          </cell>
          <cell r="F342">
            <v>0</v>
          </cell>
          <cell r="G342" t="str">
            <v>R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1</v>
          </cell>
          <cell r="AB342" t="str">
            <v>R</v>
          </cell>
          <cell r="AC342">
            <v>0</v>
          </cell>
          <cell r="AD342">
            <v>0</v>
          </cell>
          <cell r="AE342" t="str">
            <v>4/27: off confirmed PI</v>
          </cell>
          <cell r="AF342" t="str">
            <v>VIETNAM WAYTEX INTERNATIONAL COMPANY LIMITED</v>
          </cell>
          <cell r="AG342" t="str">
            <v>VIETNAM WAYTEX INTERNATIONAL COMPANY LIMITED</v>
          </cell>
          <cell r="AH342" t="str">
            <v>REGULAR</v>
          </cell>
          <cell r="AI342">
            <v>45040</v>
          </cell>
          <cell r="AJ342">
            <v>45043</v>
          </cell>
          <cell r="AK342">
            <v>45043</v>
          </cell>
          <cell r="AL342">
            <v>45097</v>
          </cell>
          <cell r="AM342">
            <v>45097</v>
          </cell>
          <cell r="AN342"/>
          <cell r="AO342">
            <v>45098</v>
          </cell>
          <cell r="AP342" t="str">
            <v>OFF HOLD</v>
          </cell>
        </row>
        <row r="343">
          <cell r="A343">
            <v>96231140321</v>
          </cell>
          <cell r="B343" t="str">
            <v>US2</v>
          </cell>
          <cell r="C343">
            <v>0</v>
          </cell>
          <cell r="D343">
            <v>0</v>
          </cell>
          <cell r="E343" t="str">
            <v>SHE</v>
          </cell>
          <cell r="F343">
            <v>0</v>
          </cell>
          <cell r="G343" t="str">
            <v>R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1</v>
          </cell>
          <cell r="AB343" t="str">
            <v>R</v>
          </cell>
          <cell r="AC343">
            <v>0</v>
          </cell>
          <cell r="AD343">
            <v>0</v>
          </cell>
          <cell r="AE343" t="str">
            <v>4/27: off confirmed PI</v>
          </cell>
          <cell r="AF343" t="str">
            <v>VIETNAM WAYTEX INTERNATIONAL COMPANY LIMITED</v>
          </cell>
          <cell r="AG343" t="str">
            <v>VIETNAM WAYTEX INTERNATIONAL COMPANY LIMITED</v>
          </cell>
          <cell r="AH343" t="str">
            <v>REGULAR</v>
          </cell>
          <cell r="AI343">
            <v>45040</v>
          </cell>
          <cell r="AJ343">
            <v>45043</v>
          </cell>
          <cell r="AK343">
            <v>45043</v>
          </cell>
          <cell r="AL343">
            <v>45073</v>
          </cell>
          <cell r="AM343">
            <v>45073</v>
          </cell>
          <cell r="AN343"/>
          <cell r="AO343">
            <v>45075</v>
          </cell>
          <cell r="AP343" t="str">
            <v>OFF HOLD</v>
          </cell>
        </row>
        <row r="344">
          <cell r="A344">
            <v>96231140322</v>
          </cell>
          <cell r="B344" t="str">
            <v>US2</v>
          </cell>
          <cell r="C344">
            <v>0</v>
          </cell>
          <cell r="D344">
            <v>0</v>
          </cell>
          <cell r="E344" t="str">
            <v>SHE</v>
          </cell>
          <cell r="F344">
            <v>0</v>
          </cell>
          <cell r="G344" t="str">
            <v>R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1</v>
          </cell>
          <cell r="AB344" t="str">
            <v>R</v>
          </cell>
          <cell r="AC344">
            <v>0</v>
          </cell>
          <cell r="AD344">
            <v>0</v>
          </cell>
          <cell r="AE344" t="str">
            <v>4/27: off confirmed PI</v>
          </cell>
          <cell r="AF344" t="str">
            <v>VIETNAM WAYTEX INTERNATIONAL COMPANY LIMITED</v>
          </cell>
          <cell r="AG344" t="str">
            <v>VIETNAM WAYTEX INTERNATIONAL COMPANY LIMITED</v>
          </cell>
          <cell r="AH344" t="str">
            <v>REGULAR</v>
          </cell>
          <cell r="AI344">
            <v>45040</v>
          </cell>
          <cell r="AJ344">
            <v>45043</v>
          </cell>
          <cell r="AK344">
            <v>45043</v>
          </cell>
          <cell r="AL344">
            <v>45082</v>
          </cell>
          <cell r="AM344">
            <v>45082</v>
          </cell>
          <cell r="AN344"/>
          <cell r="AO344">
            <v>45083</v>
          </cell>
          <cell r="AP344" t="str">
            <v>OFF HOLD</v>
          </cell>
        </row>
        <row r="345">
          <cell r="A345">
            <v>96231140323</v>
          </cell>
          <cell r="B345" t="str">
            <v>US2</v>
          </cell>
          <cell r="C345">
            <v>0</v>
          </cell>
          <cell r="D345">
            <v>0</v>
          </cell>
          <cell r="E345" t="str">
            <v>SHE</v>
          </cell>
          <cell r="F345">
            <v>0</v>
          </cell>
          <cell r="G345" t="str">
            <v>R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1</v>
          </cell>
          <cell r="AB345" t="str">
            <v>R</v>
          </cell>
          <cell r="AC345">
            <v>0</v>
          </cell>
          <cell r="AD345">
            <v>0</v>
          </cell>
          <cell r="AE345" t="str">
            <v>4/27: off confirmed PI</v>
          </cell>
          <cell r="AF345" t="str">
            <v>VIETNAM WAYTEX INTERNATIONAL COMPANY LIMITED</v>
          </cell>
          <cell r="AG345" t="str">
            <v>VIETNAM WAYTEX INTERNATIONAL COMPANY LIMITED</v>
          </cell>
          <cell r="AH345" t="str">
            <v>REGULAR</v>
          </cell>
          <cell r="AI345">
            <v>45040</v>
          </cell>
          <cell r="AJ345">
            <v>45043</v>
          </cell>
          <cell r="AK345">
            <v>45043</v>
          </cell>
          <cell r="AL345">
            <v>45097</v>
          </cell>
          <cell r="AM345">
            <v>45097</v>
          </cell>
          <cell r="AN345"/>
          <cell r="AO345">
            <v>45098</v>
          </cell>
          <cell r="AP345" t="str">
            <v>OFF HOLD</v>
          </cell>
        </row>
        <row r="346">
          <cell r="A346">
            <v>96231140324</v>
          </cell>
          <cell r="B346" t="str">
            <v>US2</v>
          </cell>
          <cell r="C346">
            <v>0</v>
          </cell>
          <cell r="D346">
            <v>0</v>
          </cell>
          <cell r="E346" t="str">
            <v>SHE</v>
          </cell>
          <cell r="F346">
            <v>0</v>
          </cell>
          <cell r="G346" t="str">
            <v>R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1</v>
          </cell>
          <cell r="AB346" t="str">
            <v>R</v>
          </cell>
          <cell r="AC346">
            <v>0</v>
          </cell>
          <cell r="AD346">
            <v>0</v>
          </cell>
          <cell r="AE346" t="str">
            <v>4/27: off confirmed PI</v>
          </cell>
          <cell r="AF346" t="str">
            <v>VIETNAM WAYTEX INTERNATIONAL COMPANY LIMITED</v>
          </cell>
          <cell r="AG346" t="str">
            <v>VIETNAM WAYTEX INTERNATIONAL COMPANY LIMITED</v>
          </cell>
          <cell r="AH346" t="str">
            <v>REGULAR</v>
          </cell>
          <cell r="AI346">
            <v>45040</v>
          </cell>
          <cell r="AJ346">
            <v>45043</v>
          </cell>
          <cell r="AK346">
            <v>45043</v>
          </cell>
          <cell r="AL346">
            <v>45073</v>
          </cell>
          <cell r="AM346">
            <v>45073</v>
          </cell>
          <cell r="AN346"/>
          <cell r="AO346">
            <v>45075</v>
          </cell>
          <cell r="AP346" t="str">
            <v>OFF HOLD</v>
          </cell>
        </row>
        <row r="347">
          <cell r="A347">
            <v>96231140325</v>
          </cell>
          <cell r="B347" t="str">
            <v>US2-USD-AS</v>
          </cell>
          <cell r="C347">
            <v>0</v>
          </cell>
          <cell r="D347">
            <v>0</v>
          </cell>
          <cell r="E347" t="str">
            <v>VAN</v>
          </cell>
          <cell r="F347" t="str">
            <v>FIRST MAKING 0508-AN
FIRST MAKING 0428-US2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 t="str">
            <v>Q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1</v>
          </cell>
          <cell r="AB347" t="str">
            <v>H, R, Z, Q</v>
          </cell>
          <cell r="AC347">
            <v>0</v>
          </cell>
          <cell r="AD347">
            <v>0</v>
          </cell>
          <cell r="AE347" t="str">
            <v>5/5: waiting for packaging material for actual TPCH test</v>
          </cell>
          <cell r="AF347" t="str">
            <v>PJ CHONBURI PARAWOOD CO.,LTD.</v>
          </cell>
          <cell r="AG347" t="str">
            <v>PRICESMART INC</v>
          </cell>
          <cell r="AH347" t="str">
            <v>REGULAR</v>
          </cell>
          <cell r="AI347">
            <v>45040</v>
          </cell>
          <cell r="AJ347">
            <v>45051</v>
          </cell>
          <cell r="AK347">
            <v>45051</v>
          </cell>
          <cell r="AL347">
            <v>45056</v>
          </cell>
          <cell r="AM347">
            <v>45056</v>
          </cell>
          <cell r="AN347"/>
          <cell r="AO347">
            <v>45057</v>
          </cell>
          <cell r="AP347" t="str">
            <v>OFF HOLD</v>
          </cell>
        </row>
        <row r="348">
          <cell r="A348">
            <v>96231140326</v>
          </cell>
          <cell r="B348" t="str">
            <v>US2</v>
          </cell>
          <cell r="C348">
            <v>0</v>
          </cell>
          <cell r="D348">
            <v>0</v>
          </cell>
          <cell r="E348" t="str">
            <v>SHE</v>
          </cell>
          <cell r="F348">
            <v>0</v>
          </cell>
          <cell r="G348" t="str">
            <v>R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1</v>
          </cell>
          <cell r="AB348" t="str">
            <v>R</v>
          </cell>
          <cell r="AC348">
            <v>0</v>
          </cell>
          <cell r="AD348">
            <v>0</v>
          </cell>
          <cell r="AE348" t="str">
            <v>4/27: off confirmed PI</v>
          </cell>
          <cell r="AF348" t="str">
            <v>VIETNAM WAYTEX INTERNATIONAL COMPANY LIMITED</v>
          </cell>
          <cell r="AG348" t="str">
            <v>VIETNAM WAYTEX INTERNATIONAL COMPANY LIMITED</v>
          </cell>
          <cell r="AH348" t="str">
            <v>REGULAR</v>
          </cell>
          <cell r="AI348">
            <v>45040</v>
          </cell>
          <cell r="AJ348">
            <v>45043</v>
          </cell>
          <cell r="AK348">
            <v>45043</v>
          </cell>
          <cell r="AL348">
            <v>45097</v>
          </cell>
          <cell r="AM348">
            <v>45097</v>
          </cell>
          <cell r="AN348"/>
          <cell r="AO348">
            <v>45098</v>
          </cell>
          <cell r="AP348" t="str">
            <v>OFF HOLD</v>
          </cell>
        </row>
        <row r="349">
          <cell r="A349">
            <v>96231140327</v>
          </cell>
          <cell r="B349" t="str">
            <v>US2</v>
          </cell>
          <cell r="C349">
            <v>0</v>
          </cell>
          <cell r="D349">
            <v>0</v>
          </cell>
          <cell r="E349" t="str">
            <v>SHE</v>
          </cell>
          <cell r="F349">
            <v>0</v>
          </cell>
          <cell r="G349" t="str">
            <v>R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1</v>
          </cell>
          <cell r="AB349" t="str">
            <v>R</v>
          </cell>
          <cell r="AC349">
            <v>0</v>
          </cell>
          <cell r="AD349">
            <v>0</v>
          </cell>
          <cell r="AE349" t="str">
            <v>4/27: off confirmed PI</v>
          </cell>
          <cell r="AF349" t="str">
            <v>VIETNAM WAYTEX INTERNATIONAL COMPANY LIMITED</v>
          </cell>
          <cell r="AG349" t="str">
            <v>VIETNAM WAYTEX INTERNATIONAL COMPANY LIMITED</v>
          </cell>
          <cell r="AH349" t="str">
            <v>REGULAR</v>
          </cell>
          <cell r="AI349">
            <v>45040</v>
          </cell>
          <cell r="AJ349">
            <v>45043</v>
          </cell>
          <cell r="AK349">
            <v>45043</v>
          </cell>
          <cell r="AL349">
            <v>45082</v>
          </cell>
          <cell r="AM349">
            <v>45082</v>
          </cell>
          <cell r="AN349"/>
          <cell r="AO349">
            <v>45083</v>
          </cell>
          <cell r="AP349" t="str">
            <v>OFF HOLD</v>
          </cell>
        </row>
        <row r="350">
          <cell r="A350">
            <v>96231140328</v>
          </cell>
          <cell r="B350" t="str">
            <v>US2</v>
          </cell>
          <cell r="C350">
            <v>0</v>
          </cell>
          <cell r="D350">
            <v>0</v>
          </cell>
          <cell r="E350" t="str">
            <v>SHE</v>
          </cell>
          <cell r="F350">
            <v>0</v>
          </cell>
          <cell r="G350" t="str">
            <v>R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1</v>
          </cell>
          <cell r="AB350" t="str">
            <v>R</v>
          </cell>
          <cell r="AC350">
            <v>0</v>
          </cell>
          <cell r="AD350">
            <v>0</v>
          </cell>
          <cell r="AE350" t="str">
            <v>4/27: off confirmed PI</v>
          </cell>
          <cell r="AF350" t="str">
            <v>VIETNAM WAYTEX INTERNATIONAL COMPANY LIMITED</v>
          </cell>
          <cell r="AG350" t="str">
            <v>VIETNAM WAYTEX INTERNATIONAL COMPANY LIMITED</v>
          </cell>
          <cell r="AH350" t="str">
            <v>REGULAR</v>
          </cell>
          <cell r="AI350">
            <v>45040</v>
          </cell>
          <cell r="AJ350">
            <v>45043</v>
          </cell>
          <cell r="AK350">
            <v>45043</v>
          </cell>
          <cell r="AL350">
            <v>45073</v>
          </cell>
          <cell r="AM350">
            <v>45073</v>
          </cell>
          <cell r="AN350"/>
          <cell r="AO350">
            <v>45075</v>
          </cell>
          <cell r="AP350" t="str">
            <v>OFF HOLD</v>
          </cell>
        </row>
        <row r="351">
          <cell r="A351">
            <v>96231140329</v>
          </cell>
          <cell r="B351" t="str">
            <v>TY</v>
          </cell>
          <cell r="C351">
            <v>0</v>
          </cell>
          <cell r="D351">
            <v>0</v>
          </cell>
          <cell r="E351" t="str">
            <v>FLO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 t="str">
            <v>H</v>
          </cell>
          <cell r="K351" t="str">
            <v>T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 t="str">
            <v>M</v>
          </cell>
          <cell r="T351">
            <v>0</v>
          </cell>
          <cell r="U351" t="str">
            <v>A</v>
          </cell>
          <cell r="V351" t="str">
            <v>Q</v>
          </cell>
          <cell r="W351" t="str">
            <v>V</v>
          </cell>
          <cell r="X351">
            <v>0</v>
          </cell>
          <cell r="Y351" t="str">
            <v>B</v>
          </cell>
          <cell r="Z351">
            <v>0</v>
          </cell>
          <cell r="AA351">
            <v>7</v>
          </cell>
          <cell r="AB351" t="str">
            <v>H, T, M, A, Q, V, B</v>
          </cell>
          <cell r="AC351">
            <v>0</v>
          </cell>
          <cell r="AD351">
            <v>0</v>
          </cell>
          <cell r="AE351" t="str">
            <v>05/06: pend doc, checking age grade</v>
          </cell>
          <cell r="AF351" t="str">
            <v>KUKKIA CO LTD</v>
          </cell>
          <cell r="AG351" t="str">
            <v>KUKKIA CO LTD</v>
          </cell>
          <cell r="AH351" t="str">
            <v>REGULAR</v>
          </cell>
          <cell r="AI351">
            <v>45040</v>
          </cell>
          <cell r="AJ351">
            <v>45050</v>
          </cell>
          <cell r="AK351">
            <v>45044</v>
          </cell>
          <cell r="AL351">
            <v>45054</v>
          </cell>
          <cell r="AM351">
            <v>45054</v>
          </cell>
          <cell r="AN351"/>
          <cell r="AO351">
            <v>45055</v>
          </cell>
          <cell r="AP351" t="str">
            <v>ON HOLD</v>
          </cell>
        </row>
        <row r="352">
          <cell r="A352">
            <v>96231140345</v>
          </cell>
          <cell r="B352" t="str">
            <v>EU</v>
          </cell>
          <cell r="C352" t="str">
            <v>DONE 0509</v>
          </cell>
          <cell r="D352" t="str">
            <v>VAN</v>
          </cell>
          <cell r="E352" t="str">
            <v>VAN</v>
          </cell>
          <cell r="F352" t="str">
            <v>DONE 0509
MAKING 0509</v>
          </cell>
          <cell r="G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E</v>
          </cell>
          <cell r="AC352">
            <v>0</v>
          </cell>
          <cell r="AD352">
            <v>0</v>
          </cell>
          <cell r="AE352">
            <v>0</v>
          </cell>
          <cell r="AF352" t="str">
            <v>PT BUREAU VERITAS CONSUMER PRODUCTS SERVICES INDONESIA</v>
          </cell>
          <cell r="AG352" t="str">
            <v>PT BUREAU VERITAS CONSUMER PRODUCTS SERVICES INDONESIA</v>
          </cell>
          <cell r="AH352" t="str">
            <v>REGULAR</v>
          </cell>
          <cell r="AI352">
            <v>45040</v>
          </cell>
          <cell r="AJ352"/>
          <cell r="AK352"/>
          <cell r="AL352">
            <v>45049</v>
          </cell>
          <cell r="AM352">
            <v>45049</v>
          </cell>
          <cell r="AN352"/>
          <cell r="AO352">
            <v>45050</v>
          </cell>
          <cell r="AP352" t="str">
            <v>LATE</v>
          </cell>
        </row>
        <row r="353">
          <cell r="A353">
            <v>96231140348</v>
          </cell>
          <cell r="B353" t="str">
            <v>EU</v>
          </cell>
          <cell r="C353" t="str">
            <v>DONE 0509</v>
          </cell>
          <cell r="D353" t="str">
            <v>VAN</v>
          </cell>
          <cell r="E353" t="str">
            <v>VAN</v>
          </cell>
          <cell r="F353" t="str">
            <v>DONE 0509
MAKING 0509</v>
          </cell>
          <cell r="G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E</v>
          </cell>
          <cell r="AC353">
            <v>0</v>
          </cell>
          <cell r="AD353">
            <v>0</v>
          </cell>
          <cell r="AE353">
            <v>0</v>
          </cell>
          <cell r="AF353" t="str">
            <v>PT BUREAU VERITAS CONSUMER PRODUCTS SERVICES INDONESIA</v>
          </cell>
          <cell r="AG353" t="str">
            <v>PT BUREAU VERITAS CONSUMER PRODUCTS SERVICES INDONESIA</v>
          </cell>
          <cell r="AH353" t="str">
            <v>REGULAR</v>
          </cell>
          <cell r="AI353">
            <v>45040</v>
          </cell>
          <cell r="AJ353"/>
          <cell r="AK353"/>
          <cell r="AL353">
            <v>45049</v>
          </cell>
          <cell r="AM353">
            <v>45049</v>
          </cell>
          <cell r="AN353"/>
          <cell r="AO353">
            <v>45050</v>
          </cell>
          <cell r="AP353" t="str">
            <v>LATE</v>
          </cell>
        </row>
        <row r="354">
          <cell r="A354">
            <v>96231140351</v>
          </cell>
          <cell r="B354" t="str">
            <v>TY-RF SP 96231140329</v>
          </cell>
          <cell r="C354" t="str">
            <v>0504: CS-HOLD</v>
          </cell>
          <cell r="D354">
            <v>0</v>
          </cell>
          <cell r="E354" t="str">
            <v>FLO</v>
          </cell>
          <cell r="F354" t="str">
            <v>FIRST MAKING 0505-AN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 t="str">
            <v>Q</v>
          </cell>
          <cell r="W354" t="str">
            <v>V</v>
          </cell>
          <cell r="X354">
            <v>0</v>
          </cell>
          <cell r="Y354">
            <v>0</v>
          </cell>
          <cell r="Z354">
            <v>0</v>
          </cell>
          <cell r="AA354">
            <v>2</v>
          </cell>
          <cell r="AB354" t="str">
            <v>Q, V</v>
          </cell>
          <cell r="AC354">
            <v>0</v>
          </cell>
          <cell r="AD354">
            <v>0</v>
          </cell>
          <cell r="AE354" t="str">
            <v>05/06: pend doc, checking age grade</v>
          </cell>
          <cell r="AF354" t="str">
            <v>KUKKIA CO LTD</v>
          </cell>
          <cell r="AG354" t="str">
            <v>KUKKIA CO LTD</v>
          </cell>
          <cell r="AH354" t="str">
            <v>REGULAR</v>
          </cell>
          <cell r="AI354">
            <v>45040</v>
          </cell>
          <cell r="AJ354">
            <v>45050</v>
          </cell>
          <cell r="AK354"/>
          <cell r="AL354">
            <v>45049</v>
          </cell>
          <cell r="AM354">
            <v>45049</v>
          </cell>
          <cell r="AN354"/>
          <cell r="AO354">
            <v>45050</v>
          </cell>
          <cell r="AP354" t="str">
            <v>ON HOLD</v>
          </cell>
        </row>
        <row r="355">
          <cell r="A355">
            <v>96231140356</v>
          </cell>
          <cell r="B355" t="str">
            <v>TY</v>
          </cell>
          <cell r="C355">
            <v>0</v>
          </cell>
          <cell r="D355">
            <v>0</v>
          </cell>
          <cell r="E355" t="str">
            <v>FLO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 t="str">
            <v>H</v>
          </cell>
          <cell r="K355" t="str">
            <v>T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 t="str">
            <v>M</v>
          </cell>
          <cell r="T355">
            <v>0</v>
          </cell>
          <cell r="U355" t="str">
            <v>A</v>
          </cell>
          <cell r="V355" t="str">
            <v>Q</v>
          </cell>
          <cell r="W355" t="str">
            <v>V</v>
          </cell>
          <cell r="X355">
            <v>0</v>
          </cell>
          <cell r="Y355" t="str">
            <v>B</v>
          </cell>
          <cell r="Z355">
            <v>0</v>
          </cell>
          <cell r="AA355">
            <v>7</v>
          </cell>
          <cell r="AB355" t="str">
            <v>H, T, M, A, Q, V, B</v>
          </cell>
          <cell r="AC355">
            <v>0</v>
          </cell>
          <cell r="AD355">
            <v>0</v>
          </cell>
          <cell r="AE355" t="str">
            <v>05/06: pend doc, checking age grade</v>
          </cell>
          <cell r="AF355" t="str">
            <v>KUKKIA CO LTD</v>
          </cell>
          <cell r="AG355" t="str">
            <v>KUKKIA CO LTD</v>
          </cell>
          <cell r="AH355" t="str">
            <v>REGULAR</v>
          </cell>
          <cell r="AI355">
            <v>45040</v>
          </cell>
          <cell r="AJ355">
            <v>45050</v>
          </cell>
          <cell r="AK355">
            <v>45044</v>
          </cell>
          <cell r="AL355">
            <v>45054</v>
          </cell>
          <cell r="AM355">
            <v>45054</v>
          </cell>
          <cell r="AN355"/>
          <cell r="AO355">
            <v>45055</v>
          </cell>
          <cell r="AP355" t="str">
            <v>ON HOLD</v>
          </cell>
        </row>
        <row r="356">
          <cell r="A356">
            <v>96231140365</v>
          </cell>
          <cell r="B356" t="str">
            <v>TY</v>
          </cell>
          <cell r="C356">
            <v>0</v>
          </cell>
          <cell r="D356">
            <v>0</v>
          </cell>
          <cell r="E356" t="str">
            <v>FLO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 t="str">
            <v>H</v>
          </cell>
          <cell r="K356" t="str">
            <v>T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 t="str">
            <v>M</v>
          </cell>
          <cell r="T356">
            <v>0</v>
          </cell>
          <cell r="U356" t="str">
            <v>A</v>
          </cell>
          <cell r="V356" t="str">
            <v>Q</v>
          </cell>
          <cell r="W356" t="str">
            <v>V</v>
          </cell>
          <cell r="X356">
            <v>0</v>
          </cell>
          <cell r="Y356" t="str">
            <v>B</v>
          </cell>
          <cell r="Z356">
            <v>0</v>
          </cell>
          <cell r="AA356">
            <v>7</v>
          </cell>
          <cell r="AB356" t="str">
            <v>H, T, M, A, Q, V, B</v>
          </cell>
          <cell r="AC356">
            <v>0</v>
          </cell>
          <cell r="AD356">
            <v>0</v>
          </cell>
          <cell r="AE356" t="str">
            <v>05/06: pend doc, checking age grade</v>
          </cell>
          <cell r="AF356" t="str">
            <v>KUKKIA CO LTD</v>
          </cell>
          <cell r="AG356" t="str">
            <v>KUKKIA CO LTD</v>
          </cell>
          <cell r="AH356" t="str">
            <v>REGULAR</v>
          </cell>
          <cell r="AI356">
            <v>45040</v>
          </cell>
          <cell r="AJ356">
            <v>45050</v>
          </cell>
          <cell r="AK356">
            <v>45044</v>
          </cell>
          <cell r="AL356">
            <v>45054</v>
          </cell>
          <cell r="AM356">
            <v>45054</v>
          </cell>
          <cell r="AN356"/>
          <cell r="AO356">
            <v>45055</v>
          </cell>
          <cell r="AP356" t="str">
            <v>ON HOLD</v>
          </cell>
        </row>
        <row r="357">
          <cell r="A357">
            <v>96231140370</v>
          </cell>
          <cell r="B357" t="str">
            <v>TY</v>
          </cell>
          <cell r="C357">
            <v>0</v>
          </cell>
          <cell r="D357">
            <v>0</v>
          </cell>
          <cell r="E357" t="str">
            <v>FLO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 t="str">
            <v>H</v>
          </cell>
          <cell r="K357" t="str">
            <v>T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 t="str">
            <v>M</v>
          </cell>
          <cell r="T357">
            <v>0</v>
          </cell>
          <cell r="U357" t="str">
            <v>A</v>
          </cell>
          <cell r="V357" t="str">
            <v>Q</v>
          </cell>
          <cell r="W357" t="str">
            <v>V</v>
          </cell>
          <cell r="X357">
            <v>0</v>
          </cell>
          <cell r="Y357" t="str">
            <v>B</v>
          </cell>
          <cell r="Z357">
            <v>0</v>
          </cell>
          <cell r="AA357">
            <v>7</v>
          </cell>
          <cell r="AB357" t="str">
            <v>H, T, M, A, Q, V, B</v>
          </cell>
          <cell r="AC357">
            <v>0</v>
          </cell>
          <cell r="AD357">
            <v>0</v>
          </cell>
          <cell r="AE357" t="str">
            <v>05/06: pend doc, checking age grade</v>
          </cell>
          <cell r="AF357" t="str">
            <v>KUKKIA CO LTD</v>
          </cell>
          <cell r="AG357" t="str">
            <v>KUKKIA CO LTD</v>
          </cell>
          <cell r="AH357" t="str">
            <v>REGULAR</v>
          </cell>
          <cell r="AI357">
            <v>45040</v>
          </cell>
          <cell r="AJ357">
            <v>45050</v>
          </cell>
          <cell r="AK357">
            <v>45044</v>
          </cell>
          <cell r="AL357">
            <v>45052</v>
          </cell>
          <cell r="AM357">
            <v>45052</v>
          </cell>
          <cell r="AN357"/>
          <cell r="AO357">
            <v>45054</v>
          </cell>
          <cell r="AP357" t="str">
            <v>ON HOLD</v>
          </cell>
        </row>
        <row r="358">
          <cell r="A358">
            <v>96231140374</v>
          </cell>
          <cell r="B358" t="str">
            <v>TY</v>
          </cell>
          <cell r="C358">
            <v>0</v>
          </cell>
          <cell r="D358">
            <v>0</v>
          </cell>
          <cell r="E358" t="str">
            <v>FLO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 t="str">
            <v>H</v>
          </cell>
          <cell r="K358" t="str">
            <v>T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 t="str">
            <v>M</v>
          </cell>
          <cell r="T358">
            <v>0</v>
          </cell>
          <cell r="U358" t="str">
            <v>A</v>
          </cell>
          <cell r="V358" t="str">
            <v>Q</v>
          </cell>
          <cell r="W358" t="str">
            <v>V</v>
          </cell>
          <cell r="X358">
            <v>0</v>
          </cell>
          <cell r="Y358" t="str">
            <v>B</v>
          </cell>
          <cell r="Z358">
            <v>0</v>
          </cell>
          <cell r="AA358">
            <v>7</v>
          </cell>
          <cell r="AB358" t="str">
            <v>H, T, M, A, Q, V, B</v>
          </cell>
          <cell r="AC358">
            <v>0</v>
          </cell>
          <cell r="AD358">
            <v>0</v>
          </cell>
          <cell r="AE358" t="str">
            <v>05/06: pend doc, checking age grade</v>
          </cell>
          <cell r="AF358" t="str">
            <v>KUKKIA CO LTD</v>
          </cell>
          <cell r="AG358" t="str">
            <v>KUKKIA CO LTD</v>
          </cell>
          <cell r="AH358" t="str">
            <v>REGULAR</v>
          </cell>
          <cell r="AI358">
            <v>45040</v>
          </cell>
          <cell r="AJ358">
            <v>45050</v>
          </cell>
          <cell r="AK358">
            <v>45044</v>
          </cell>
          <cell r="AL358">
            <v>45052</v>
          </cell>
          <cell r="AM358">
            <v>45052</v>
          </cell>
          <cell r="AN358"/>
          <cell r="AO358">
            <v>45054</v>
          </cell>
          <cell r="AP358" t="str">
            <v>ON HOLD</v>
          </cell>
        </row>
        <row r="359">
          <cell r="A359">
            <v>96231140377</v>
          </cell>
          <cell r="B359" t="str">
            <v>TY</v>
          </cell>
          <cell r="C359">
            <v>0</v>
          </cell>
          <cell r="D359">
            <v>0</v>
          </cell>
          <cell r="E359" t="str">
            <v>FLO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 t="str">
            <v>H</v>
          </cell>
          <cell r="K359" t="str">
            <v>T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 t="str">
            <v>M</v>
          </cell>
          <cell r="T359">
            <v>0</v>
          </cell>
          <cell r="U359" t="str">
            <v>A</v>
          </cell>
          <cell r="V359" t="str">
            <v>Q</v>
          </cell>
          <cell r="W359" t="str">
            <v>V</v>
          </cell>
          <cell r="X359">
            <v>0</v>
          </cell>
          <cell r="Y359" t="str">
            <v>B</v>
          </cell>
          <cell r="Z359">
            <v>0</v>
          </cell>
          <cell r="AA359">
            <v>7</v>
          </cell>
          <cell r="AB359" t="str">
            <v>H, T, M, A, Q, V, B</v>
          </cell>
          <cell r="AC359">
            <v>0</v>
          </cell>
          <cell r="AD359">
            <v>0</v>
          </cell>
          <cell r="AE359" t="str">
            <v>05/06: pend doc, checking age grade</v>
          </cell>
          <cell r="AF359" t="str">
            <v>KUKKIA CO LTD</v>
          </cell>
          <cell r="AG359" t="str">
            <v>KUKKIA CO LTD</v>
          </cell>
          <cell r="AH359" t="str">
            <v>REGULAR</v>
          </cell>
          <cell r="AI359">
            <v>45040</v>
          </cell>
          <cell r="AJ359">
            <v>45050</v>
          </cell>
          <cell r="AK359">
            <v>45044</v>
          </cell>
          <cell r="AL359">
            <v>45052</v>
          </cell>
          <cell r="AM359">
            <v>45052</v>
          </cell>
          <cell r="AN359"/>
          <cell r="AO359">
            <v>45054</v>
          </cell>
          <cell r="AP359" t="str">
            <v>ON HOLD</v>
          </cell>
        </row>
        <row r="360">
          <cell r="A360">
            <v>96231140380</v>
          </cell>
          <cell r="B360" t="str">
            <v>TY</v>
          </cell>
          <cell r="C360">
            <v>0</v>
          </cell>
          <cell r="D360">
            <v>0</v>
          </cell>
          <cell r="E360" t="str">
            <v>FLO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 t="str">
            <v>H</v>
          </cell>
          <cell r="K360" t="str">
            <v>T</v>
          </cell>
          <cell r="L360">
            <v>0</v>
          </cell>
          <cell r="M360">
            <v>0</v>
          </cell>
          <cell r="N360">
            <v>0</v>
          </cell>
          <cell r="O360" t="str">
            <v>P</v>
          </cell>
          <cell r="P360">
            <v>0</v>
          </cell>
          <cell r="Q360" t="str">
            <v>F</v>
          </cell>
          <cell r="R360" t="str">
            <v>L</v>
          </cell>
          <cell r="S360" t="str">
            <v>M</v>
          </cell>
          <cell r="T360">
            <v>0</v>
          </cell>
          <cell r="U360">
            <v>0</v>
          </cell>
          <cell r="V360" t="str">
            <v>Q</v>
          </cell>
          <cell r="W360" t="str">
            <v>V</v>
          </cell>
          <cell r="X360">
            <v>0</v>
          </cell>
          <cell r="Y360">
            <v>0</v>
          </cell>
          <cell r="Z360">
            <v>0</v>
          </cell>
          <cell r="AA360">
            <v>8</v>
          </cell>
          <cell r="AB360" t="str">
            <v>H, T, P, F, L, M, Q, V</v>
          </cell>
          <cell r="AC360">
            <v>0</v>
          </cell>
          <cell r="AD360">
            <v>0</v>
          </cell>
          <cell r="AE360" t="str">
            <v>05/06: pend doc, checking age grade</v>
          </cell>
          <cell r="AF360" t="str">
            <v>KUKKIA CO LTD</v>
          </cell>
          <cell r="AG360" t="str">
            <v>KUKKIA CO LTD</v>
          </cell>
          <cell r="AH360" t="str">
            <v>REGULAR</v>
          </cell>
          <cell r="AI360">
            <v>45040</v>
          </cell>
          <cell r="AJ360">
            <v>45050</v>
          </cell>
          <cell r="AK360">
            <v>45044</v>
          </cell>
          <cell r="AL360">
            <v>45054</v>
          </cell>
          <cell r="AM360">
            <v>45054</v>
          </cell>
          <cell r="AN360"/>
          <cell r="AO360">
            <v>45055</v>
          </cell>
          <cell r="AP360" t="str">
            <v>ON HOLD</v>
          </cell>
        </row>
        <row r="361">
          <cell r="A361">
            <v>96231140385</v>
          </cell>
          <cell r="B361" t="str">
            <v>TY</v>
          </cell>
          <cell r="C361">
            <v>0</v>
          </cell>
          <cell r="D361">
            <v>0</v>
          </cell>
          <cell r="E361" t="str">
            <v>FLO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 t="str">
            <v>H</v>
          </cell>
          <cell r="K361" t="str">
            <v>T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 t="str">
            <v>M</v>
          </cell>
          <cell r="T361">
            <v>0</v>
          </cell>
          <cell r="U361" t="str">
            <v>A</v>
          </cell>
          <cell r="V361" t="str">
            <v>Q</v>
          </cell>
          <cell r="W361" t="str">
            <v>V</v>
          </cell>
          <cell r="X361">
            <v>0</v>
          </cell>
          <cell r="Y361" t="str">
            <v>B</v>
          </cell>
          <cell r="Z361">
            <v>0</v>
          </cell>
          <cell r="AA361">
            <v>7</v>
          </cell>
          <cell r="AB361" t="str">
            <v>H, T, M, A, Q, V, B</v>
          </cell>
          <cell r="AC361">
            <v>0</v>
          </cell>
          <cell r="AD361">
            <v>0</v>
          </cell>
          <cell r="AE361" t="str">
            <v>05/06: pend doc, checking age grade</v>
          </cell>
          <cell r="AF361" t="str">
            <v>KUKKIA CO LTD</v>
          </cell>
          <cell r="AG361" t="str">
            <v>KUKKIA CO LTD</v>
          </cell>
          <cell r="AH361" t="str">
            <v>REGULAR</v>
          </cell>
          <cell r="AI361">
            <v>45040</v>
          </cell>
          <cell r="AJ361">
            <v>45050</v>
          </cell>
          <cell r="AK361">
            <v>45044</v>
          </cell>
          <cell r="AL361">
            <v>45052</v>
          </cell>
          <cell r="AM361">
            <v>45052</v>
          </cell>
          <cell r="AN361"/>
          <cell r="AO361">
            <v>45054</v>
          </cell>
          <cell r="AP361" t="str">
            <v>ON HOLD</v>
          </cell>
        </row>
        <row r="362">
          <cell r="A362">
            <v>96231140424</v>
          </cell>
          <cell r="B362" t="str">
            <v>EU</v>
          </cell>
          <cell r="C362">
            <v>0</v>
          </cell>
          <cell r="D362">
            <v>0</v>
          </cell>
          <cell r="E362" t="str">
            <v>FLO</v>
          </cell>
          <cell r="F362">
            <v>0</v>
          </cell>
          <cell r="G362">
            <v>0</v>
          </cell>
          <cell r="H362" t="str">
            <v>E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1</v>
          </cell>
          <cell r="AB362" t="str">
            <v>E</v>
          </cell>
          <cell r="AC362">
            <v>0</v>
          </cell>
          <cell r="AD362">
            <v>0</v>
          </cell>
          <cell r="AE362" t="str">
            <v>05/06: no CS pending</v>
          </cell>
          <cell r="AF362" t="str">
            <v>ARTICLE (TRADEMANGO SOLUTIONS) LTD</v>
          </cell>
          <cell r="AG362" t="str">
            <v>ARTICLE (TRADEMANGO SOLUTIONS) LTD</v>
          </cell>
          <cell r="AH362" t="str">
            <v>REGULAR</v>
          </cell>
          <cell r="AI362">
            <v>45040</v>
          </cell>
          <cell r="AJ362"/>
          <cell r="AK362"/>
          <cell r="AL362">
            <v>45055</v>
          </cell>
          <cell r="AM362">
            <v>45055</v>
          </cell>
          <cell r="AN362"/>
          <cell r="AO362">
            <v>45056</v>
          </cell>
          <cell r="AP362" t="str">
            <v>MUST</v>
          </cell>
        </row>
        <row r="363">
          <cell r="A363">
            <v>96231140430</v>
          </cell>
          <cell r="B363" t="str">
            <v>JP</v>
          </cell>
          <cell r="C363">
            <v>0</v>
          </cell>
          <cell r="D363">
            <v>0</v>
          </cell>
          <cell r="E363" t="str">
            <v>VAN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 t="str">
            <v>H</v>
          </cell>
          <cell r="K363">
            <v>0</v>
          </cell>
          <cell r="L363" t="str">
            <v>J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 t="str">
            <v>Q</v>
          </cell>
          <cell r="W363" t="str">
            <v>V</v>
          </cell>
          <cell r="X363">
            <v>0</v>
          </cell>
          <cell r="Y363">
            <v>0</v>
          </cell>
          <cell r="Z363">
            <v>0</v>
          </cell>
          <cell r="AA363">
            <v>4</v>
          </cell>
          <cell r="AB363" t="str">
            <v>H, J, Q, V</v>
          </cell>
          <cell r="AC363">
            <v>0</v>
          </cell>
          <cell r="AD363" t="str">
            <v>YES</v>
          </cell>
          <cell r="AE363" t="str">
            <v>5/8: CSE, got new report for CSE charge; 0428: no CS pend</v>
          </cell>
          <cell r="AF363" t="str">
            <v>M DESIGN VILLAGE LLC</v>
          </cell>
          <cell r="AG363" t="str">
            <v>M DESIGN VILLAGE LLC</v>
          </cell>
          <cell r="AH363" t="str">
            <v>REGULAR</v>
          </cell>
          <cell r="AI363">
            <v>45040</v>
          </cell>
          <cell r="AJ363">
            <v>45054</v>
          </cell>
          <cell r="AK363">
            <v>45044</v>
          </cell>
          <cell r="AL363">
            <v>45054</v>
          </cell>
          <cell r="AM363">
            <v>45054</v>
          </cell>
          <cell r="AN363"/>
          <cell r="AO363">
            <v>45055</v>
          </cell>
          <cell r="AP363" t="str">
            <v>ON HOLD</v>
          </cell>
        </row>
        <row r="364">
          <cell r="A364">
            <v>96231140438</v>
          </cell>
          <cell r="B364" t="str">
            <v>US2</v>
          </cell>
          <cell r="C364">
            <v>0</v>
          </cell>
          <cell r="D364">
            <v>0</v>
          </cell>
          <cell r="E364" t="str">
            <v>VAN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 t="str">
            <v>H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1</v>
          </cell>
          <cell r="AB364" t="str">
            <v>H</v>
          </cell>
          <cell r="AC364">
            <v>0</v>
          </cell>
          <cell r="AD364">
            <v>0</v>
          </cell>
          <cell r="AE364">
            <v>0</v>
          </cell>
          <cell r="AF364" t="str">
            <v>HANG DAI CHEMICAL ONE MEMBER CO LTD</v>
          </cell>
          <cell r="AG364" t="str">
            <v>HANG DAI CHEMICAL ONE MEMBER CO LTD</v>
          </cell>
          <cell r="AH364" t="str">
            <v>REGULAR</v>
          </cell>
          <cell r="AI364">
            <v>45041</v>
          </cell>
          <cell r="AJ364">
            <v>45040</v>
          </cell>
          <cell r="AK364">
            <v>45041</v>
          </cell>
          <cell r="AL364">
            <v>45057</v>
          </cell>
          <cell r="AM364">
            <v>45057</v>
          </cell>
          <cell r="AN364">
            <v>45050</v>
          </cell>
          <cell r="AO364">
            <v>45057</v>
          </cell>
          <cell r="AP364" t="str">
            <v>OFF HOLD</v>
          </cell>
        </row>
        <row r="365">
          <cell r="A365">
            <v>96231140446</v>
          </cell>
          <cell r="B365" t="str">
            <v>JP-RFSP96231140430</v>
          </cell>
          <cell r="C365">
            <v>0</v>
          </cell>
          <cell r="D365">
            <v>0</v>
          </cell>
          <cell r="E365" t="str">
            <v>VAN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 t="str">
            <v>J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 t="str">
            <v>Q</v>
          </cell>
          <cell r="W365" t="str">
            <v>V</v>
          </cell>
          <cell r="X365">
            <v>0</v>
          </cell>
          <cell r="Y365">
            <v>0</v>
          </cell>
          <cell r="Z365">
            <v>0</v>
          </cell>
          <cell r="AA365">
            <v>3</v>
          </cell>
          <cell r="AB365" t="str">
            <v>J, Q, V</v>
          </cell>
          <cell r="AC365">
            <v>0</v>
          </cell>
          <cell r="AD365" t="str">
            <v>YES</v>
          </cell>
          <cell r="AE365" t="str">
            <v>5/8: CSE, got new report for CSE charge; 0428: no CS pend</v>
          </cell>
          <cell r="AF365" t="str">
            <v>M DESIGN VILLAGE LLC</v>
          </cell>
          <cell r="AG365" t="str">
            <v>M DESIGN VILLAGE LLC</v>
          </cell>
          <cell r="AH365" t="str">
            <v>REGULAR</v>
          </cell>
          <cell r="AI365">
            <v>45040</v>
          </cell>
          <cell r="AJ365">
            <v>45054</v>
          </cell>
          <cell r="AK365">
            <v>45044</v>
          </cell>
          <cell r="AL365">
            <v>45054</v>
          </cell>
          <cell r="AM365">
            <v>45054</v>
          </cell>
          <cell r="AN365"/>
          <cell r="AO365">
            <v>45055</v>
          </cell>
          <cell r="AP365" t="str">
            <v>ON HOLD</v>
          </cell>
        </row>
        <row r="366">
          <cell r="A366">
            <v>96231140512</v>
          </cell>
          <cell r="B366" t="str">
            <v>US1-RF SP 96231000148</v>
          </cell>
          <cell r="C366">
            <v>0</v>
          </cell>
          <cell r="D366">
            <v>0</v>
          </cell>
          <cell r="E366" t="str">
            <v>MIN</v>
          </cell>
          <cell r="F366">
            <v>0</v>
          </cell>
          <cell r="G366" t="str">
            <v>R</v>
          </cell>
          <cell r="H366">
            <v>0</v>
          </cell>
          <cell r="I366">
            <v>0</v>
          </cell>
          <cell r="J366" t="str">
            <v>H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 t="str">
            <v>Q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3</v>
          </cell>
          <cell r="AB366" t="str">
            <v>H, R, Q</v>
          </cell>
          <cell r="AC366">
            <v>0</v>
          </cell>
          <cell r="AD366">
            <v>0</v>
          </cell>
          <cell r="AE366" t="str">
            <v>0504: PI confirmed - 0429: pend PI confirmation</v>
          </cell>
          <cell r="AF366" t="str">
            <v>GLOBAL OUTDOORS, INC.</v>
          </cell>
          <cell r="AG366" t="str">
            <v>COSTCO PRE-PRODUCTION</v>
          </cell>
          <cell r="AH366" t="str">
            <v>REGULAR</v>
          </cell>
          <cell r="AI366">
            <v>45040</v>
          </cell>
          <cell r="AJ366">
            <v>45049</v>
          </cell>
          <cell r="AK366">
            <v>45050</v>
          </cell>
          <cell r="AL366">
            <v>45055</v>
          </cell>
          <cell r="AM366">
            <v>45055</v>
          </cell>
          <cell r="AN366"/>
          <cell r="AO366">
            <v>45056</v>
          </cell>
          <cell r="AP366" t="str">
            <v>MUST</v>
          </cell>
        </row>
        <row r="367">
          <cell r="A367">
            <v>96231140521</v>
          </cell>
          <cell r="B367" t="str">
            <v>TRAIL-AV</v>
          </cell>
          <cell r="C367">
            <v>0</v>
          </cell>
          <cell r="D367">
            <v>0</v>
          </cell>
          <cell r="E367" t="str">
            <v>MIN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 t="str">
            <v xml:space="preserve">0509: void - 0426: No CS pending </v>
          </cell>
          <cell r="AF367" t="str">
            <v>DONGGUAN GOLDEN SPECIE TRADING CO LTD</v>
          </cell>
          <cell r="AG367" t="str">
            <v>DONGGUAN GOLDEN SPECIE TRADING CO LTD</v>
          </cell>
          <cell r="AH367" t="str">
            <v>REGULAR</v>
          </cell>
          <cell r="AI367">
            <v>45040</v>
          </cell>
          <cell r="AJ367">
            <v>45040</v>
          </cell>
          <cell r="AK367">
            <v>45041</v>
          </cell>
          <cell r="AL367">
            <v>45041</v>
          </cell>
          <cell r="AM367">
            <v>45041</v>
          </cell>
          <cell r="AN367"/>
          <cell r="AO367">
            <v>45042</v>
          </cell>
          <cell r="AP367" t="str">
            <v>NAY</v>
          </cell>
        </row>
        <row r="368">
          <cell r="A368">
            <v>96231140526</v>
          </cell>
          <cell r="B368" t="str">
            <v>US2</v>
          </cell>
          <cell r="C368">
            <v>0</v>
          </cell>
          <cell r="D368">
            <v>0</v>
          </cell>
          <cell r="E368" t="str">
            <v>ELV</v>
          </cell>
          <cell r="F368">
            <v>0</v>
          </cell>
          <cell r="G368" t="str">
            <v>R</v>
          </cell>
          <cell r="H368">
            <v>0</v>
          </cell>
          <cell r="I368">
            <v>0</v>
          </cell>
          <cell r="J368" t="str">
            <v>H</v>
          </cell>
          <cell r="K368">
            <v>0</v>
          </cell>
          <cell r="L368" t="str">
            <v>J</v>
          </cell>
          <cell r="M368">
            <v>0</v>
          </cell>
          <cell r="N368">
            <v>0</v>
          </cell>
          <cell r="O368" t="str">
            <v>P</v>
          </cell>
          <cell r="P368">
            <v>0</v>
          </cell>
          <cell r="Q368" t="str">
            <v>F</v>
          </cell>
          <cell r="R368" t="str">
            <v>L</v>
          </cell>
          <cell r="S368">
            <v>0</v>
          </cell>
          <cell r="T368">
            <v>0</v>
          </cell>
          <cell r="U368" t="str">
            <v>A</v>
          </cell>
          <cell r="V368" t="str">
            <v>Q</v>
          </cell>
          <cell r="W368" t="str">
            <v>V</v>
          </cell>
          <cell r="X368">
            <v>0</v>
          </cell>
          <cell r="Y368">
            <v>0</v>
          </cell>
          <cell r="Z368">
            <v>0</v>
          </cell>
          <cell r="AA368">
            <v>9</v>
          </cell>
          <cell r="AB368" t="str">
            <v>H, J, R, P, F, L, A, Q, V</v>
          </cell>
          <cell r="AC368" t="str">
            <v>x</v>
          </cell>
          <cell r="AD368" t="str">
            <v>YES</v>
          </cell>
          <cell r="AE368">
            <v>0</v>
          </cell>
          <cell r="AF368" t="str">
            <v>TRUONG THANH FURNITURE CORP</v>
          </cell>
          <cell r="AG368" t="str">
            <v>WILLIAMS-SONOMA INC</v>
          </cell>
          <cell r="AH368" t="str">
            <v>REGULAR</v>
          </cell>
          <cell r="AI368">
            <v>45040</v>
          </cell>
          <cell r="AJ368">
            <v>45049</v>
          </cell>
          <cell r="AK368">
            <v>45051</v>
          </cell>
          <cell r="AL368">
            <v>45070</v>
          </cell>
          <cell r="AM368">
            <v>45070</v>
          </cell>
          <cell r="AN368"/>
          <cell r="AO368">
            <v>45071</v>
          </cell>
          <cell r="AP368" t="str">
            <v>OFF HOLD</v>
          </cell>
        </row>
        <row r="369">
          <cell r="A369">
            <v>96231140553</v>
          </cell>
          <cell r="B369" t="str">
            <v>US2-RF SP 96231100539</v>
          </cell>
          <cell r="C369">
            <v>0</v>
          </cell>
          <cell r="D369">
            <v>0</v>
          </cell>
          <cell r="E369" t="str">
            <v>VAN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 t="str">
            <v>H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1</v>
          </cell>
          <cell r="AB369" t="str">
            <v>H</v>
          </cell>
          <cell r="AC369">
            <v>0</v>
          </cell>
          <cell r="AD369">
            <v>0</v>
          </cell>
          <cell r="AE369" t="str">
            <v>must issue on 5/15; 5/6: no CS pend</v>
          </cell>
          <cell r="AF369" t="str">
            <v>JUN FENG VIETNAM CO LTD</v>
          </cell>
          <cell r="AG369" t="str">
            <v>JUN FENG VIETNAM CO LTD</v>
          </cell>
          <cell r="AH369" t="str">
            <v>REGULAR</v>
          </cell>
          <cell r="AI369">
            <v>45041</v>
          </cell>
          <cell r="AJ369"/>
          <cell r="AK369"/>
          <cell r="AL369">
            <v>45061</v>
          </cell>
          <cell r="AM369">
            <v>45061</v>
          </cell>
          <cell r="AN369">
            <v>45051</v>
          </cell>
          <cell r="AO369">
            <v>45061</v>
          </cell>
          <cell r="AP369" t="str">
            <v>ACTIVE</v>
          </cell>
        </row>
        <row r="370">
          <cell r="A370">
            <v>96231150076</v>
          </cell>
          <cell r="B370" t="str">
            <v>US2-TRANSFER QUALITY FROM 96231120328</v>
          </cell>
          <cell r="C370">
            <v>0</v>
          </cell>
          <cell r="D370">
            <v>0</v>
          </cell>
          <cell r="E370" t="str">
            <v>TAN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 t="str">
            <v>H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 t="str">
            <v>F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 t="str">
            <v>Q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3</v>
          </cell>
          <cell r="AB370" t="str">
            <v>H, F, Q</v>
          </cell>
          <cell r="AC370">
            <v>0</v>
          </cell>
          <cell r="AD370">
            <v>0</v>
          </cell>
          <cell r="AE370" t="str">
            <v>5/4: no cs pend 4/27: pend docs</v>
          </cell>
          <cell r="AF370" t="str">
            <v>T &amp; L METAL FURNITURE COMPANY LIMITED</v>
          </cell>
          <cell r="AG370" t="str">
            <v>MITCHELL GOLD + BOB WILLIAMS</v>
          </cell>
          <cell r="AH370" t="str">
            <v>REGULAR</v>
          </cell>
          <cell r="AI370">
            <v>45041</v>
          </cell>
          <cell r="AJ370">
            <v>45051</v>
          </cell>
          <cell r="AK370">
            <v>45051</v>
          </cell>
          <cell r="AL370">
            <v>45056</v>
          </cell>
          <cell r="AM370">
            <v>45056</v>
          </cell>
          <cell r="AN370"/>
          <cell r="AO370">
            <v>45057</v>
          </cell>
          <cell r="AP370" t="str">
            <v>OFF HOLD</v>
          </cell>
        </row>
        <row r="371">
          <cell r="A371">
            <v>96231150084</v>
          </cell>
          <cell r="B371" t="str">
            <v>US2-TRANSFER QUALITY FROM 96231120326</v>
          </cell>
          <cell r="C371">
            <v>0</v>
          </cell>
          <cell r="D371">
            <v>0</v>
          </cell>
          <cell r="E371" t="str">
            <v>TAN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 t="str">
            <v>H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 t="str">
            <v>F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 t="str">
            <v>Q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3</v>
          </cell>
          <cell r="AB371" t="str">
            <v>H, F, Q</v>
          </cell>
          <cell r="AC371">
            <v>0</v>
          </cell>
          <cell r="AD371">
            <v>0</v>
          </cell>
          <cell r="AE371" t="str">
            <v>5/4: no cs pend 4/27: pend docs</v>
          </cell>
          <cell r="AF371" t="str">
            <v>T &amp; L METAL FURNITURE COMPANY LIMITED</v>
          </cell>
          <cell r="AG371" t="str">
            <v>MITCHELL GOLD + BOB WILLIAMS</v>
          </cell>
          <cell r="AH371" t="str">
            <v>REGULAR</v>
          </cell>
          <cell r="AI371">
            <v>45041</v>
          </cell>
          <cell r="AJ371">
            <v>45051</v>
          </cell>
          <cell r="AK371">
            <v>45051</v>
          </cell>
          <cell r="AL371">
            <v>45056</v>
          </cell>
          <cell r="AM371">
            <v>45056</v>
          </cell>
          <cell r="AN371"/>
          <cell r="AO371">
            <v>45057</v>
          </cell>
          <cell r="AP371" t="str">
            <v>OFF HOLD</v>
          </cell>
        </row>
        <row r="372">
          <cell r="A372">
            <v>96231150098</v>
          </cell>
          <cell r="B372" t="str">
            <v>US2-TRANSFER QUALITY FROM 96231120327</v>
          </cell>
          <cell r="C372">
            <v>0</v>
          </cell>
          <cell r="D372">
            <v>0</v>
          </cell>
          <cell r="E372" t="str">
            <v>TAN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 t="str">
            <v>H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 t="str">
            <v>F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 t="str">
            <v>Q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3</v>
          </cell>
          <cell r="AB372" t="str">
            <v>H, F, Q</v>
          </cell>
          <cell r="AC372">
            <v>0</v>
          </cell>
          <cell r="AD372">
            <v>0</v>
          </cell>
          <cell r="AE372" t="str">
            <v>5/4: no cs pend 4/27: pend docs</v>
          </cell>
          <cell r="AF372" t="str">
            <v>T &amp; L METAL FURNITURE COMPANY LIMITED</v>
          </cell>
          <cell r="AG372" t="str">
            <v>MITCHELL GOLD + BOB WILLIAMS</v>
          </cell>
          <cell r="AH372" t="str">
            <v>REGULAR</v>
          </cell>
          <cell r="AI372">
            <v>45041</v>
          </cell>
          <cell r="AJ372">
            <v>45051</v>
          </cell>
          <cell r="AK372">
            <v>45051</v>
          </cell>
          <cell r="AL372">
            <v>45056</v>
          </cell>
          <cell r="AM372">
            <v>45056</v>
          </cell>
          <cell r="AN372"/>
          <cell r="AO372">
            <v>45057</v>
          </cell>
          <cell r="AP372" t="str">
            <v>OFF HOLD</v>
          </cell>
        </row>
        <row r="373">
          <cell r="A373">
            <v>96231150107</v>
          </cell>
          <cell r="B373" t="str">
            <v>US2</v>
          </cell>
          <cell r="C373">
            <v>0</v>
          </cell>
          <cell r="D373" t="str">
            <v>VAN</v>
          </cell>
          <cell r="E373" t="str">
            <v>TAN</v>
          </cell>
          <cell r="F373" t="str">
            <v>DONE 0509
FIRST MAKING 0427-WAIT TRF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H</v>
          </cell>
          <cell r="AC373">
            <v>0</v>
          </cell>
          <cell r="AD373">
            <v>0</v>
          </cell>
          <cell r="AE373" t="str">
            <v xml:space="preserve">5/8, 5/3: no cs pend </v>
          </cell>
          <cell r="AF373" t="str">
            <v>YUUYUE FURNITURE CO LTD</v>
          </cell>
          <cell r="AG373" t="str">
            <v>RTG FURNITURE CORP.</v>
          </cell>
          <cell r="AH373" t="str">
            <v>REGULAR</v>
          </cell>
          <cell r="AI373">
            <v>45041</v>
          </cell>
          <cell r="AJ373"/>
          <cell r="AK373"/>
          <cell r="AL373">
            <v>45051</v>
          </cell>
          <cell r="AM373">
            <v>45051</v>
          </cell>
          <cell r="AN373"/>
          <cell r="AO373">
            <v>45051</v>
          </cell>
          <cell r="AP373" t="str">
            <v>LATE</v>
          </cell>
        </row>
        <row r="374">
          <cell r="A374">
            <v>96231150123</v>
          </cell>
          <cell r="B374" t="str">
            <v>USD</v>
          </cell>
          <cell r="C374" t="str">
            <v>done</v>
          </cell>
          <cell r="D374" t="str">
            <v>VAN</v>
          </cell>
          <cell r="E374" t="str">
            <v>FLO</v>
          </cell>
          <cell r="F374" t="str">
            <v>DONE 0508ONHOLD
MAKING 0427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Z</v>
          </cell>
          <cell r="AC374">
            <v>0</v>
          </cell>
          <cell r="AD374">
            <v>0</v>
          </cell>
          <cell r="AE374" t="str">
            <v>05/08: received payment
05/06; 04/26: new vendor - Maple, wait prepayment</v>
          </cell>
          <cell r="AF374" t="str">
            <v>N/A</v>
          </cell>
          <cell r="AG374" t="str">
            <v>N/A</v>
          </cell>
          <cell r="AH374" t="str">
            <v>REGULAR</v>
          </cell>
          <cell r="AI374">
            <v>45041</v>
          </cell>
          <cell r="AJ374">
            <v>45042</v>
          </cell>
          <cell r="AK374">
            <v>45054</v>
          </cell>
          <cell r="AL374">
            <v>45058</v>
          </cell>
          <cell r="AM374">
            <v>45058</v>
          </cell>
          <cell r="AN374"/>
          <cell r="AO374">
            <v>45059</v>
          </cell>
          <cell r="AP374" t="str">
            <v>LATECS</v>
          </cell>
        </row>
        <row r="375">
          <cell r="A375">
            <v>96231150248</v>
          </cell>
          <cell r="B375" t="str">
            <v>EU</v>
          </cell>
          <cell r="C375" t="str">
            <v>DONE 0509</v>
          </cell>
          <cell r="D375" t="str">
            <v>VAN</v>
          </cell>
          <cell r="E375" t="str">
            <v>VAN</v>
          </cell>
          <cell r="F375" t="str">
            <v>done 0509
MAKING 0509</v>
          </cell>
          <cell r="G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E</v>
          </cell>
          <cell r="AC375">
            <v>0</v>
          </cell>
          <cell r="AD375" t="str">
            <v>YES</v>
          </cell>
          <cell r="AE375">
            <v>0</v>
          </cell>
          <cell r="AF375" t="str">
            <v>NS MILLENNIUM VIETNAM CO LTD</v>
          </cell>
          <cell r="AG375" t="str">
            <v>NS MILLENNIUM VIETNAM CO LTD</v>
          </cell>
          <cell r="AH375" t="str">
            <v>REGULAR</v>
          </cell>
          <cell r="AI375">
            <v>45041</v>
          </cell>
          <cell r="AJ375"/>
          <cell r="AK375"/>
          <cell r="AL375">
            <v>45050</v>
          </cell>
          <cell r="AM375">
            <v>45050</v>
          </cell>
          <cell r="AN375"/>
          <cell r="AO375">
            <v>45051</v>
          </cell>
          <cell r="AP375" t="str">
            <v>LATECS</v>
          </cell>
        </row>
        <row r="376">
          <cell r="A376">
            <v>96231150250</v>
          </cell>
          <cell r="B376" t="str">
            <v>EU</v>
          </cell>
          <cell r="C376" t="str">
            <v>DONE 0509</v>
          </cell>
          <cell r="D376" t="str">
            <v>VAN</v>
          </cell>
          <cell r="E376" t="str">
            <v>VAN</v>
          </cell>
          <cell r="F376" t="str">
            <v>done 0509
MAKING 0509</v>
          </cell>
          <cell r="G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E</v>
          </cell>
          <cell r="AC376">
            <v>0</v>
          </cell>
          <cell r="AD376" t="str">
            <v>YES</v>
          </cell>
          <cell r="AE376">
            <v>0</v>
          </cell>
          <cell r="AF376" t="str">
            <v>NS MILLENNIUM VIETNAM CO LTD</v>
          </cell>
          <cell r="AG376" t="str">
            <v>NS MILLENNIUM VIETNAM CO LTD</v>
          </cell>
          <cell r="AH376" t="str">
            <v>REGULAR</v>
          </cell>
          <cell r="AI376">
            <v>45041</v>
          </cell>
          <cell r="AJ376"/>
          <cell r="AK376"/>
          <cell r="AL376">
            <v>45050</v>
          </cell>
          <cell r="AM376">
            <v>45050</v>
          </cell>
          <cell r="AN376"/>
          <cell r="AO376">
            <v>45051</v>
          </cell>
          <cell r="AP376" t="str">
            <v>LATECS</v>
          </cell>
        </row>
        <row r="377">
          <cell r="A377">
            <v>96231150352</v>
          </cell>
          <cell r="B377" t="str">
            <v>EU-AS</v>
          </cell>
          <cell r="C377">
            <v>0</v>
          </cell>
          <cell r="D377">
            <v>0</v>
          </cell>
          <cell r="E377" t="str">
            <v>FLO</v>
          </cell>
          <cell r="F377">
            <v>0</v>
          </cell>
          <cell r="G377">
            <v>0</v>
          </cell>
          <cell r="H377" t="str">
            <v>E</v>
          </cell>
          <cell r="I377">
            <v>0</v>
          </cell>
          <cell r="J377" t="str">
            <v>H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2</v>
          </cell>
          <cell r="AB377" t="str">
            <v>H, E</v>
          </cell>
          <cell r="AC377">
            <v>0</v>
          </cell>
          <cell r="AD377">
            <v>0</v>
          </cell>
          <cell r="AE377" t="str">
            <v xml:space="preserve">04/28: no CS  pending
0422: Verify correct sample, not perform any test </v>
          </cell>
          <cell r="AF377" t="str">
            <v>NAD DESIGN BV</v>
          </cell>
          <cell r="AG377" t="str">
            <v>NAD DESIGN BV</v>
          </cell>
          <cell r="AH377" t="str">
            <v>REGULAR</v>
          </cell>
          <cell r="AI377">
            <v>45041</v>
          </cell>
          <cell r="AJ377">
            <v>45043</v>
          </cell>
          <cell r="AK377">
            <v>45052</v>
          </cell>
          <cell r="AL377">
            <v>45057</v>
          </cell>
          <cell r="AM377">
            <v>45057</v>
          </cell>
          <cell r="AN377"/>
          <cell r="AO377">
            <v>45058</v>
          </cell>
          <cell r="AP377" t="str">
            <v>OFF HOLD</v>
          </cell>
        </row>
        <row r="378">
          <cell r="A378">
            <v>96231150359</v>
          </cell>
          <cell r="B378" t="str">
            <v>JP</v>
          </cell>
          <cell r="C378">
            <v>0</v>
          </cell>
          <cell r="D378">
            <v>0</v>
          </cell>
          <cell r="E378" t="str">
            <v>ELV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 t="str">
            <v>J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 t="str">
            <v>Q</v>
          </cell>
          <cell r="W378" t="str">
            <v>V</v>
          </cell>
          <cell r="X378">
            <v>0</v>
          </cell>
          <cell r="Y378">
            <v>0</v>
          </cell>
          <cell r="Z378">
            <v>0</v>
          </cell>
          <cell r="AA378">
            <v>3</v>
          </cell>
          <cell r="AB378" t="str">
            <v>J, Q, V</v>
          </cell>
          <cell r="AC378">
            <v>0</v>
          </cell>
          <cell r="AD378" t="str">
            <v>YES</v>
          </cell>
          <cell r="AE378">
            <v>0</v>
          </cell>
          <cell r="AF378" t="str">
            <v>GREATREE INDUSTRIAL CORPORATION</v>
          </cell>
          <cell r="AG378" t="str">
            <v>WILLIAMS-SONOMA INC</v>
          </cell>
          <cell r="AH378" t="str">
            <v>REGULAR</v>
          </cell>
          <cell r="AI378">
            <v>45041</v>
          </cell>
          <cell r="AJ378">
            <v>45051</v>
          </cell>
          <cell r="AK378"/>
          <cell r="AL378">
            <v>45050</v>
          </cell>
          <cell r="AM378">
            <v>45050</v>
          </cell>
          <cell r="AN378"/>
          <cell r="AO378">
            <v>45051</v>
          </cell>
          <cell r="AP378" t="str">
            <v>ON HOLD</v>
          </cell>
        </row>
        <row r="379">
          <cell r="A379">
            <v>96231150361</v>
          </cell>
          <cell r="B379" t="str">
            <v>EE-QTY</v>
          </cell>
          <cell r="C379">
            <v>0</v>
          </cell>
          <cell r="D379">
            <v>0</v>
          </cell>
          <cell r="E379" t="str">
            <v>LYNN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EE REPORT</v>
          </cell>
          <cell r="AC379">
            <v>0</v>
          </cell>
          <cell r="AD379">
            <v>0</v>
          </cell>
          <cell r="AE379">
            <v>0</v>
          </cell>
          <cell r="AF379" t="str">
            <v>LIBRA PACIFIC CO LTD (TAIWAN).</v>
          </cell>
          <cell r="AG379" t="str">
            <v>MICHAELS GLOBAL SOURCING LLC</v>
          </cell>
          <cell r="AH379" t="str">
            <v>REGULAR</v>
          </cell>
          <cell r="AI379">
            <v>45041</v>
          </cell>
          <cell r="AJ379">
            <v>45041</v>
          </cell>
          <cell r="AK379">
            <v>45052</v>
          </cell>
          <cell r="AL379">
            <v>45058</v>
          </cell>
          <cell r="AM379">
            <v>45058</v>
          </cell>
          <cell r="AN379"/>
          <cell r="AO379">
            <v>45059</v>
          </cell>
          <cell r="AP379" t="str">
            <v>OFF HOLD</v>
          </cell>
        </row>
        <row r="380">
          <cell r="A380">
            <v>96231150386</v>
          </cell>
          <cell r="B380" t="str">
            <v>US2</v>
          </cell>
          <cell r="C380">
            <v>0</v>
          </cell>
          <cell r="D380">
            <v>0</v>
          </cell>
          <cell r="E380" t="str">
            <v>FLO</v>
          </cell>
          <cell r="F380">
            <v>0</v>
          </cell>
          <cell r="G380" t="str">
            <v>R</v>
          </cell>
          <cell r="H380">
            <v>0</v>
          </cell>
          <cell r="I380">
            <v>0</v>
          </cell>
          <cell r="J380" t="str">
            <v>H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 t="str">
            <v>Q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3</v>
          </cell>
          <cell r="AB380" t="str">
            <v>H, R, Q</v>
          </cell>
          <cell r="AC380">
            <v>0</v>
          </cell>
          <cell r="AD380" t="str">
            <v>YES</v>
          </cell>
          <cell r="AE380" t="str">
            <v xml:space="preserve">05/06: wait confirm PI </v>
          </cell>
          <cell r="AF380" t="str">
            <v>GOING STRONG ENTERPRISE CO LTD</v>
          </cell>
          <cell r="AG380" t="str">
            <v xml:space="preserve">CRATE &amp; BARREL </v>
          </cell>
          <cell r="AH380" t="str">
            <v>REGULAR</v>
          </cell>
          <cell r="AI380">
            <v>45041</v>
          </cell>
          <cell r="AJ380">
            <v>45050</v>
          </cell>
          <cell r="AK380"/>
          <cell r="AL380">
            <v>45052</v>
          </cell>
          <cell r="AM380">
            <v>45052</v>
          </cell>
          <cell r="AN380">
            <v>45051</v>
          </cell>
          <cell r="AO380">
            <v>45052</v>
          </cell>
          <cell r="AP380" t="str">
            <v>ON HOLD</v>
          </cell>
        </row>
        <row r="381">
          <cell r="A381">
            <v>96231150389</v>
          </cell>
          <cell r="B381" t="str">
            <v>US2</v>
          </cell>
          <cell r="C381">
            <v>0</v>
          </cell>
          <cell r="D381">
            <v>0</v>
          </cell>
          <cell r="E381" t="str">
            <v>FLO</v>
          </cell>
          <cell r="F381">
            <v>0</v>
          </cell>
          <cell r="G381" t="str">
            <v>R</v>
          </cell>
          <cell r="H381">
            <v>0</v>
          </cell>
          <cell r="I381">
            <v>0</v>
          </cell>
          <cell r="J381" t="str">
            <v>H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 t="str">
            <v>Q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3</v>
          </cell>
          <cell r="AB381" t="str">
            <v>H, R, Q</v>
          </cell>
          <cell r="AC381">
            <v>0</v>
          </cell>
          <cell r="AD381" t="str">
            <v>YES</v>
          </cell>
          <cell r="AE381" t="str">
            <v xml:space="preserve">05/06: wait confirm PI </v>
          </cell>
          <cell r="AF381" t="str">
            <v>GOING STRONG ENTERPRISE CO LTD</v>
          </cell>
          <cell r="AG381" t="str">
            <v xml:space="preserve">CRATE &amp; BARREL </v>
          </cell>
          <cell r="AH381" t="str">
            <v>REGULAR</v>
          </cell>
          <cell r="AI381">
            <v>45041</v>
          </cell>
          <cell r="AJ381">
            <v>45050</v>
          </cell>
          <cell r="AK381"/>
          <cell r="AL381">
            <v>45052</v>
          </cell>
          <cell r="AM381">
            <v>45052</v>
          </cell>
          <cell r="AN381">
            <v>45051</v>
          </cell>
          <cell r="AO381">
            <v>45052</v>
          </cell>
          <cell r="AP381" t="str">
            <v>ON HOLD</v>
          </cell>
        </row>
        <row r="382">
          <cell r="A382">
            <v>96231150407</v>
          </cell>
          <cell r="B382" t="str">
            <v>USD</v>
          </cell>
          <cell r="C382" t="str">
            <v>done</v>
          </cell>
          <cell r="D382" t="str">
            <v>NGHIA</v>
          </cell>
          <cell r="E382" t="str">
            <v>MIN</v>
          </cell>
          <cell r="F382" t="str">
            <v>DONE 0509
MAKING 0508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Z</v>
          </cell>
          <cell r="AC382">
            <v>0</v>
          </cell>
          <cell r="AD382" t="str">
            <v>YES</v>
          </cell>
          <cell r="AE382" t="str">
            <v>0506: CSE</v>
          </cell>
          <cell r="AF382" t="str">
            <v>JARDINE ENTERPRISE LTD.</v>
          </cell>
          <cell r="AG382" t="str">
            <v>JARDINE ENTERPRISE LTD.</v>
          </cell>
          <cell r="AH382" t="str">
            <v>REGULAR</v>
          </cell>
          <cell r="AI382">
            <v>45041</v>
          </cell>
          <cell r="AJ382">
            <v>45049</v>
          </cell>
          <cell r="AK382">
            <v>45049</v>
          </cell>
          <cell r="AL382">
            <v>45055</v>
          </cell>
          <cell r="AM382">
            <v>45055</v>
          </cell>
          <cell r="AN382"/>
          <cell r="AO382">
            <v>45056</v>
          </cell>
          <cell r="AP382" t="str">
            <v>MUST</v>
          </cell>
        </row>
        <row r="383">
          <cell r="A383">
            <v>96231150441</v>
          </cell>
          <cell r="B383" t="str">
            <v>JP</v>
          </cell>
          <cell r="C383">
            <v>0</v>
          </cell>
          <cell r="D383" t="str">
            <v>DUC</v>
          </cell>
          <cell r="E383" t="str">
            <v>ELV</v>
          </cell>
          <cell r="F383" t="str">
            <v>DONE 0506
FIRST MAKING 0504-AN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J, Q</v>
          </cell>
          <cell r="AC383">
            <v>0</v>
          </cell>
          <cell r="AD383" t="str">
            <v>YES</v>
          </cell>
          <cell r="AE383">
            <v>0</v>
          </cell>
          <cell r="AF383" t="str">
            <v>YANG CHENG WOODEN INDUSTRIES INTERNATIONAL (VIETNAM) CO LTD</v>
          </cell>
          <cell r="AG383" t="str">
            <v>WILLIAMS-SONOMA INC</v>
          </cell>
          <cell r="AH383" t="str">
            <v>REGULAR</v>
          </cell>
          <cell r="AI383">
            <v>45041</v>
          </cell>
          <cell r="AJ383">
            <v>45050</v>
          </cell>
          <cell r="AK383">
            <v>45051</v>
          </cell>
          <cell r="AL383">
            <v>45056</v>
          </cell>
          <cell r="AM383">
            <v>45056</v>
          </cell>
          <cell r="AN383"/>
          <cell r="AO383">
            <v>45057</v>
          </cell>
          <cell r="AP383" t="str">
            <v>OFF HOLD</v>
          </cell>
        </row>
        <row r="384">
          <cell r="A384">
            <v>96231150480</v>
          </cell>
          <cell r="B384" t="str">
            <v>US2</v>
          </cell>
          <cell r="C384">
            <v>0</v>
          </cell>
          <cell r="D384">
            <v>0</v>
          </cell>
          <cell r="E384" t="str">
            <v>FLO</v>
          </cell>
          <cell r="F384">
            <v>0</v>
          </cell>
          <cell r="G384" t="str">
            <v>R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1</v>
          </cell>
          <cell r="AB384" t="str">
            <v>R</v>
          </cell>
          <cell r="AC384">
            <v>0</v>
          </cell>
          <cell r="AD384" t="str">
            <v>YES</v>
          </cell>
          <cell r="AE384" t="str">
            <v>05/05: no CS pending</v>
          </cell>
          <cell r="AF384" t="str">
            <v>LIVING STYLE (SINGAPORE) PTE LIMITED</v>
          </cell>
          <cell r="AG384" t="str">
            <v>LIVING STYLE (SINGAPORE) PTE LIMITED</v>
          </cell>
          <cell r="AH384" t="str">
            <v>REGULAR</v>
          </cell>
          <cell r="AI384">
            <v>45042</v>
          </cell>
          <cell r="AJ384">
            <v>45051</v>
          </cell>
          <cell r="AK384">
            <v>45051</v>
          </cell>
          <cell r="AL384">
            <v>45056</v>
          </cell>
          <cell r="AM384">
            <v>45056</v>
          </cell>
          <cell r="AN384"/>
          <cell r="AO384">
            <v>45057</v>
          </cell>
          <cell r="AP384" t="str">
            <v>OFF HOLD</v>
          </cell>
        </row>
        <row r="385">
          <cell r="A385">
            <v>96231150681</v>
          </cell>
          <cell r="B385" t="str">
            <v>EE-QTY</v>
          </cell>
          <cell r="C385">
            <v>0</v>
          </cell>
          <cell r="D385">
            <v>0</v>
          </cell>
          <cell r="E385" t="str">
            <v>VAN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EE REPORT</v>
          </cell>
          <cell r="AC385">
            <v>0</v>
          </cell>
          <cell r="AD385">
            <v>0</v>
          </cell>
          <cell r="AE385">
            <v>0</v>
          </cell>
          <cell r="AF385" t="str">
            <v>SAUDER WOODWORKING COMPANY</v>
          </cell>
          <cell r="AG385" t="str">
            <v>SAUDER WOODWORKING COMPANY</v>
          </cell>
          <cell r="AH385" t="str">
            <v>REGULAR</v>
          </cell>
          <cell r="AI385">
            <v>45041</v>
          </cell>
          <cell r="AJ385">
            <v>45054</v>
          </cell>
          <cell r="AK385"/>
          <cell r="AL385">
            <v>45041</v>
          </cell>
          <cell r="AM385">
            <v>45041</v>
          </cell>
          <cell r="AN385"/>
          <cell r="AO385">
            <v>45041</v>
          </cell>
          <cell r="AP385" t="str">
            <v>ON HOLD</v>
          </cell>
        </row>
        <row r="386">
          <cell r="A386">
            <v>96231150694</v>
          </cell>
          <cell r="B386" t="str">
            <v>US2</v>
          </cell>
          <cell r="C386">
            <v>0</v>
          </cell>
          <cell r="D386">
            <v>0</v>
          </cell>
          <cell r="E386" t="str">
            <v>FLO</v>
          </cell>
          <cell r="F386">
            <v>0</v>
          </cell>
          <cell r="G386" t="str">
            <v>R</v>
          </cell>
          <cell r="H386">
            <v>0</v>
          </cell>
          <cell r="I386">
            <v>0</v>
          </cell>
          <cell r="J386" t="str">
            <v>H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 t="str">
            <v>V</v>
          </cell>
          <cell r="X386">
            <v>0</v>
          </cell>
          <cell r="Y386">
            <v>0</v>
          </cell>
          <cell r="Z386">
            <v>0</v>
          </cell>
          <cell r="AA386">
            <v>3</v>
          </cell>
          <cell r="AB386" t="str">
            <v>H, R, P, L, Q, V</v>
          </cell>
          <cell r="AC386">
            <v>0</v>
          </cell>
          <cell r="AD386">
            <v>0</v>
          </cell>
          <cell r="AE386" t="str">
            <v>04/27: wait confirm PI, doc</v>
          </cell>
          <cell r="AF386" t="str">
            <v>HOA HUONG DUONG FURNITURE CO LTD</v>
          </cell>
          <cell r="AG386" t="str">
            <v>AT HOME STORES LLC</v>
          </cell>
          <cell r="AH386" t="str">
            <v>REGULAR</v>
          </cell>
          <cell r="AI386">
            <v>45042</v>
          </cell>
          <cell r="AJ386">
            <v>45051</v>
          </cell>
          <cell r="AK386"/>
          <cell r="AL386">
            <v>45051</v>
          </cell>
          <cell r="AM386">
            <v>45051</v>
          </cell>
          <cell r="AN386"/>
          <cell r="AO386">
            <v>45052</v>
          </cell>
          <cell r="AP386" t="str">
            <v>ON HOLD</v>
          </cell>
        </row>
        <row r="387">
          <cell r="A387">
            <v>96231150696</v>
          </cell>
          <cell r="B387" t="str">
            <v>US1</v>
          </cell>
          <cell r="C387">
            <v>0</v>
          </cell>
          <cell r="D387">
            <v>0</v>
          </cell>
          <cell r="E387" t="str">
            <v>MIN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 t="str">
            <v>H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1</v>
          </cell>
          <cell r="AB387" t="str">
            <v>H</v>
          </cell>
          <cell r="AC387">
            <v>0</v>
          </cell>
          <cell r="AD387">
            <v>0</v>
          </cell>
          <cell r="AE387" t="str">
            <v>0508: pend AI of ATK - 0428: recheck if need label test</v>
          </cell>
          <cell r="AF387" t="str">
            <v>SAUDER WOODWORKING COMPANY</v>
          </cell>
          <cell r="AG387" t="str">
            <v>SAUDER WOODWORKING COMPANY</v>
          </cell>
          <cell r="AH387" t="str">
            <v>REGULAR</v>
          </cell>
          <cell r="AI387">
            <v>45042</v>
          </cell>
          <cell r="AJ387">
            <v>45054</v>
          </cell>
          <cell r="AK387">
            <v>45054</v>
          </cell>
          <cell r="AL387">
            <v>45058</v>
          </cell>
          <cell r="AM387">
            <v>45058</v>
          </cell>
          <cell r="AN387"/>
          <cell r="AO387">
            <v>45059</v>
          </cell>
          <cell r="AP387" t="str">
            <v>OFF HOLD</v>
          </cell>
        </row>
        <row r="388">
          <cell r="A388">
            <v>96231150701</v>
          </cell>
          <cell r="B388" t="str">
            <v>US1</v>
          </cell>
          <cell r="C388">
            <v>0</v>
          </cell>
          <cell r="D388">
            <v>0</v>
          </cell>
          <cell r="E388" t="str">
            <v>MIN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 t="str">
            <v>H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1</v>
          </cell>
          <cell r="AB388" t="str">
            <v>H</v>
          </cell>
          <cell r="AC388">
            <v>0</v>
          </cell>
          <cell r="AD388">
            <v>0</v>
          </cell>
          <cell r="AE388" t="str">
            <v>0508: pend AI of ATK - 0428: recheck if need label test</v>
          </cell>
          <cell r="AF388" t="str">
            <v>SAUDER WOODWORKING COMPANY</v>
          </cell>
          <cell r="AG388" t="str">
            <v>SAUDER WOODWORKING COMPANY</v>
          </cell>
          <cell r="AH388" t="str">
            <v>REGULAR</v>
          </cell>
          <cell r="AI388">
            <v>45042</v>
          </cell>
          <cell r="AJ388">
            <v>45054</v>
          </cell>
          <cell r="AK388">
            <v>45054</v>
          </cell>
          <cell r="AL388">
            <v>45058</v>
          </cell>
          <cell r="AM388">
            <v>45058</v>
          </cell>
          <cell r="AN388"/>
          <cell r="AO388">
            <v>45059</v>
          </cell>
          <cell r="AP388" t="str">
            <v>OFF HOLD</v>
          </cell>
        </row>
        <row r="389">
          <cell r="A389">
            <v>96231150712</v>
          </cell>
          <cell r="B389" t="str">
            <v>TY</v>
          </cell>
          <cell r="C389">
            <v>0</v>
          </cell>
          <cell r="D389">
            <v>0</v>
          </cell>
          <cell r="E389" t="str">
            <v>FLO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 t="str">
            <v>H</v>
          </cell>
          <cell r="K389" t="str">
            <v>T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 t="str">
            <v>M</v>
          </cell>
          <cell r="T389">
            <v>0</v>
          </cell>
          <cell r="U389" t="str">
            <v>A</v>
          </cell>
          <cell r="V389" t="str">
            <v>Q</v>
          </cell>
          <cell r="W389" t="str">
            <v>V</v>
          </cell>
          <cell r="X389">
            <v>0</v>
          </cell>
          <cell r="Y389" t="str">
            <v>B</v>
          </cell>
          <cell r="Z389">
            <v>0</v>
          </cell>
          <cell r="AA389">
            <v>7</v>
          </cell>
          <cell r="AB389" t="str">
            <v>H, T, M, A, Q, V, B</v>
          </cell>
          <cell r="AC389">
            <v>0</v>
          </cell>
          <cell r="AD389">
            <v>0</v>
          </cell>
          <cell r="AE389" t="str">
            <v>05/06: pend doc, checking age grade</v>
          </cell>
          <cell r="AF389" t="str">
            <v>KUKKIA CO LTD</v>
          </cell>
          <cell r="AG389" t="str">
            <v>KUKKIA CO LTD</v>
          </cell>
          <cell r="AH389" t="str">
            <v>REGULAR</v>
          </cell>
          <cell r="AI389">
            <v>45042</v>
          </cell>
          <cell r="AJ389">
            <v>45050</v>
          </cell>
          <cell r="AK389">
            <v>45044</v>
          </cell>
          <cell r="AL389">
            <v>45052</v>
          </cell>
          <cell r="AM389">
            <v>45052</v>
          </cell>
          <cell r="AN389"/>
          <cell r="AO389">
            <v>45054</v>
          </cell>
          <cell r="AP389" t="str">
            <v>ON HOLD</v>
          </cell>
        </row>
        <row r="390">
          <cell r="A390">
            <v>96231160002</v>
          </cell>
          <cell r="B390" t="str">
            <v>US2</v>
          </cell>
          <cell r="C390">
            <v>0</v>
          </cell>
          <cell r="D390">
            <v>0</v>
          </cell>
          <cell r="E390" t="str">
            <v>VAN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 t="str">
            <v>H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 t="str">
            <v>A</v>
          </cell>
          <cell r="V390" t="str">
            <v>Q</v>
          </cell>
          <cell r="W390" t="str">
            <v>V</v>
          </cell>
          <cell r="X390">
            <v>0</v>
          </cell>
          <cell r="Y390">
            <v>0</v>
          </cell>
          <cell r="Z390">
            <v>0</v>
          </cell>
          <cell r="AA390">
            <v>4</v>
          </cell>
          <cell r="AB390" t="str">
            <v>H, A, Q, V</v>
          </cell>
          <cell r="AC390">
            <v>0</v>
          </cell>
          <cell r="AD390" t="str">
            <v>YES</v>
          </cell>
          <cell r="AE390" t="str">
            <v>5/3: pend docs, extra</v>
          </cell>
          <cell r="AF390" t="str">
            <v>DELTA ENTERPRISE CORP. D/B/A DELTA CHILDREN'S PRODUCTS</v>
          </cell>
          <cell r="AG390" t="str">
            <v>DELTA ENTERPRISE CORP. D/B/A DELTA CHILDREN'S PRODUCTS</v>
          </cell>
          <cell r="AH390" t="str">
            <v>REGULAR</v>
          </cell>
          <cell r="AI390">
            <v>45042</v>
          </cell>
          <cell r="AJ390">
            <v>45049</v>
          </cell>
          <cell r="AK390"/>
          <cell r="AL390">
            <v>45051</v>
          </cell>
          <cell r="AM390">
            <v>45051</v>
          </cell>
          <cell r="AN390"/>
          <cell r="AO390">
            <v>45052</v>
          </cell>
          <cell r="AP390" t="str">
            <v>ON HOLD</v>
          </cell>
        </row>
        <row r="391">
          <cell r="A391">
            <v>96231160077</v>
          </cell>
          <cell r="B391" t="str">
            <v>TY</v>
          </cell>
          <cell r="C391">
            <v>0</v>
          </cell>
          <cell r="D391">
            <v>0</v>
          </cell>
          <cell r="E391" t="str">
            <v>ELV</v>
          </cell>
          <cell r="F391" t="str">
            <v>FIRST MAKING 0428-AN, SL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 t="str">
            <v>Q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1</v>
          </cell>
          <cell r="AB391" t="str">
            <v>H, T, W, F, L, A, Q, V</v>
          </cell>
          <cell r="AC391" t="str">
            <v>x</v>
          </cell>
          <cell r="AD391" t="str">
            <v>YES</v>
          </cell>
          <cell r="AE391" t="str">
            <v xml:space="preserve">0428: Wait extra sample </v>
          </cell>
          <cell r="AF391" t="str">
            <v>DREAM INTERNATIONAL LIMITED</v>
          </cell>
          <cell r="AG391" t="str">
            <v>HONG KONG INTERNATIONAL THEME PARKS LTD</v>
          </cell>
          <cell r="AH391" t="str">
            <v>REGULAR</v>
          </cell>
          <cell r="AI391">
            <v>45042</v>
          </cell>
          <cell r="AJ391">
            <v>45049</v>
          </cell>
          <cell r="AK391">
            <v>45050</v>
          </cell>
          <cell r="AL391">
            <v>45055</v>
          </cell>
          <cell r="AM391">
            <v>45055</v>
          </cell>
          <cell r="AN391"/>
          <cell r="AO391">
            <v>45056</v>
          </cell>
          <cell r="AP391" t="str">
            <v>MUST</v>
          </cell>
        </row>
        <row r="392">
          <cell r="A392">
            <v>96231160116</v>
          </cell>
          <cell r="B392" t="str">
            <v>EU</v>
          </cell>
          <cell r="C392">
            <v>0</v>
          </cell>
          <cell r="D392">
            <v>0</v>
          </cell>
          <cell r="E392" t="str">
            <v>VAN</v>
          </cell>
          <cell r="F392" t="str">
            <v>FIRST MAKING 0505-AN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 t="str">
            <v>Q</v>
          </cell>
          <cell r="W392" t="str">
            <v>V</v>
          </cell>
          <cell r="X392">
            <v>0</v>
          </cell>
          <cell r="Y392">
            <v>0</v>
          </cell>
          <cell r="Z392">
            <v>0</v>
          </cell>
          <cell r="AA392">
            <v>2</v>
          </cell>
          <cell r="AB392" t="str">
            <v>E, Q, V</v>
          </cell>
          <cell r="AC392">
            <v>0</v>
          </cell>
          <cell r="AD392">
            <v>0</v>
          </cell>
          <cell r="AE392" t="str">
            <v xml:space="preserve">4/28: no CS pend </v>
          </cell>
          <cell r="AF392" t="str">
            <v>HIEN UYEN VI CO LTD</v>
          </cell>
          <cell r="AG392" t="str">
            <v>HIEN UYEN VI CO LTD</v>
          </cell>
          <cell r="AH392" t="str">
            <v>REGULAR</v>
          </cell>
          <cell r="AI392">
            <v>45042</v>
          </cell>
          <cell r="AJ392">
            <v>45042</v>
          </cell>
          <cell r="AK392">
            <v>45044</v>
          </cell>
          <cell r="AL392">
            <v>45054</v>
          </cell>
          <cell r="AM392">
            <v>45054</v>
          </cell>
          <cell r="AN392"/>
          <cell r="AO392">
            <v>45055</v>
          </cell>
          <cell r="AP392" t="str">
            <v>DUE</v>
          </cell>
        </row>
        <row r="393">
          <cell r="A393">
            <v>96231160155</v>
          </cell>
          <cell r="B393" t="str">
            <v>US2</v>
          </cell>
          <cell r="C393">
            <v>0</v>
          </cell>
          <cell r="D393">
            <v>0</v>
          </cell>
          <cell r="E393" t="str">
            <v>FLO</v>
          </cell>
          <cell r="F393">
            <v>0</v>
          </cell>
          <cell r="G393" t="str">
            <v>R</v>
          </cell>
          <cell r="H393">
            <v>0</v>
          </cell>
          <cell r="I393">
            <v>0</v>
          </cell>
          <cell r="J393" t="str">
            <v>H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2</v>
          </cell>
          <cell r="AB393" t="str">
            <v>H, R</v>
          </cell>
          <cell r="AC393">
            <v>0</v>
          </cell>
          <cell r="AD393" t="str">
            <v>YES</v>
          </cell>
          <cell r="AE393" t="str">
            <v>05/05: CSE - already take local report</v>
          </cell>
          <cell r="AF393" t="str">
            <v>GOING STRONG ENTERPRISE CO LTD</v>
          </cell>
          <cell r="AG393" t="str">
            <v xml:space="preserve">CRATE &amp; BARREL </v>
          </cell>
          <cell r="AH393" t="str">
            <v>REGULAR</v>
          </cell>
          <cell r="AI393">
            <v>45042</v>
          </cell>
          <cell r="AJ393">
            <v>45051</v>
          </cell>
          <cell r="AK393">
            <v>45052</v>
          </cell>
          <cell r="AL393">
            <v>45057</v>
          </cell>
          <cell r="AM393">
            <v>45057</v>
          </cell>
          <cell r="AN393"/>
          <cell r="AO393">
            <v>45058</v>
          </cell>
          <cell r="AP393" t="str">
            <v>OFF HOLD</v>
          </cell>
        </row>
        <row r="394">
          <cell r="A394">
            <v>96231160218</v>
          </cell>
          <cell r="B394" t="str">
            <v>EU-RF SP 96231160172</v>
          </cell>
          <cell r="C394" t="str">
            <v>Issue today</v>
          </cell>
          <cell r="D394">
            <v>0</v>
          </cell>
          <cell r="E394" t="str">
            <v>SHE</v>
          </cell>
          <cell r="F394" t="str">
            <v>FIRST MAKING 0509-SL</v>
          </cell>
          <cell r="G394">
            <v>0</v>
          </cell>
          <cell r="H394"/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 t="str">
            <v>P</v>
          </cell>
          <cell r="P394">
            <v>0</v>
          </cell>
          <cell r="Q394" t="str">
            <v>F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2</v>
          </cell>
          <cell r="AB394" t="str">
            <v>P, F</v>
          </cell>
          <cell r="AC394">
            <v>0</v>
          </cell>
          <cell r="AD394">
            <v>0</v>
          </cell>
          <cell r="AE394" t="str">
            <v>5/6: no pending cs</v>
          </cell>
          <cell r="AF394" t="str">
            <v>CAREZZA LTD</v>
          </cell>
          <cell r="AG394" t="str">
            <v>CAREZZA LTD</v>
          </cell>
          <cell r="AH394" t="str">
            <v>REGULAR</v>
          </cell>
          <cell r="AI394">
            <v>45042</v>
          </cell>
          <cell r="AJ394"/>
          <cell r="AK394"/>
          <cell r="AL394">
            <v>45051</v>
          </cell>
          <cell r="AM394">
            <v>45051</v>
          </cell>
          <cell r="AN394"/>
          <cell r="AO394">
            <v>45052</v>
          </cell>
          <cell r="AP394" t="str">
            <v>LATE</v>
          </cell>
        </row>
        <row r="395">
          <cell r="A395">
            <v>96231160294</v>
          </cell>
          <cell r="B395" t="str">
            <v>CD-USD</v>
          </cell>
          <cell r="C395">
            <v>0</v>
          </cell>
          <cell r="D395">
            <v>0</v>
          </cell>
          <cell r="E395" t="str">
            <v>VAN</v>
          </cell>
          <cell r="F395" t="str">
            <v xml:space="preserve">
FIRST MAKING 0504-CD</v>
          </cell>
          <cell r="G395">
            <v>0</v>
          </cell>
          <cell r="H395">
            <v>0</v>
          </cell>
          <cell r="I395">
            <v>0</v>
          </cell>
          <cell r="J395" t="str">
            <v>H</v>
          </cell>
          <cell r="K395">
            <v>0</v>
          </cell>
          <cell r="L395">
            <v>0</v>
          </cell>
          <cell r="M395" t="str">
            <v>C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 t="str">
            <v>B</v>
          </cell>
          <cell r="Z395">
            <v>0</v>
          </cell>
          <cell r="AA395">
            <v>3</v>
          </cell>
          <cell r="AB395" t="str">
            <v>H, Z, C, A, Q, V, X, B</v>
          </cell>
          <cell r="AC395" t="str">
            <v>x</v>
          </cell>
          <cell r="AD395" t="str">
            <v>YES</v>
          </cell>
          <cell r="AE395" t="str">
            <v>must issue on 5/14; 4/28: waiting revised TRF, documents</v>
          </cell>
          <cell r="AF395" t="str">
            <v>FLEMING INTERNATIONAL VIETNAM LIMITED</v>
          </cell>
          <cell r="AG395" t="str">
            <v>TARGET CORPORATION</v>
          </cell>
          <cell r="AH395" t="str">
            <v>REGULAR</v>
          </cell>
          <cell r="AI395">
            <v>45042</v>
          </cell>
          <cell r="AJ395">
            <v>45042</v>
          </cell>
          <cell r="AK395">
            <v>45049</v>
          </cell>
          <cell r="AL395">
            <v>45063</v>
          </cell>
          <cell r="AM395">
            <v>45063</v>
          </cell>
          <cell r="AN395">
            <v>45068</v>
          </cell>
          <cell r="AO395">
            <v>45064</v>
          </cell>
          <cell r="AP395" t="str">
            <v>OFF HOLD</v>
          </cell>
        </row>
        <row r="396">
          <cell r="A396">
            <v>96231160340</v>
          </cell>
          <cell r="B396" t="str">
            <v>TY</v>
          </cell>
          <cell r="C396">
            <v>0</v>
          </cell>
          <cell r="D396">
            <v>0</v>
          </cell>
          <cell r="E396" t="str">
            <v>ELV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 t="str">
            <v>T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 t="str">
            <v>W</v>
          </cell>
          <cell r="Q396" t="str">
            <v>F</v>
          </cell>
          <cell r="R396" t="str">
            <v>L</v>
          </cell>
          <cell r="S396" t="str">
            <v>M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5</v>
          </cell>
          <cell r="AB396" t="str">
            <v>T, W, F, L, M, A, Q, V, X</v>
          </cell>
          <cell r="AC396">
            <v>0</v>
          </cell>
          <cell r="AD396" t="str">
            <v>YES</v>
          </cell>
          <cell r="AE396" t="str">
            <v>0505: No CS pending</v>
          </cell>
          <cell r="AF396" t="str">
            <v>DREAM INTERNATIONAL LIMITED</v>
          </cell>
          <cell r="AG396" t="str">
            <v>THE DISNEY STORE EUROPE</v>
          </cell>
          <cell r="AH396" t="str">
            <v>REGULAR</v>
          </cell>
          <cell r="AI396">
            <v>45042</v>
          </cell>
          <cell r="AJ396"/>
          <cell r="AK396"/>
          <cell r="AL396">
            <v>45051</v>
          </cell>
          <cell r="AM396">
            <v>45051</v>
          </cell>
          <cell r="AN396">
            <v>45052</v>
          </cell>
          <cell r="AO396">
            <v>45051</v>
          </cell>
          <cell r="AP396" t="str">
            <v>LATE</v>
          </cell>
        </row>
        <row r="397">
          <cell r="A397">
            <v>96231160361</v>
          </cell>
          <cell r="B397" t="str">
            <v>TY</v>
          </cell>
          <cell r="C397">
            <v>0</v>
          </cell>
          <cell r="D397" t="str">
            <v>NGHIA</v>
          </cell>
          <cell r="E397" t="str">
            <v>ELV</v>
          </cell>
          <cell r="F397" t="str">
            <v>DONE 0506
MAKING 0506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T, W, F, L, M, A, Q, V, X</v>
          </cell>
          <cell r="AC397">
            <v>0</v>
          </cell>
          <cell r="AD397" t="str">
            <v>YES</v>
          </cell>
          <cell r="AE397" t="str">
            <v>0505: No CS pending</v>
          </cell>
          <cell r="AF397" t="str">
            <v>DREAM INTERNATIONAL LIMITED</v>
          </cell>
          <cell r="AG397" t="str">
            <v>THE DISNEY STORE EUROPE</v>
          </cell>
          <cell r="AH397" t="str">
            <v>REGULAR</v>
          </cell>
          <cell r="AI397">
            <v>45042</v>
          </cell>
          <cell r="AJ397"/>
          <cell r="AK397"/>
          <cell r="AL397">
            <v>45051</v>
          </cell>
          <cell r="AM397">
            <v>45051</v>
          </cell>
          <cell r="AN397">
            <v>45052</v>
          </cell>
          <cell r="AO397">
            <v>45051</v>
          </cell>
          <cell r="AP397" t="str">
            <v>LATE</v>
          </cell>
        </row>
        <row r="398">
          <cell r="A398">
            <v>96231160362</v>
          </cell>
          <cell r="B398" t="str">
            <v>TY-RF SP 96230660124</v>
          </cell>
          <cell r="C398">
            <v>0</v>
          </cell>
          <cell r="D398">
            <v>0</v>
          </cell>
          <cell r="E398" t="str">
            <v>TAN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 t="str">
            <v>T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 t="str">
            <v xml:space="preserve"> 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 t="str">
            <v>X</v>
          </cell>
          <cell r="Y398">
            <v>0</v>
          </cell>
          <cell r="Z398">
            <v>0</v>
          </cell>
          <cell r="AA398">
            <v>3</v>
          </cell>
          <cell r="AB398" t="str">
            <v>T, W, F, L, A, Q, V, X</v>
          </cell>
          <cell r="AC398">
            <v>0</v>
          </cell>
          <cell r="AD398" t="str">
            <v>YES</v>
          </cell>
          <cell r="AE398" t="str">
            <v xml:space="preserve">5/4: no cs pend 4/27: PI confirmed </v>
          </cell>
          <cell r="AF398" t="str">
            <v>INNOFLOW KOREA COMPANY LIMITED</v>
          </cell>
          <cell r="AG398" t="str">
            <v>EURO DISNEY ASSOCIES S.A.S</v>
          </cell>
          <cell r="AH398" t="str">
            <v>REGULAR</v>
          </cell>
          <cell r="AI398">
            <v>45042</v>
          </cell>
          <cell r="AJ398">
            <v>45043</v>
          </cell>
          <cell r="AK398">
            <v>45043</v>
          </cell>
          <cell r="AL398">
            <v>45056</v>
          </cell>
          <cell r="AM398">
            <v>45056</v>
          </cell>
          <cell r="AN398"/>
          <cell r="AO398">
            <v>45057</v>
          </cell>
          <cell r="AP398" t="str">
            <v>OFF HOLD</v>
          </cell>
        </row>
        <row r="399">
          <cell r="A399">
            <v>96231160363</v>
          </cell>
          <cell r="B399" t="str">
            <v>US2</v>
          </cell>
          <cell r="C399">
            <v>0</v>
          </cell>
          <cell r="D399">
            <v>0</v>
          </cell>
          <cell r="E399" t="str">
            <v>TAN</v>
          </cell>
          <cell r="F399">
            <v>0</v>
          </cell>
          <cell r="G399" t="str">
            <v>R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1</v>
          </cell>
          <cell r="AB399" t="str">
            <v>R</v>
          </cell>
          <cell r="AC399">
            <v>0</v>
          </cell>
          <cell r="AD399">
            <v>0</v>
          </cell>
          <cell r="AE399" t="str">
            <v xml:space="preserve">5/4: no cs pend </v>
          </cell>
          <cell r="AF399" t="str">
            <v>SAN FA VN CO LTD</v>
          </cell>
          <cell r="AG399" t="str">
            <v>RTG FURNITURE CORP.</v>
          </cell>
          <cell r="AH399" t="str">
            <v>REGULAR</v>
          </cell>
          <cell r="AI399">
            <v>45042</v>
          </cell>
          <cell r="AJ399">
            <v>45051</v>
          </cell>
          <cell r="AK399"/>
          <cell r="AL399">
            <v>45051</v>
          </cell>
          <cell r="AM399">
            <v>45051</v>
          </cell>
          <cell r="AN399"/>
          <cell r="AO399">
            <v>45052</v>
          </cell>
          <cell r="AP399" t="str">
            <v>ON HOLD</v>
          </cell>
        </row>
        <row r="400">
          <cell r="A400">
            <v>96231160364</v>
          </cell>
          <cell r="B400" t="str">
            <v>TY-RF SP 96230660146</v>
          </cell>
          <cell r="C400">
            <v>0</v>
          </cell>
          <cell r="D400">
            <v>0</v>
          </cell>
          <cell r="E400" t="str">
            <v>TAN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 t="str">
            <v>T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 t="str">
            <v>F</v>
          </cell>
          <cell r="R400">
            <v>0</v>
          </cell>
          <cell r="S400">
            <v>0</v>
          </cell>
          <cell r="T400">
            <v>0</v>
          </cell>
          <cell r="U400" t="str">
            <v>A</v>
          </cell>
          <cell r="V400" t="str">
            <v>Q</v>
          </cell>
          <cell r="W400" t="str">
            <v>V</v>
          </cell>
          <cell r="X400" t="str">
            <v>X</v>
          </cell>
          <cell r="Y400">
            <v>0</v>
          </cell>
          <cell r="Z400">
            <v>0</v>
          </cell>
          <cell r="AA400">
            <v>6</v>
          </cell>
          <cell r="AB400" t="str">
            <v>T, W, F, L, A, Q, V, X</v>
          </cell>
          <cell r="AC400">
            <v>0</v>
          </cell>
          <cell r="AD400" t="str">
            <v>YES</v>
          </cell>
          <cell r="AE400">
            <v>0</v>
          </cell>
          <cell r="AF400" t="str">
            <v>INNOFLOW KOREA COMPANY LIMITED</v>
          </cell>
          <cell r="AG400" t="str">
            <v>EURO DISNEY ASSOCIES S.A.S</v>
          </cell>
          <cell r="AH400" t="str">
            <v>REGULAR</v>
          </cell>
          <cell r="AI400">
            <v>45042</v>
          </cell>
          <cell r="AJ400">
            <v>45050</v>
          </cell>
          <cell r="AK400">
            <v>45050</v>
          </cell>
          <cell r="AL400">
            <v>45059</v>
          </cell>
          <cell r="AM400">
            <v>45059</v>
          </cell>
          <cell r="AN400"/>
          <cell r="AO400">
            <v>45061</v>
          </cell>
          <cell r="AP400" t="str">
            <v>OFF HOLD</v>
          </cell>
        </row>
        <row r="401">
          <cell r="A401">
            <v>96231160370</v>
          </cell>
          <cell r="B401" t="str">
            <v>TY-RF SP 96230660124</v>
          </cell>
          <cell r="C401">
            <v>0</v>
          </cell>
          <cell r="D401">
            <v>0</v>
          </cell>
          <cell r="E401" t="str">
            <v>TAN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 t="str">
            <v>T</v>
          </cell>
          <cell r="L401">
            <v>0</v>
          </cell>
          <cell r="M401">
            <v>0</v>
          </cell>
          <cell r="N401">
            <v>0</v>
          </cell>
          <cell r="O401" t="str">
            <v>P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2</v>
          </cell>
          <cell r="AB401" t="str">
            <v>T, P, W, F, A</v>
          </cell>
          <cell r="AC401">
            <v>0</v>
          </cell>
          <cell r="AD401" t="str">
            <v>YES</v>
          </cell>
          <cell r="AE401" t="str">
            <v xml:space="preserve">5/4: no cs pend 4/27: PI confirmed </v>
          </cell>
          <cell r="AF401" t="str">
            <v>INNOFLOW KOREA COMPANY LIMITED</v>
          </cell>
          <cell r="AG401" t="str">
            <v>EURO DISNEY ASSOCIES S.A.S</v>
          </cell>
          <cell r="AH401" t="str">
            <v>REGULAR</v>
          </cell>
          <cell r="AI401">
            <v>45042</v>
          </cell>
          <cell r="AJ401">
            <v>45043</v>
          </cell>
          <cell r="AK401">
            <v>45043</v>
          </cell>
          <cell r="AL401">
            <v>45052</v>
          </cell>
          <cell r="AM401">
            <v>45052</v>
          </cell>
          <cell r="AN401"/>
          <cell r="AO401">
            <v>45054</v>
          </cell>
          <cell r="AP401" t="str">
            <v>LATE</v>
          </cell>
        </row>
        <row r="402">
          <cell r="A402">
            <v>96231160371</v>
          </cell>
          <cell r="B402" t="str">
            <v>TY-RF SP 96230660146</v>
          </cell>
          <cell r="C402">
            <v>0</v>
          </cell>
          <cell r="D402">
            <v>0</v>
          </cell>
          <cell r="E402" t="str">
            <v>TAN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 t="str">
            <v>T</v>
          </cell>
          <cell r="L402">
            <v>0</v>
          </cell>
          <cell r="M402">
            <v>0</v>
          </cell>
          <cell r="N402">
            <v>0</v>
          </cell>
          <cell r="O402" t="str">
            <v>P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2</v>
          </cell>
          <cell r="AB402" t="str">
            <v>T, P, W, F, A</v>
          </cell>
          <cell r="AC402">
            <v>0</v>
          </cell>
          <cell r="AD402" t="str">
            <v>YES</v>
          </cell>
          <cell r="AE402">
            <v>0</v>
          </cell>
          <cell r="AF402" t="str">
            <v>INNOFLOW KOREA COMPANY LIMITED</v>
          </cell>
          <cell r="AG402" t="str">
            <v>EURO DISNEY ASSOCIES S.A.S</v>
          </cell>
          <cell r="AH402" t="str">
            <v>REGULAR</v>
          </cell>
          <cell r="AI402">
            <v>45042</v>
          </cell>
          <cell r="AJ402">
            <v>45050</v>
          </cell>
          <cell r="AK402">
            <v>45050</v>
          </cell>
          <cell r="AL402">
            <v>45056</v>
          </cell>
          <cell r="AM402">
            <v>45056</v>
          </cell>
          <cell r="AN402"/>
          <cell r="AO402">
            <v>45057</v>
          </cell>
          <cell r="AP402" t="str">
            <v>OFF HOLD</v>
          </cell>
        </row>
        <row r="403">
          <cell r="A403">
            <v>96231160387</v>
          </cell>
          <cell r="B403" t="str">
            <v>AN</v>
          </cell>
          <cell r="C403">
            <v>0</v>
          </cell>
          <cell r="D403">
            <v>0</v>
          </cell>
          <cell r="E403" t="str">
            <v>FLO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 HANDLE</v>
          </cell>
          <cell r="AC403">
            <v>0</v>
          </cell>
          <cell r="AD403">
            <v>0</v>
          </cell>
          <cell r="AE403" t="str">
            <v>05/06; 04/28: OVERDUE - NANO</v>
          </cell>
          <cell r="AF403" t="str">
            <v>NANO ARCHITECTURE AND FURNITURE JSC (DONG NAI BRANCH)</v>
          </cell>
          <cell r="AG403" t="str">
            <v>NANO ARCHITECTURE AND FURNITURE JSC (DONG NAI BRANCH)</v>
          </cell>
          <cell r="AH403" t="str">
            <v>REGULAR</v>
          </cell>
          <cell r="AI403">
            <v>45042</v>
          </cell>
          <cell r="AJ403">
            <v>45043</v>
          </cell>
          <cell r="AK403"/>
          <cell r="AL403">
            <v>45051</v>
          </cell>
          <cell r="AM403">
            <v>45051</v>
          </cell>
          <cell r="AN403"/>
          <cell r="AO403">
            <v>45052</v>
          </cell>
          <cell r="AP403" t="str">
            <v>AN HANDLE</v>
          </cell>
        </row>
        <row r="404">
          <cell r="A404">
            <v>96231160388</v>
          </cell>
          <cell r="B404" t="str">
            <v>AN</v>
          </cell>
          <cell r="C404">
            <v>0</v>
          </cell>
          <cell r="D404">
            <v>0</v>
          </cell>
          <cell r="E404" t="str">
            <v>FLO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 HANDLE</v>
          </cell>
          <cell r="AC404">
            <v>0</v>
          </cell>
          <cell r="AD404">
            <v>0</v>
          </cell>
          <cell r="AE404" t="str">
            <v>05/06; 04/28: OVERDUE - NANO</v>
          </cell>
          <cell r="AF404" t="str">
            <v>NANO ARCHITECTURE AND FURNITURE JSC (DONG NAI BRANCH)</v>
          </cell>
          <cell r="AG404" t="str">
            <v>NANO ARCHITECTURE AND FURNITURE JSC (DONG NAI BRANCH)</v>
          </cell>
          <cell r="AH404" t="str">
            <v>REGULAR</v>
          </cell>
          <cell r="AI404">
            <v>45042</v>
          </cell>
          <cell r="AJ404">
            <v>45043</v>
          </cell>
          <cell r="AK404"/>
          <cell r="AL404">
            <v>45051</v>
          </cell>
          <cell r="AM404">
            <v>45051</v>
          </cell>
          <cell r="AN404"/>
          <cell r="AO404">
            <v>45052</v>
          </cell>
          <cell r="AP404" t="str">
            <v>AN HANDLE</v>
          </cell>
        </row>
        <row r="405">
          <cell r="A405">
            <v>96231160389</v>
          </cell>
          <cell r="B405" t="str">
            <v>AN</v>
          </cell>
          <cell r="C405">
            <v>0</v>
          </cell>
          <cell r="D405">
            <v>0</v>
          </cell>
          <cell r="E405" t="str">
            <v>FLO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 HANDLE</v>
          </cell>
          <cell r="AC405">
            <v>0</v>
          </cell>
          <cell r="AD405">
            <v>0</v>
          </cell>
          <cell r="AE405" t="str">
            <v>05/06; 04/28: OVERDUE - NANO</v>
          </cell>
          <cell r="AF405" t="str">
            <v>NANO ARCHITECTURE AND FURNITURE JSC (DONG NAI BRANCH)</v>
          </cell>
          <cell r="AG405" t="str">
            <v>NANO ARCHITECTURE AND FURNITURE JSC (DONG NAI BRANCH)</v>
          </cell>
          <cell r="AH405" t="str">
            <v>REGULAR</v>
          </cell>
          <cell r="AI405">
            <v>45042</v>
          </cell>
          <cell r="AJ405">
            <v>45043</v>
          </cell>
          <cell r="AK405"/>
          <cell r="AL405">
            <v>45051</v>
          </cell>
          <cell r="AM405">
            <v>45051</v>
          </cell>
          <cell r="AN405"/>
          <cell r="AO405">
            <v>45052</v>
          </cell>
          <cell r="AP405" t="str">
            <v>AN HANDLE</v>
          </cell>
        </row>
        <row r="406">
          <cell r="A406">
            <v>96231160395</v>
          </cell>
          <cell r="B406" t="str">
            <v>TY</v>
          </cell>
          <cell r="C406">
            <v>0</v>
          </cell>
          <cell r="D406">
            <v>0</v>
          </cell>
          <cell r="E406" t="str">
            <v>ELV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 t="str">
            <v>H</v>
          </cell>
          <cell r="K406" t="str">
            <v>T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 t="str">
            <v>F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 t="str">
            <v>Q</v>
          </cell>
          <cell r="W406" t="str">
            <v>V</v>
          </cell>
          <cell r="X406">
            <v>0</v>
          </cell>
          <cell r="Y406">
            <v>0</v>
          </cell>
          <cell r="Z406">
            <v>0</v>
          </cell>
          <cell r="AA406">
            <v>5</v>
          </cell>
          <cell r="AB406" t="str">
            <v>H, T, F, Q, V</v>
          </cell>
          <cell r="AC406">
            <v>0</v>
          </cell>
          <cell r="AD406">
            <v>0</v>
          </cell>
          <cell r="AE406">
            <v>0</v>
          </cell>
          <cell r="AF406" t="str">
            <v>CRAYOLA CANADA</v>
          </cell>
          <cell r="AG406" t="str">
            <v>COSTCO WHOLESALE CORPORATION</v>
          </cell>
          <cell r="AH406" t="str">
            <v>REGULAR</v>
          </cell>
          <cell r="AI406">
            <v>45042</v>
          </cell>
          <cell r="AJ406">
            <v>45050</v>
          </cell>
          <cell r="AK406"/>
          <cell r="AL406">
            <v>45051</v>
          </cell>
          <cell r="AM406">
            <v>45051</v>
          </cell>
          <cell r="AN406"/>
          <cell r="AO406">
            <v>45052</v>
          </cell>
          <cell r="AP406" t="str">
            <v>ON HOLD</v>
          </cell>
        </row>
        <row r="407">
          <cell r="A407">
            <v>96231160396</v>
          </cell>
          <cell r="B407" t="str">
            <v>AN</v>
          </cell>
          <cell r="C407">
            <v>0</v>
          </cell>
          <cell r="D407">
            <v>0</v>
          </cell>
          <cell r="E407" t="str">
            <v>FLO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 HANDLE</v>
          </cell>
          <cell r="AC407">
            <v>0</v>
          </cell>
          <cell r="AD407">
            <v>0</v>
          </cell>
          <cell r="AE407" t="str">
            <v>05/06; 04/28: OVERDUE - NANO</v>
          </cell>
          <cell r="AF407" t="str">
            <v>NANO ARCHITECTURE AND FURNITURE JSC (DONG NAI BRANCH)</v>
          </cell>
          <cell r="AG407" t="str">
            <v>NANO ARCHITECTURE AND FURNITURE JSC (DONG NAI BRANCH)</v>
          </cell>
          <cell r="AH407" t="str">
            <v>REGULAR</v>
          </cell>
          <cell r="AI407">
            <v>45042</v>
          </cell>
          <cell r="AJ407">
            <v>45043</v>
          </cell>
          <cell r="AK407"/>
          <cell r="AL407">
            <v>45051</v>
          </cell>
          <cell r="AM407">
            <v>45051</v>
          </cell>
          <cell r="AN407"/>
          <cell r="AO407">
            <v>45052</v>
          </cell>
          <cell r="AP407" t="str">
            <v>AN HANDLE</v>
          </cell>
        </row>
        <row r="408">
          <cell r="A408">
            <v>96231160404</v>
          </cell>
          <cell r="B408" t="str">
            <v>AN</v>
          </cell>
          <cell r="C408">
            <v>0</v>
          </cell>
          <cell r="D408">
            <v>0</v>
          </cell>
          <cell r="E408" t="str">
            <v>FLO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 HANDLE</v>
          </cell>
          <cell r="AC408">
            <v>0</v>
          </cell>
          <cell r="AD408">
            <v>0</v>
          </cell>
          <cell r="AE408" t="str">
            <v>05/06; 04/28: OVERDUE - NANO</v>
          </cell>
          <cell r="AF408" t="str">
            <v>NANO ARCHITECTURE AND FURNITURE JSC (DONG NAI BRANCH)</v>
          </cell>
          <cell r="AG408" t="str">
            <v>NANO ARCHITECTURE AND FURNITURE JSC (DONG NAI BRANCH)</v>
          </cell>
          <cell r="AH408" t="str">
            <v>REGULAR</v>
          </cell>
          <cell r="AI408">
            <v>45042</v>
          </cell>
          <cell r="AJ408">
            <v>45043</v>
          </cell>
          <cell r="AK408"/>
          <cell r="AL408">
            <v>45051</v>
          </cell>
          <cell r="AM408">
            <v>45051</v>
          </cell>
          <cell r="AN408"/>
          <cell r="AO408">
            <v>45052</v>
          </cell>
          <cell r="AP408" t="str">
            <v>AN HANDLE</v>
          </cell>
        </row>
        <row r="409">
          <cell r="A409">
            <v>96231160407</v>
          </cell>
          <cell r="B409" t="str">
            <v>AN</v>
          </cell>
          <cell r="C409">
            <v>0</v>
          </cell>
          <cell r="D409">
            <v>0</v>
          </cell>
          <cell r="E409" t="str">
            <v>FLO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 t="str">
            <v>Q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1</v>
          </cell>
          <cell r="AB409" t="str">
            <v>AN HANDLE</v>
          </cell>
          <cell r="AC409">
            <v>0</v>
          </cell>
          <cell r="AD409">
            <v>0</v>
          </cell>
          <cell r="AE409" t="str">
            <v>05/06; 04/28: OVERDUE - NANO</v>
          </cell>
          <cell r="AF409" t="str">
            <v>NANO ARCHITECTURE AND FURNITURE JSC (DONG NAI BRANCH)</v>
          </cell>
          <cell r="AG409" t="str">
            <v>NANO ARCHITECTURE AND FURNITURE JSC (DONG NAI BRANCH)</v>
          </cell>
          <cell r="AH409" t="str">
            <v>REGULAR</v>
          </cell>
          <cell r="AI409">
            <v>45042</v>
          </cell>
          <cell r="AJ409">
            <v>45043</v>
          </cell>
          <cell r="AK409"/>
          <cell r="AL409">
            <v>45049</v>
          </cell>
          <cell r="AM409">
            <v>45049</v>
          </cell>
          <cell r="AN409"/>
          <cell r="AO409">
            <v>45050</v>
          </cell>
          <cell r="AP409" t="str">
            <v>AN HANDLE</v>
          </cell>
        </row>
        <row r="410">
          <cell r="A410">
            <v>96231160425</v>
          </cell>
          <cell r="B410" t="str">
            <v>TY-REFER SAMPLE 96231160417</v>
          </cell>
          <cell r="C410">
            <v>0</v>
          </cell>
          <cell r="D410">
            <v>0</v>
          </cell>
          <cell r="E410" t="str">
            <v>SHE</v>
          </cell>
          <cell r="F410" t="str">
            <v>FIRST MAKING 0428-AN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 t="str">
            <v>V</v>
          </cell>
          <cell r="X410">
            <v>0</v>
          </cell>
          <cell r="Y410">
            <v>0</v>
          </cell>
          <cell r="Z410">
            <v>0</v>
          </cell>
          <cell r="AA410">
            <v>1</v>
          </cell>
          <cell r="AB410" t="str">
            <v>T, V</v>
          </cell>
          <cell r="AC410" t="str">
            <v>x</v>
          </cell>
          <cell r="AD410">
            <v>0</v>
          </cell>
          <cell r="AE410" t="str">
            <v>4/27: wait 6pcs Red/ chocolate covered strawberry crayon for asbestos test</v>
          </cell>
          <cell r="AF410" t="str">
            <v>CRAYOLA, LLC</v>
          </cell>
          <cell r="AG410" t="str">
            <v>CRAYOLA, LLC</v>
          </cell>
          <cell r="AH410" t="str">
            <v>REGULAR</v>
          </cell>
          <cell r="AI410">
            <v>45043</v>
          </cell>
          <cell r="AJ410">
            <v>45049</v>
          </cell>
          <cell r="AK410">
            <v>45044</v>
          </cell>
          <cell r="AL410">
            <v>45069</v>
          </cell>
          <cell r="AM410">
            <v>45069</v>
          </cell>
          <cell r="AN410"/>
          <cell r="AO410">
            <v>45070</v>
          </cell>
          <cell r="AP410" t="str">
            <v>ON HOLD</v>
          </cell>
        </row>
        <row r="411">
          <cell r="A411">
            <v>96231160469</v>
          </cell>
          <cell r="B411" t="str">
            <v>US2-AS</v>
          </cell>
          <cell r="C411">
            <v>0</v>
          </cell>
          <cell r="D411">
            <v>0</v>
          </cell>
          <cell r="E411" t="str">
            <v>VAN</v>
          </cell>
          <cell r="F411" t="str">
            <v>RECHECK AN
FIRST MAKING 0508-AN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H, A, Q, V</v>
          </cell>
          <cell r="AC411">
            <v>0</v>
          </cell>
          <cell r="AD411" t="str">
            <v>YES</v>
          </cell>
          <cell r="AE411" t="str">
            <v xml:space="preserve">5/3: no cs pend </v>
          </cell>
          <cell r="AF411" t="str">
            <v>DELTA ENTERPRISE CORP. D/B/A DELTA CHILDREN'S PRODUCTS</v>
          </cell>
          <cell r="AG411" t="str">
            <v>DELTA ENTERPRISE CORP. D/B/A DELTA CHILDREN'S PRODUCTS</v>
          </cell>
          <cell r="AH411" t="str">
            <v>REGULAR</v>
          </cell>
          <cell r="AI411">
            <v>45042</v>
          </cell>
          <cell r="AJ411"/>
          <cell r="AK411"/>
          <cell r="AL411">
            <v>45055</v>
          </cell>
          <cell r="AM411">
            <v>45055</v>
          </cell>
          <cell r="AN411">
            <v>45052</v>
          </cell>
          <cell r="AO411">
            <v>45055</v>
          </cell>
          <cell r="AP411" t="str">
            <v>DUE</v>
          </cell>
        </row>
        <row r="412">
          <cell r="A412">
            <v>96231160486</v>
          </cell>
          <cell r="B412" t="str">
            <v>US2-AS-NOB</v>
          </cell>
          <cell r="C412">
            <v>0</v>
          </cell>
          <cell r="D412" t="str">
            <v>DUC</v>
          </cell>
          <cell r="E412" t="str">
            <v>VAN</v>
          </cell>
          <cell r="F412" t="str">
            <v>DONE 0508
MAKING 0508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R</v>
          </cell>
          <cell r="AC412">
            <v>0</v>
          </cell>
          <cell r="AD412">
            <v>0</v>
          </cell>
          <cell r="AE412">
            <v>0</v>
          </cell>
          <cell r="AF412" t="str">
            <v>THE LOVESAC COMPANY</v>
          </cell>
          <cell r="AG412" t="str">
            <v>THE LOVESAC COMPANY</v>
          </cell>
          <cell r="AH412" t="str">
            <v>REGULAR</v>
          </cell>
          <cell r="AI412">
            <v>45042</v>
          </cell>
          <cell r="AJ412"/>
          <cell r="AK412"/>
          <cell r="AL412">
            <v>45055</v>
          </cell>
          <cell r="AM412">
            <v>45055</v>
          </cell>
          <cell r="AN412">
            <v>45052</v>
          </cell>
          <cell r="AO412">
            <v>45055</v>
          </cell>
          <cell r="AP412" t="str">
            <v>DUE</v>
          </cell>
        </row>
        <row r="413">
          <cell r="A413">
            <v>96231160501</v>
          </cell>
          <cell r="B413" t="str">
            <v>US2</v>
          </cell>
          <cell r="C413">
            <v>0</v>
          </cell>
          <cell r="D413">
            <v>0</v>
          </cell>
          <cell r="E413" t="str">
            <v>VAN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 t="str">
            <v>H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1</v>
          </cell>
          <cell r="AB413" t="str">
            <v>H</v>
          </cell>
          <cell r="AC413">
            <v>0</v>
          </cell>
          <cell r="AD413">
            <v>0</v>
          </cell>
          <cell r="AE413" t="str">
            <v>5/9: no CS pend; 5/5: waiting revised AI, correct sample</v>
          </cell>
          <cell r="AF413" t="str">
            <v>TRIPLE J ENTERPRISE CO LTD</v>
          </cell>
          <cell r="AG413" t="str">
            <v>TRIPLE J ENTERPRISE CO LTD</v>
          </cell>
          <cell r="AH413" t="str">
            <v>REGULAR</v>
          </cell>
          <cell r="AI413">
            <v>45042</v>
          </cell>
          <cell r="AJ413">
            <v>45052</v>
          </cell>
          <cell r="AK413"/>
          <cell r="AL413">
            <v>45051</v>
          </cell>
          <cell r="AM413">
            <v>45051</v>
          </cell>
          <cell r="AN413"/>
          <cell r="AO413">
            <v>45052</v>
          </cell>
          <cell r="AP413" t="str">
            <v>ON HOLD</v>
          </cell>
        </row>
        <row r="414">
          <cell r="A414">
            <v>96231160506</v>
          </cell>
          <cell r="B414" t="str">
            <v>EU</v>
          </cell>
          <cell r="C414">
            <v>0</v>
          </cell>
          <cell r="D414">
            <v>0</v>
          </cell>
          <cell r="E414" t="str">
            <v>VAN</v>
          </cell>
          <cell r="F414">
            <v>0</v>
          </cell>
          <cell r="G414">
            <v>0</v>
          </cell>
          <cell r="H414" t="str">
            <v>E</v>
          </cell>
          <cell r="I414">
            <v>0</v>
          </cell>
          <cell r="J414" t="str">
            <v>H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2</v>
          </cell>
          <cell r="AB414" t="str">
            <v>H, E</v>
          </cell>
          <cell r="AC414" t="str">
            <v>x</v>
          </cell>
          <cell r="AD414">
            <v>0</v>
          </cell>
          <cell r="AE414" t="str">
            <v xml:space="preserve">0428: prepayment all </v>
          </cell>
          <cell r="AF414" t="str">
            <v>PACIFIC TRENDS INTERNATIONAL PTY LTD</v>
          </cell>
          <cell r="AG414" t="str">
            <v>PACIFIC TRENDS INTERNATIONAL PTY LTD</v>
          </cell>
          <cell r="AH414" t="str">
            <v>REGULAR</v>
          </cell>
          <cell r="AI414">
            <v>45042</v>
          </cell>
          <cell r="AJ414">
            <v>45049</v>
          </cell>
          <cell r="AK414">
            <v>45044</v>
          </cell>
          <cell r="AL414">
            <v>45054</v>
          </cell>
          <cell r="AM414">
            <v>45054</v>
          </cell>
          <cell r="AN414"/>
          <cell r="AO414">
            <v>45055</v>
          </cell>
          <cell r="AP414" t="str">
            <v>ON HOLD</v>
          </cell>
        </row>
        <row r="415">
          <cell r="A415">
            <v>96231160543</v>
          </cell>
          <cell r="B415" t="str">
            <v>USD</v>
          </cell>
          <cell r="C415">
            <v>0</v>
          </cell>
          <cell r="D415">
            <v>0</v>
          </cell>
          <cell r="E415" t="str">
            <v>MIN</v>
          </cell>
          <cell r="F415" t="str">
            <v>MAKING 0509</v>
          </cell>
          <cell r="G415">
            <v>0</v>
          </cell>
          <cell r="H415">
            <v>0</v>
          </cell>
          <cell r="I415"/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Z</v>
          </cell>
          <cell r="AC415">
            <v>0</v>
          </cell>
          <cell r="AD415" t="str">
            <v>YES</v>
          </cell>
          <cell r="AE415" t="str">
            <v>0429: pend test protocol</v>
          </cell>
          <cell r="AF415" t="str">
            <v>LIVING STYLE (SINGAPORE) PTE LIMITED</v>
          </cell>
          <cell r="AG415" t="str">
            <v>COSTCO PRE-PRODUCTION</v>
          </cell>
          <cell r="AH415" t="str">
            <v>REGULAR</v>
          </cell>
          <cell r="AI415">
            <v>45042</v>
          </cell>
          <cell r="AJ415">
            <v>45049</v>
          </cell>
          <cell r="AK415">
            <v>45049</v>
          </cell>
          <cell r="AL415">
            <v>45055</v>
          </cell>
          <cell r="AM415">
            <v>45055</v>
          </cell>
          <cell r="AN415"/>
          <cell r="AO415">
            <v>45056</v>
          </cell>
          <cell r="AP415" t="str">
            <v>MUST</v>
          </cell>
        </row>
        <row r="416">
          <cell r="A416">
            <v>96231160554</v>
          </cell>
          <cell r="B416" t="str">
            <v>JP</v>
          </cell>
          <cell r="C416">
            <v>0</v>
          </cell>
          <cell r="D416">
            <v>0</v>
          </cell>
          <cell r="E416" t="str">
            <v>SHE</v>
          </cell>
          <cell r="F416" t="str">
            <v>FIRST MAKING 0506-AN1160562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H, J, Q</v>
          </cell>
          <cell r="AC416">
            <v>0</v>
          </cell>
          <cell r="AD416" t="str">
            <v>YES</v>
          </cell>
          <cell r="AE416">
            <v>0</v>
          </cell>
          <cell r="AF416" t="str">
            <v>ELEMENTS INTERNATIONAL GROUP LLC</v>
          </cell>
          <cell r="AG416" t="str">
            <v>ELEMENTS INTERNATIONAL GROUP LLC</v>
          </cell>
          <cell r="AH416" t="str">
            <v>REGULAR</v>
          </cell>
          <cell r="AI416">
            <v>45043</v>
          </cell>
          <cell r="AJ416">
            <v>45051</v>
          </cell>
          <cell r="AK416">
            <v>45051</v>
          </cell>
          <cell r="AL416">
            <v>45056</v>
          </cell>
          <cell r="AM416">
            <v>45056</v>
          </cell>
          <cell r="AN416"/>
          <cell r="AO416">
            <v>45057</v>
          </cell>
          <cell r="AP416" t="str">
            <v>OFF HOLD</v>
          </cell>
        </row>
        <row r="417">
          <cell r="A417">
            <v>96231160559</v>
          </cell>
          <cell r="B417" t="str">
            <v>JP</v>
          </cell>
          <cell r="C417">
            <v>0</v>
          </cell>
          <cell r="D417">
            <v>0</v>
          </cell>
          <cell r="E417" t="str">
            <v>SHE</v>
          </cell>
          <cell r="F417" t="str">
            <v>FIRST MAKING 0506-AN1160562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H, J, Q</v>
          </cell>
          <cell r="AC417">
            <v>0</v>
          </cell>
          <cell r="AD417" t="str">
            <v>YES</v>
          </cell>
          <cell r="AE417">
            <v>0</v>
          </cell>
          <cell r="AF417" t="str">
            <v>ELEMENTS INTERNATIONAL GROUP LLC</v>
          </cell>
          <cell r="AG417" t="str">
            <v>ELEMENTS INTERNATIONAL GROUP LLC</v>
          </cell>
          <cell r="AH417" t="str">
            <v>REGULAR</v>
          </cell>
          <cell r="AI417">
            <v>45043</v>
          </cell>
          <cell r="AJ417">
            <v>45051</v>
          </cell>
          <cell r="AK417">
            <v>45051</v>
          </cell>
          <cell r="AL417">
            <v>45056</v>
          </cell>
          <cell r="AM417">
            <v>45056</v>
          </cell>
          <cell r="AN417"/>
          <cell r="AO417">
            <v>45057</v>
          </cell>
          <cell r="AP417" t="str">
            <v>OFF HOLD</v>
          </cell>
        </row>
        <row r="418">
          <cell r="A418">
            <v>96231160560</v>
          </cell>
          <cell r="B418" t="str">
            <v>JP</v>
          </cell>
          <cell r="C418">
            <v>0</v>
          </cell>
          <cell r="D418">
            <v>0</v>
          </cell>
          <cell r="E418" t="str">
            <v>SHE</v>
          </cell>
          <cell r="F418" t="str">
            <v>FIRST MAKING 0506-AN1160562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H, J, Q</v>
          </cell>
          <cell r="AC418">
            <v>0</v>
          </cell>
          <cell r="AD418" t="str">
            <v>YES</v>
          </cell>
          <cell r="AE418">
            <v>0</v>
          </cell>
          <cell r="AF418" t="str">
            <v>ELEMENTS INTERNATIONAL GROUP LLC</v>
          </cell>
          <cell r="AG418" t="str">
            <v>ELEMENTS INTERNATIONAL GROUP LLC</v>
          </cell>
          <cell r="AH418" t="str">
            <v>REGULAR</v>
          </cell>
          <cell r="AI418">
            <v>45043</v>
          </cell>
          <cell r="AJ418">
            <v>45051</v>
          </cell>
          <cell r="AK418">
            <v>45051</v>
          </cell>
          <cell r="AL418">
            <v>45056</v>
          </cell>
          <cell r="AM418">
            <v>45056</v>
          </cell>
          <cell r="AN418"/>
          <cell r="AO418">
            <v>45057</v>
          </cell>
          <cell r="AP418" t="str">
            <v>OFF HOLD</v>
          </cell>
        </row>
        <row r="419">
          <cell r="A419">
            <v>96231160561</v>
          </cell>
          <cell r="B419" t="str">
            <v>USD</v>
          </cell>
          <cell r="C419">
            <v>0</v>
          </cell>
          <cell r="D419">
            <v>0</v>
          </cell>
          <cell r="E419" t="str">
            <v>VAN</v>
          </cell>
          <cell r="F419">
            <v>0</v>
          </cell>
          <cell r="G419">
            <v>0</v>
          </cell>
          <cell r="H419">
            <v>0</v>
          </cell>
          <cell r="I419" t="str">
            <v>Z</v>
          </cell>
          <cell r="J419" t="str">
            <v>H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2</v>
          </cell>
          <cell r="AB419" t="str">
            <v>H, Z</v>
          </cell>
          <cell r="AC419" t="str">
            <v>x</v>
          </cell>
          <cell r="AD419">
            <v>0</v>
          </cell>
          <cell r="AE419">
            <v>0</v>
          </cell>
          <cell r="AF419" t="str">
            <v>SAFAVIEH INTL, LLC</v>
          </cell>
          <cell r="AG419" t="str">
            <v>SAFAVIEH INTL, LLC</v>
          </cell>
          <cell r="AH419" t="str">
            <v>REGULAR</v>
          </cell>
          <cell r="AI419">
            <v>45043</v>
          </cell>
          <cell r="AJ419">
            <v>45049</v>
          </cell>
          <cell r="AK419">
            <v>45049</v>
          </cell>
          <cell r="AL419">
            <v>45055</v>
          </cell>
          <cell r="AM419">
            <v>45055</v>
          </cell>
          <cell r="AN419"/>
          <cell r="AO419">
            <v>45056</v>
          </cell>
          <cell r="AP419" t="str">
            <v>MUST</v>
          </cell>
        </row>
        <row r="420">
          <cell r="A420">
            <v>96231160562</v>
          </cell>
          <cell r="B420" t="str">
            <v>JP</v>
          </cell>
          <cell r="C420">
            <v>0</v>
          </cell>
          <cell r="D420">
            <v>0</v>
          </cell>
          <cell r="E420" t="str">
            <v>SHE</v>
          </cell>
          <cell r="F420" t="str">
            <v>FIRST MAKING 0505-AN2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H, J, Q</v>
          </cell>
          <cell r="AC420" t="str">
            <v>x</v>
          </cell>
          <cell r="AD420" t="str">
            <v>YES</v>
          </cell>
          <cell r="AE420" t="str">
            <v>5/4: off, 4/28: wait 20pcs warning</v>
          </cell>
          <cell r="AF420" t="str">
            <v>ELEMENTS INTERNATIONAL GROUP LLC</v>
          </cell>
          <cell r="AG420" t="str">
            <v>ELEMENTS INTERNATIONAL GROUP LLC</v>
          </cell>
          <cell r="AH420" t="str">
            <v>REGULAR</v>
          </cell>
          <cell r="AI420">
            <v>45043</v>
          </cell>
          <cell r="AJ420">
            <v>45051</v>
          </cell>
          <cell r="AK420">
            <v>45052</v>
          </cell>
          <cell r="AL420">
            <v>45057</v>
          </cell>
          <cell r="AM420">
            <v>45057</v>
          </cell>
          <cell r="AN420"/>
          <cell r="AO420">
            <v>45058</v>
          </cell>
          <cell r="AP420" t="str">
            <v>OFF HOLD</v>
          </cell>
        </row>
        <row r="421">
          <cell r="A421">
            <v>96231160569</v>
          </cell>
          <cell r="B421" t="str">
            <v>US1</v>
          </cell>
          <cell r="C421">
            <v>0</v>
          </cell>
          <cell r="D421">
            <v>0</v>
          </cell>
          <cell r="E421" t="str">
            <v>MIN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 t="str">
            <v>H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1</v>
          </cell>
          <cell r="AB421" t="str">
            <v>H, Q</v>
          </cell>
          <cell r="AC421">
            <v>0</v>
          </cell>
          <cell r="AD421" t="str">
            <v>YES</v>
          </cell>
          <cell r="AE421">
            <v>0</v>
          </cell>
          <cell r="AF421" t="str">
            <v>WHALEN LIMITED</v>
          </cell>
          <cell r="AG421" t="str">
            <v>WAL-MART.COM USA, LLC</v>
          </cell>
          <cell r="AH421" t="str">
            <v>REGULAR</v>
          </cell>
          <cell r="AI421">
            <v>45043</v>
          </cell>
          <cell r="AJ421">
            <v>45050</v>
          </cell>
          <cell r="AK421">
            <v>45052</v>
          </cell>
          <cell r="AL421">
            <v>45057</v>
          </cell>
          <cell r="AM421">
            <v>45057</v>
          </cell>
          <cell r="AN421"/>
          <cell r="AO421">
            <v>45058</v>
          </cell>
          <cell r="AP421" t="str">
            <v>OFF HOLD</v>
          </cell>
        </row>
        <row r="422">
          <cell r="A422">
            <v>96231160570</v>
          </cell>
          <cell r="B422" t="str">
            <v>US2</v>
          </cell>
          <cell r="C422">
            <v>0</v>
          </cell>
          <cell r="D422">
            <v>0</v>
          </cell>
          <cell r="E422" t="str">
            <v>SHE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 t="str">
            <v>H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1</v>
          </cell>
          <cell r="AB422" t="str">
            <v>H</v>
          </cell>
          <cell r="AC422" t="str">
            <v>x</v>
          </cell>
          <cell r="AD422">
            <v>0</v>
          </cell>
          <cell r="AE422" t="str">
            <v>5/5: OFF, 5/4: wait confirm PI5/4: off/ 4/27: wait option</v>
          </cell>
          <cell r="AF422" t="str">
            <v>ECO TECH COMPANY LTD</v>
          </cell>
          <cell r="AG422" t="str">
            <v>ECO TECH COMPANY LTD</v>
          </cell>
          <cell r="AH422" t="str">
            <v>REGULAR</v>
          </cell>
          <cell r="AI422">
            <v>45043</v>
          </cell>
          <cell r="AJ422">
            <v>45050</v>
          </cell>
          <cell r="AK422">
            <v>45051</v>
          </cell>
          <cell r="AL422">
            <v>45056</v>
          </cell>
          <cell r="AM422">
            <v>45056</v>
          </cell>
          <cell r="AN422"/>
          <cell r="AO422">
            <v>45057</v>
          </cell>
          <cell r="AP422" t="str">
            <v>OFF HOLD</v>
          </cell>
        </row>
        <row r="423">
          <cell r="A423">
            <v>96231160571</v>
          </cell>
          <cell r="B423" t="str">
            <v>US1</v>
          </cell>
          <cell r="C423">
            <v>0</v>
          </cell>
          <cell r="D423">
            <v>0</v>
          </cell>
          <cell r="E423" t="str">
            <v>MIN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 t="str">
            <v>H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1</v>
          </cell>
          <cell r="AB423" t="str">
            <v>H, Q</v>
          </cell>
          <cell r="AC423">
            <v>0</v>
          </cell>
          <cell r="AD423" t="str">
            <v>YES</v>
          </cell>
          <cell r="AE423">
            <v>0</v>
          </cell>
          <cell r="AF423" t="str">
            <v>WHALEN LIMITED</v>
          </cell>
          <cell r="AG423" t="str">
            <v>WAL-MART.COM USA, LLC</v>
          </cell>
          <cell r="AH423" t="str">
            <v>REGULAR</v>
          </cell>
          <cell r="AI423">
            <v>45043</v>
          </cell>
          <cell r="AJ423">
            <v>45050</v>
          </cell>
          <cell r="AK423">
            <v>45052</v>
          </cell>
          <cell r="AL423">
            <v>45057</v>
          </cell>
          <cell r="AM423">
            <v>45057</v>
          </cell>
          <cell r="AN423"/>
          <cell r="AO423">
            <v>45058</v>
          </cell>
          <cell r="AP423" t="str">
            <v>OFF HOLD</v>
          </cell>
        </row>
        <row r="424">
          <cell r="A424">
            <v>96231160573</v>
          </cell>
          <cell r="B424" t="str">
            <v>US2</v>
          </cell>
          <cell r="C424">
            <v>0</v>
          </cell>
          <cell r="D424">
            <v>0</v>
          </cell>
          <cell r="E424" t="str">
            <v>SHE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 t="str">
            <v>H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1</v>
          </cell>
          <cell r="AB424" t="str">
            <v>H</v>
          </cell>
          <cell r="AC424" t="str">
            <v>x</v>
          </cell>
          <cell r="AD424">
            <v>0</v>
          </cell>
          <cell r="AE424" t="str">
            <v>5/5: OFF, 5/4: wait confirm PI5/4: off/ 4/27: wait option</v>
          </cell>
          <cell r="AF424" t="str">
            <v>ECO TECH COMPANY LTD</v>
          </cell>
          <cell r="AG424" t="str">
            <v>ECO TECH COMPANY LTD</v>
          </cell>
          <cell r="AH424" t="str">
            <v>REGULAR</v>
          </cell>
          <cell r="AI424">
            <v>45043</v>
          </cell>
          <cell r="AJ424">
            <v>45050</v>
          </cell>
          <cell r="AK424">
            <v>45051</v>
          </cell>
          <cell r="AL424">
            <v>45073</v>
          </cell>
          <cell r="AM424">
            <v>45073</v>
          </cell>
          <cell r="AN424"/>
          <cell r="AO424">
            <v>45075</v>
          </cell>
          <cell r="AP424" t="str">
            <v>OFF HOLD</v>
          </cell>
        </row>
        <row r="425">
          <cell r="A425">
            <v>96231170089</v>
          </cell>
          <cell r="B425" t="str">
            <v>US2</v>
          </cell>
          <cell r="C425">
            <v>0</v>
          </cell>
          <cell r="D425">
            <v>0</v>
          </cell>
          <cell r="E425" t="str">
            <v>FLO</v>
          </cell>
          <cell r="F425">
            <v>0</v>
          </cell>
          <cell r="G425" t="str">
            <v>R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1</v>
          </cell>
          <cell r="AB425" t="str">
            <v>R</v>
          </cell>
          <cell r="AC425">
            <v>0</v>
          </cell>
          <cell r="AD425" t="str">
            <v>YES</v>
          </cell>
          <cell r="AE425" t="str">
            <v>05/06: no CS pending</v>
          </cell>
          <cell r="AF425" t="str">
            <v>LATITUDE TREE VIETNAM JOINT STOCK COMPANY</v>
          </cell>
          <cell r="AG425" t="str">
            <v>LATITUDE TREE VIETNAM JOINT STOCK COMPANY</v>
          </cell>
          <cell r="AH425" t="str">
            <v>REGULAR</v>
          </cell>
          <cell r="AI425">
            <v>45043</v>
          </cell>
          <cell r="AJ425"/>
          <cell r="AK425"/>
          <cell r="AL425">
            <v>45057</v>
          </cell>
          <cell r="AM425">
            <v>45057</v>
          </cell>
          <cell r="AN425">
            <v>45054</v>
          </cell>
          <cell r="AO425">
            <v>45057</v>
          </cell>
          <cell r="AP425" t="str">
            <v>ACTIVE</v>
          </cell>
        </row>
        <row r="426">
          <cell r="A426">
            <v>96231170254</v>
          </cell>
          <cell r="B426" t="str">
            <v>TY</v>
          </cell>
          <cell r="C426">
            <v>0</v>
          </cell>
          <cell r="D426">
            <v>0</v>
          </cell>
          <cell r="E426" t="str">
            <v>FLO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 t="str">
            <v>H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 t="str">
            <v>F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 t="str">
            <v>Q</v>
          </cell>
          <cell r="W426" t="str">
            <v>V</v>
          </cell>
          <cell r="X426">
            <v>0</v>
          </cell>
          <cell r="Y426" t="str">
            <v>B</v>
          </cell>
          <cell r="Z426">
            <v>0</v>
          </cell>
          <cell r="AA426">
            <v>5</v>
          </cell>
          <cell r="AB426" t="str">
            <v>H, F, Q, V, B</v>
          </cell>
          <cell r="AC426">
            <v>0</v>
          </cell>
          <cell r="AD426">
            <v>0</v>
          </cell>
          <cell r="AE426" t="str">
            <v xml:space="preserve">05/06: pend doc </v>
          </cell>
          <cell r="AF426" t="str">
            <v>CRA-Z-ART CORPORATION</v>
          </cell>
          <cell r="AG426" t="str">
            <v>CRA-Z-ART CORPORATION</v>
          </cell>
          <cell r="AH426" t="str">
            <v>REGULAR</v>
          </cell>
          <cell r="AI426">
            <v>45043</v>
          </cell>
          <cell r="AJ426">
            <v>45051</v>
          </cell>
          <cell r="AK426">
            <v>45049</v>
          </cell>
          <cell r="AL426">
            <v>45055</v>
          </cell>
          <cell r="AM426">
            <v>45055</v>
          </cell>
          <cell r="AN426">
            <v>45057</v>
          </cell>
          <cell r="AO426">
            <v>45056</v>
          </cell>
          <cell r="AP426" t="str">
            <v>ON HOLD</v>
          </cell>
        </row>
        <row r="427">
          <cell r="A427">
            <v>96231170277</v>
          </cell>
          <cell r="B427" t="str">
            <v>US2-RP SP 96231110173</v>
          </cell>
          <cell r="C427">
            <v>0</v>
          </cell>
          <cell r="D427">
            <v>0</v>
          </cell>
          <cell r="E427" t="str">
            <v>SHE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 t="str">
            <v>H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1</v>
          </cell>
          <cell r="AB427" t="str">
            <v>H</v>
          </cell>
          <cell r="AC427">
            <v>0</v>
          </cell>
          <cell r="AD427">
            <v>0</v>
          </cell>
          <cell r="AE427" t="str">
            <v>5/6: on hold pending from 96231110173 5/5: off invoice, 5/4: Client confirmed to test, wait advise the invoice</v>
          </cell>
          <cell r="AF427" t="str">
            <v>STARWOOD FURNITURE MFG VN CORP</v>
          </cell>
          <cell r="AG427" t="str">
            <v xml:space="preserve">CRATE &amp; BARREL </v>
          </cell>
          <cell r="AH427" t="str">
            <v>REGULAR</v>
          </cell>
          <cell r="AI427">
            <v>45043</v>
          </cell>
          <cell r="AJ427">
            <v>45052</v>
          </cell>
          <cell r="AK427">
            <v>45052</v>
          </cell>
          <cell r="AL427">
            <v>45058</v>
          </cell>
          <cell r="AM427">
            <v>45058</v>
          </cell>
          <cell r="AN427"/>
          <cell r="AO427">
            <v>45059</v>
          </cell>
          <cell r="AP427" t="str">
            <v>OFF HOLD</v>
          </cell>
        </row>
        <row r="428">
          <cell r="A428">
            <v>96231170313</v>
          </cell>
          <cell r="B428" t="str">
            <v>EU</v>
          </cell>
          <cell r="C428">
            <v>0</v>
          </cell>
          <cell r="D428">
            <v>0</v>
          </cell>
          <cell r="E428" t="str">
            <v>SHE</v>
          </cell>
          <cell r="F428">
            <v>0</v>
          </cell>
          <cell r="G428">
            <v>0</v>
          </cell>
          <cell r="H428" t="str">
            <v>E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1</v>
          </cell>
          <cell r="AB428" t="str">
            <v>E</v>
          </cell>
          <cell r="AC428">
            <v>0</v>
          </cell>
          <cell r="AD428">
            <v>0</v>
          </cell>
          <cell r="AE428" t="str">
            <v>5/8: no pending cs</v>
          </cell>
          <cell r="AF428" t="str">
            <v>DAFI COMPANY LIMITED</v>
          </cell>
          <cell r="AG428" t="str">
            <v>DAFI COMPANY LIMITED</v>
          </cell>
          <cell r="AH428" t="str">
            <v>REGULAR</v>
          </cell>
          <cell r="AI428">
            <v>45043</v>
          </cell>
          <cell r="AJ428">
            <v>45043</v>
          </cell>
          <cell r="AK428">
            <v>45044</v>
          </cell>
          <cell r="AL428">
            <v>45052</v>
          </cell>
          <cell r="AM428">
            <v>45052</v>
          </cell>
          <cell r="AN428"/>
          <cell r="AO428">
            <v>45054</v>
          </cell>
          <cell r="AP428" t="str">
            <v>DUE</v>
          </cell>
        </row>
        <row r="429">
          <cell r="A429">
            <v>96231170314</v>
          </cell>
          <cell r="B429" t="str">
            <v>JP-AS</v>
          </cell>
          <cell r="C429">
            <v>0</v>
          </cell>
          <cell r="D429">
            <v>0</v>
          </cell>
          <cell r="E429" t="str">
            <v>VAN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 t="str">
            <v>H</v>
          </cell>
          <cell r="K429">
            <v>0</v>
          </cell>
          <cell r="L429" t="str">
            <v>J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 t="str">
            <v>A</v>
          </cell>
          <cell r="V429" t="str">
            <v>Q</v>
          </cell>
          <cell r="W429" t="str">
            <v>V</v>
          </cell>
          <cell r="X429">
            <v>0</v>
          </cell>
          <cell r="Y429">
            <v>0</v>
          </cell>
          <cell r="Z429">
            <v>0</v>
          </cell>
          <cell r="AA429">
            <v>5</v>
          </cell>
          <cell r="AB429" t="str">
            <v>H, J, A, Q, V</v>
          </cell>
          <cell r="AC429">
            <v>0</v>
          </cell>
          <cell r="AD429" t="str">
            <v>YES</v>
          </cell>
          <cell r="AE429">
            <v>0</v>
          </cell>
          <cell r="AF429" t="str">
            <v>DELTA ENTERPRISE CORP. D/B/A DELTA CHILDREN'S PRODUCTS</v>
          </cell>
          <cell r="AG429" t="str">
            <v>JUVENILE PRODUCTS MANUFACTURERS ASSOCIATION INC / JPMA</v>
          </cell>
          <cell r="AH429" t="str">
            <v>REGULAR</v>
          </cell>
          <cell r="AI429">
            <v>45043</v>
          </cell>
          <cell r="AJ429">
            <v>45049</v>
          </cell>
          <cell r="AK429"/>
          <cell r="AL429">
            <v>45052</v>
          </cell>
          <cell r="AM429">
            <v>45052</v>
          </cell>
          <cell r="AN429"/>
          <cell r="AO429">
            <v>45054</v>
          </cell>
          <cell r="AP429" t="str">
            <v>ON HOLD</v>
          </cell>
        </row>
        <row r="430">
          <cell r="A430">
            <v>96231170315</v>
          </cell>
          <cell r="B430" t="str">
            <v>JP-AS-RF SP 96231170314</v>
          </cell>
          <cell r="C430">
            <v>0</v>
          </cell>
          <cell r="D430">
            <v>0</v>
          </cell>
          <cell r="E430" t="str">
            <v>VAN</v>
          </cell>
          <cell r="F430" t="str">
            <v>FIRST MAKING 0506-AN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 t="str">
            <v>V</v>
          </cell>
          <cell r="X430">
            <v>0</v>
          </cell>
          <cell r="Y430">
            <v>0</v>
          </cell>
          <cell r="Z430">
            <v>0</v>
          </cell>
          <cell r="AA430">
            <v>1</v>
          </cell>
          <cell r="AB430" t="str">
            <v>V</v>
          </cell>
          <cell r="AC430">
            <v>0</v>
          </cell>
          <cell r="AD430" t="str">
            <v>YES</v>
          </cell>
          <cell r="AE430">
            <v>0</v>
          </cell>
          <cell r="AF430" t="str">
            <v>DELTA ENTERPRISE CORP. D/B/A DELTA CHILDREN'S PRODUCTS</v>
          </cell>
          <cell r="AG430" t="str">
            <v>DELTA ENTERPRISE CORP. D/B/A DELTA CHILDREN'S PRODUCTS</v>
          </cell>
          <cell r="AH430" t="str">
            <v>REGULAR</v>
          </cell>
          <cell r="AI430">
            <v>45043</v>
          </cell>
          <cell r="AJ430">
            <v>45049</v>
          </cell>
          <cell r="AK430"/>
          <cell r="AL430">
            <v>45052</v>
          </cell>
          <cell r="AM430">
            <v>45052</v>
          </cell>
          <cell r="AN430"/>
          <cell r="AO430">
            <v>45054</v>
          </cell>
          <cell r="AP430" t="str">
            <v>ON HOLD</v>
          </cell>
        </row>
        <row r="431">
          <cell r="A431">
            <v>96231170316</v>
          </cell>
          <cell r="B431" t="str">
            <v>EU</v>
          </cell>
          <cell r="C431">
            <v>0</v>
          </cell>
          <cell r="D431">
            <v>0</v>
          </cell>
          <cell r="E431" t="str">
            <v>SHE</v>
          </cell>
          <cell r="F431">
            <v>0</v>
          </cell>
          <cell r="G431">
            <v>0</v>
          </cell>
          <cell r="H431" t="str">
            <v>E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1</v>
          </cell>
          <cell r="AB431" t="str">
            <v>E</v>
          </cell>
          <cell r="AC431">
            <v>0</v>
          </cell>
          <cell r="AD431">
            <v>0</v>
          </cell>
          <cell r="AE431" t="str">
            <v>5/8: no pending cs</v>
          </cell>
          <cell r="AF431" t="str">
            <v>DAFI COMPANY LIMITED</v>
          </cell>
          <cell r="AG431" t="str">
            <v>DAFI COMPANY LIMITED</v>
          </cell>
          <cell r="AH431" t="str">
            <v>REGULAR</v>
          </cell>
          <cell r="AI431">
            <v>45043</v>
          </cell>
          <cell r="AJ431">
            <v>45043</v>
          </cell>
          <cell r="AK431">
            <v>45044</v>
          </cell>
          <cell r="AL431">
            <v>45052</v>
          </cell>
          <cell r="AM431">
            <v>45052</v>
          </cell>
          <cell r="AN431"/>
          <cell r="AO431">
            <v>45054</v>
          </cell>
          <cell r="AP431" t="str">
            <v>DUE</v>
          </cell>
        </row>
        <row r="432">
          <cell r="A432">
            <v>96231170317</v>
          </cell>
          <cell r="B432" t="str">
            <v>JP-AS-RF SP 96231170314</v>
          </cell>
          <cell r="C432">
            <v>0</v>
          </cell>
          <cell r="D432">
            <v>0</v>
          </cell>
          <cell r="E432" t="str">
            <v>VAN</v>
          </cell>
          <cell r="F432" t="str">
            <v>FIRST MAKING 0508-SL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 t="str">
            <v>F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1</v>
          </cell>
          <cell r="AB432" t="str">
            <v>F</v>
          </cell>
          <cell r="AC432">
            <v>0</v>
          </cell>
          <cell r="AD432" t="str">
            <v>YES</v>
          </cell>
          <cell r="AE432">
            <v>0</v>
          </cell>
          <cell r="AF432" t="str">
            <v>DELTA ENTERPRISE CORP. D/B/A DELTA CHILDREN'S PRODUCTS</v>
          </cell>
          <cell r="AG432" t="str">
            <v>DELTA ENTERPRISE CORP. D/B/A DELTA CHILDREN'S PRODUCTS</v>
          </cell>
          <cell r="AH432" t="str">
            <v>REGULAR</v>
          </cell>
          <cell r="AI432">
            <v>45043</v>
          </cell>
          <cell r="AJ432">
            <v>45049</v>
          </cell>
          <cell r="AK432"/>
          <cell r="AL432">
            <v>45052</v>
          </cell>
          <cell r="AM432">
            <v>45052</v>
          </cell>
          <cell r="AN432"/>
          <cell r="AO432">
            <v>45054</v>
          </cell>
          <cell r="AP432" t="str">
            <v>ON HOLD</v>
          </cell>
        </row>
        <row r="433">
          <cell r="A433">
            <v>96231170318</v>
          </cell>
          <cell r="B433" t="str">
            <v>EU</v>
          </cell>
          <cell r="C433">
            <v>0</v>
          </cell>
          <cell r="D433">
            <v>0</v>
          </cell>
          <cell r="E433" t="str">
            <v>SHE</v>
          </cell>
          <cell r="F433">
            <v>0</v>
          </cell>
          <cell r="G433">
            <v>0</v>
          </cell>
          <cell r="H433" t="str">
            <v>E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1</v>
          </cell>
          <cell r="AB433" t="str">
            <v>E</v>
          </cell>
          <cell r="AC433">
            <v>0</v>
          </cell>
          <cell r="AD433">
            <v>0</v>
          </cell>
          <cell r="AE433" t="str">
            <v>5/8: no pending cs</v>
          </cell>
          <cell r="AF433" t="str">
            <v>DAFI COMPANY LIMITED</v>
          </cell>
          <cell r="AG433" t="str">
            <v>DAFI COMPANY LIMITED</v>
          </cell>
          <cell r="AH433" t="str">
            <v>REGULAR</v>
          </cell>
          <cell r="AI433">
            <v>45043</v>
          </cell>
          <cell r="AJ433">
            <v>45043</v>
          </cell>
          <cell r="AK433">
            <v>45044</v>
          </cell>
          <cell r="AL433">
            <v>45052</v>
          </cell>
          <cell r="AM433">
            <v>45052</v>
          </cell>
          <cell r="AN433"/>
          <cell r="AO433">
            <v>45054</v>
          </cell>
          <cell r="AP433" t="str">
            <v>DUE</v>
          </cell>
        </row>
        <row r="434">
          <cell r="A434">
            <v>96231170323</v>
          </cell>
          <cell r="B434" t="str">
            <v>EU</v>
          </cell>
          <cell r="C434">
            <v>0</v>
          </cell>
          <cell r="D434">
            <v>0</v>
          </cell>
          <cell r="E434" t="str">
            <v>SHE</v>
          </cell>
          <cell r="F434">
            <v>0</v>
          </cell>
          <cell r="G434">
            <v>0</v>
          </cell>
          <cell r="H434" t="str">
            <v>E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 t="str">
            <v>Q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2</v>
          </cell>
          <cell r="AB434" t="str">
            <v>E, Q</v>
          </cell>
          <cell r="AC434">
            <v>0</v>
          </cell>
          <cell r="AD434">
            <v>0</v>
          </cell>
          <cell r="AE434" t="str">
            <v>5/5; off, 5/4: WAIT CONFIRM PI</v>
          </cell>
          <cell r="AF434" t="str">
            <v>ECO TECH COMPANY LTD</v>
          </cell>
          <cell r="AG434" t="str">
            <v>ECO TECH COMPANY LTD</v>
          </cell>
          <cell r="AH434" t="str">
            <v>REGULAR</v>
          </cell>
          <cell r="AI434">
            <v>45043</v>
          </cell>
          <cell r="AJ434">
            <v>45050</v>
          </cell>
          <cell r="AK434">
            <v>45051</v>
          </cell>
          <cell r="AL434">
            <v>45057</v>
          </cell>
          <cell r="AM434">
            <v>45057</v>
          </cell>
          <cell r="AN434"/>
          <cell r="AO434">
            <v>45058</v>
          </cell>
          <cell r="AP434" t="str">
            <v>OFF HOLD</v>
          </cell>
        </row>
        <row r="435">
          <cell r="A435">
            <v>96231170324</v>
          </cell>
          <cell r="B435" t="str">
            <v>EU</v>
          </cell>
          <cell r="C435">
            <v>0</v>
          </cell>
          <cell r="D435">
            <v>0</v>
          </cell>
          <cell r="E435" t="str">
            <v>SHE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 t="str">
            <v>H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1</v>
          </cell>
          <cell r="AB435" t="str">
            <v>H</v>
          </cell>
          <cell r="AC435" t="str">
            <v>x</v>
          </cell>
          <cell r="AD435">
            <v>0</v>
          </cell>
          <cell r="AE435" t="str">
            <v>5/5: wait sample for G154-200 HOURS+ WAIT CONFIRM PI, 4/28; off, 4/27: wait recheck request</v>
          </cell>
          <cell r="AF435" t="str">
            <v>ECO TECH COMPANY LTD</v>
          </cell>
          <cell r="AG435" t="str">
            <v>ECO TECH COMPANY LTD</v>
          </cell>
          <cell r="AH435" t="str">
            <v>REGULAR</v>
          </cell>
          <cell r="AI435">
            <v>45043</v>
          </cell>
          <cell r="AJ435">
            <v>45050</v>
          </cell>
          <cell r="AK435">
            <v>45044</v>
          </cell>
          <cell r="AL435">
            <v>45057</v>
          </cell>
          <cell r="AM435">
            <v>45057</v>
          </cell>
          <cell r="AN435"/>
          <cell r="AO435">
            <v>45058</v>
          </cell>
          <cell r="AP435" t="str">
            <v>ON HOLD</v>
          </cell>
        </row>
        <row r="436">
          <cell r="A436">
            <v>96231170337</v>
          </cell>
          <cell r="B436" t="str">
            <v>TY</v>
          </cell>
          <cell r="C436">
            <v>0</v>
          </cell>
          <cell r="D436">
            <v>0</v>
          </cell>
          <cell r="E436" t="str">
            <v>FLO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 t="str">
            <v>H</v>
          </cell>
          <cell r="K436" t="str">
            <v>T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 t="str">
            <v>Q</v>
          </cell>
          <cell r="W436" t="str">
            <v>V</v>
          </cell>
          <cell r="X436">
            <v>0</v>
          </cell>
          <cell r="Y436">
            <v>0</v>
          </cell>
          <cell r="Z436">
            <v>0</v>
          </cell>
          <cell r="AA436">
            <v>4</v>
          </cell>
          <cell r="AB436" t="str">
            <v>H, T, Q, V</v>
          </cell>
          <cell r="AC436">
            <v>0</v>
          </cell>
          <cell r="AD436">
            <v>0</v>
          </cell>
          <cell r="AE436" t="str">
            <v>04/28: no CS pending</v>
          </cell>
          <cell r="AF436" t="str">
            <v>VERDES TOYS CORP.</v>
          </cell>
          <cell r="AG436" t="str">
            <v>VERDES TOYS CORP.</v>
          </cell>
          <cell r="AH436" t="str">
            <v>REGULAR</v>
          </cell>
          <cell r="AI436">
            <v>45043</v>
          </cell>
          <cell r="AJ436">
            <v>45052</v>
          </cell>
          <cell r="AK436">
            <v>45054</v>
          </cell>
          <cell r="AL436">
            <v>45058</v>
          </cell>
          <cell r="AM436">
            <v>45058</v>
          </cell>
          <cell r="AN436"/>
          <cell r="AO436">
            <v>45059</v>
          </cell>
          <cell r="AP436" t="str">
            <v>OFF HOLD</v>
          </cell>
        </row>
        <row r="437">
          <cell r="A437">
            <v>96231170359</v>
          </cell>
          <cell r="B437" t="str">
            <v>US2-AS</v>
          </cell>
          <cell r="C437">
            <v>0</v>
          </cell>
          <cell r="D437">
            <v>0</v>
          </cell>
          <cell r="E437" t="str">
            <v>FLO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 t="str">
            <v>H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1</v>
          </cell>
          <cell r="AB437" t="str">
            <v>H</v>
          </cell>
          <cell r="AC437" t="str">
            <v>x</v>
          </cell>
          <cell r="AD437" t="str">
            <v>YES</v>
          </cell>
          <cell r="AE437" t="str">
            <v>05/08: no CS pending
04/28: clarify test</v>
          </cell>
          <cell r="AF437" t="str">
            <v>VPDD OLYMPIA TOOLS INTERNATIONAL INC</v>
          </cell>
          <cell r="AG437" t="str">
            <v>VPDD OLYMPIA TOOLS INTERNATIONAL INC</v>
          </cell>
          <cell r="AH437" t="str">
            <v>REGULAR</v>
          </cell>
          <cell r="AI437">
            <v>45043</v>
          </cell>
          <cell r="AJ437">
            <v>45049</v>
          </cell>
          <cell r="AK437">
            <v>45054</v>
          </cell>
          <cell r="AL437">
            <v>45058</v>
          </cell>
          <cell r="AM437">
            <v>45058</v>
          </cell>
          <cell r="AN437"/>
          <cell r="AO437">
            <v>45059</v>
          </cell>
          <cell r="AP437" t="str">
            <v>OFF HOLD</v>
          </cell>
        </row>
        <row r="438">
          <cell r="A438">
            <v>96231170363</v>
          </cell>
          <cell r="B438" t="str">
            <v>EE-QTY</v>
          </cell>
          <cell r="C438">
            <v>0</v>
          </cell>
          <cell r="D438">
            <v>0</v>
          </cell>
          <cell r="E438" t="str">
            <v>LYNN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EE REPORT</v>
          </cell>
          <cell r="AC438">
            <v>0</v>
          </cell>
          <cell r="AD438" t="str">
            <v>YES</v>
          </cell>
          <cell r="AE438">
            <v>0</v>
          </cell>
          <cell r="AF438" t="str">
            <v>UNIVERSAL CANDLE CO LTD</v>
          </cell>
          <cell r="AG438" t="str">
            <v>TARGET CORPORATION</v>
          </cell>
          <cell r="AH438" t="str">
            <v>REGULAR</v>
          </cell>
          <cell r="AI438">
            <v>45043</v>
          </cell>
          <cell r="AJ438"/>
          <cell r="AK438"/>
          <cell r="AL438">
            <v>45068</v>
          </cell>
          <cell r="AM438">
            <v>45068</v>
          </cell>
          <cell r="AN438"/>
          <cell r="AO438">
            <v>45069</v>
          </cell>
          <cell r="AP438" t="str">
            <v>ACTIVE</v>
          </cell>
        </row>
        <row r="439">
          <cell r="A439">
            <v>96231170392</v>
          </cell>
          <cell r="B439" t="str">
            <v>TY</v>
          </cell>
          <cell r="C439">
            <v>0</v>
          </cell>
          <cell r="D439">
            <v>0</v>
          </cell>
          <cell r="E439" t="str">
            <v>ELV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 t="str">
            <v>H</v>
          </cell>
          <cell r="K439" t="str">
            <v>T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 t="str">
            <v>L</v>
          </cell>
          <cell r="S439" t="str">
            <v>M</v>
          </cell>
          <cell r="T439">
            <v>0</v>
          </cell>
          <cell r="U439" t="str">
            <v>A</v>
          </cell>
          <cell r="V439" t="str">
            <v>Q</v>
          </cell>
          <cell r="W439" t="str">
            <v>V</v>
          </cell>
          <cell r="X439" t="str">
            <v>X</v>
          </cell>
          <cell r="Y439">
            <v>0</v>
          </cell>
          <cell r="Z439">
            <v>0</v>
          </cell>
          <cell r="AA439">
            <v>8</v>
          </cell>
          <cell r="AB439" t="str">
            <v>H, T, L, M, A, Q, V, X</v>
          </cell>
          <cell r="AC439" t="str">
            <v>x</v>
          </cell>
          <cell r="AD439" t="str">
            <v>YES</v>
          </cell>
          <cell r="AE439" t="str">
            <v xml:space="preserve">0425: Wait extra sample </v>
          </cell>
          <cell r="AF439" t="str">
            <v>DREAM INTERNATIONAL LIMITED</v>
          </cell>
          <cell r="AG439" t="str">
            <v>THE DISNEY STORE EUROPE</v>
          </cell>
          <cell r="AH439" t="str">
            <v>REGULAR</v>
          </cell>
          <cell r="AI439">
            <v>45043</v>
          </cell>
          <cell r="AJ439">
            <v>45049</v>
          </cell>
          <cell r="AK439">
            <v>45052</v>
          </cell>
          <cell r="AL439">
            <v>45069</v>
          </cell>
          <cell r="AM439">
            <v>45069</v>
          </cell>
          <cell r="AN439"/>
          <cell r="AO439">
            <v>45070</v>
          </cell>
          <cell r="AP439" t="str">
            <v>OFF HOLD</v>
          </cell>
        </row>
        <row r="440">
          <cell r="A440">
            <v>96231170394</v>
          </cell>
          <cell r="B440" t="str">
            <v>TY-RF SP 96231170392</v>
          </cell>
          <cell r="C440">
            <v>0</v>
          </cell>
          <cell r="D440">
            <v>0</v>
          </cell>
          <cell r="E440" t="str">
            <v>ELV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 t="str">
            <v>H</v>
          </cell>
          <cell r="K440" t="str">
            <v>T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 t="str">
            <v>L</v>
          </cell>
          <cell r="S440" t="str">
            <v>M</v>
          </cell>
          <cell r="T440">
            <v>0</v>
          </cell>
          <cell r="U440" t="str">
            <v>A</v>
          </cell>
          <cell r="V440" t="str">
            <v>Q</v>
          </cell>
          <cell r="W440" t="str">
            <v>V</v>
          </cell>
          <cell r="X440" t="str">
            <v>X</v>
          </cell>
          <cell r="Y440">
            <v>0</v>
          </cell>
          <cell r="Z440">
            <v>0</v>
          </cell>
          <cell r="AA440">
            <v>8</v>
          </cell>
          <cell r="AB440" t="str">
            <v>H, T, L, M, A, Q, V, X</v>
          </cell>
          <cell r="AC440" t="str">
            <v>x</v>
          </cell>
          <cell r="AD440" t="str">
            <v>YES</v>
          </cell>
          <cell r="AE440" t="str">
            <v xml:space="preserve">0425: Wait extra sample </v>
          </cell>
          <cell r="AF440" t="str">
            <v>DREAM INTERNATIONAL LIMITED</v>
          </cell>
          <cell r="AG440" t="str">
            <v>THE DISNEY STORE EUROPE</v>
          </cell>
          <cell r="AH440" t="str">
            <v>REGULAR</v>
          </cell>
          <cell r="AI440">
            <v>45043</v>
          </cell>
          <cell r="AJ440">
            <v>45049</v>
          </cell>
          <cell r="AK440">
            <v>45052</v>
          </cell>
          <cell r="AL440">
            <v>45057</v>
          </cell>
          <cell r="AM440">
            <v>45057</v>
          </cell>
          <cell r="AN440"/>
          <cell r="AO440">
            <v>45058</v>
          </cell>
          <cell r="AP440" t="str">
            <v>OFF HOLD</v>
          </cell>
        </row>
        <row r="441">
          <cell r="A441">
            <v>96231170395</v>
          </cell>
          <cell r="B441" t="str">
            <v>TY-RF SP 96231170392</v>
          </cell>
          <cell r="C441">
            <v>0</v>
          </cell>
          <cell r="D441">
            <v>0</v>
          </cell>
          <cell r="E441" t="str">
            <v>ELV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 t="str">
            <v>T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 t="str">
            <v>W</v>
          </cell>
          <cell r="Q441" t="str">
            <v>F</v>
          </cell>
          <cell r="R441" t="str">
            <v>L</v>
          </cell>
          <cell r="S441" t="str">
            <v>M</v>
          </cell>
          <cell r="T441">
            <v>0</v>
          </cell>
          <cell r="U441">
            <v>0</v>
          </cell>
          <cell r="V441"/>
          <cell r="W441" t="str">
            <v>V</v>
          </cell>
          <cell r="X441" t="str">
            <v>X</v>
          </cell>
          <cell r="Y441">
            <v>0</v>
          </cell>
          <cell r="Z441">
            <v>0</v>
          </cell>
          <cell r="AA441">
            <v>7</v>
          </cell>
          <cell r="AB441" t="str">
            <v>T, W, F, L, M, A, Q, V, X</v>
          </cell>
          <cell r="AC441" t="str">
            <v>x</v>
          </cell>
          <cell r="AD441" t="str">
            <v>YES</v>
          </cell>
          <cell r="AE441" t="str">
            <v xml:space="preserve">0425: Wait extra sample </v>
          </cell>
          <cell r="AF441" t="str">
            <v>DREAM INTERNATIONAL LIMITED</v>
          </cell>
          <cell r="AG441" t="str">
            <v>THE DISNEY STORE EUROPE</v>
          </cell>
          <cell r="AH441" t="str">
            <v>REGULAR</v>
          </cell>
          <cell r="AI441">
            <v>45043</v>
          </cell>
          <cell r="AJ441">
            <v>45049</v>
          </cell>
          <cell r="AK441">
            <v>45052</v>
          </cell>
          <cell r="AL441">
            <v>45057</v>
          </cell>
          <cell r="AM441">
            <v>45057</v>
          </cell>
          <cell r="AN441"/>
          <cell r="AO441">
            <v>45058</v>
          </cell>
          <cell r="AP441" t="str">
            <v>OFF HOLD</v>
          </cell>
        </row>
        <row r="442">
          <cell r="A442">
            <v>96231170423</v>
          </cell>
          <cell r="B442" t="str">
            <v>AN-JJAF00006</v>
          </cell>
          <cell r="C442">
            <v>0</v>
          </cell>
          <cell r="D442">
            <v>0</v>
          </cell>
          <cell r="E442" t="str">
            <v>VAN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 t="str">
            <v>A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1</v>
          </cell>
          <cell r="AB442" t="str">
            <v>AN HANDLE</v>
          </cell>
          <cell r="AC442">
            <v>0</v>
          </cell>
          <cell r="AD442">
            <v>0</v>
          </cell>
          <cell r="AE442">
            <v>0</v>
          </cell>
          <cell r="AF442" t="str">
            <v>PT BUREAU VERITAS CONSUMER PRODUCTS SERVICES INDONESIA</v>
          </cell>
          <cell r="AG442" t="str">
            <v>PT BUREAU VERITAS CONSUMER PRODUCTS SERVICES INDONESIA</v>
          </cell>
          <cell r="AH442" t="str">
            <v>REGULAR</v>
          </cell>
          <cell r="AI442">
            <v>45043</v>
          </cell>
          <cell r="AJ442"/>
          <cell r="AK442"/>
          <cell r="AL442">
            <v>45052</v>
          </cell>
          <cell r="AM442">
            <v>45052</v>
          </cell>
          <cell r="AN442"/>
          <cell r="AO442">
            <v>45054</v>
          </cell>
          <cell r="AP442" t="str">
            <v>AN HANDLE</v>
          </cell>
        </row>
        <row r="443">
          <cell r="A443">
            <v>96231170425</v>
          </cell>
          <cell r="B443" t="str">
            <v>US2-NOB</v>
          </cell>
          <cell r="C443">
            <v>0</v>
          </cell>
          <cell r="D443">
            <v>0</v>
          </cell>
          <cell r="E443" t="str">
            <v>VAN</v>
          </cell>
          <cell r="F443" t="str">
            <v>MAKING 0509</v>
          </cell>
          <cell r="G443"/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R</v>
          </cell>
          <cell r="AC443">
            <v>0</v>
          </cell>
          <cell r="AD443">
            <v>0</v>
          </cell>
          <cell r="AE443" t="str">
            <v xml:space="preserve">5/9: no CS pend </v>
          </cell>
          <cell r="AF443" t="str">
            <v>SAIGON TRADE &amp; PRODUCTION DEVELOPMENT CORPORATION- BRANCH THU DUC</v>
          </cell>
          <cell r="AG443" t="str">
            <v>SAIGON TRADE &amp; PRODUCTION DEVELOPMENT CORPORATION- BRANCH THU DUC</v>
          </cell>
          <cell r="AH443" t="str">
            <v>REGULAR</v>
          </cell>
          <cell r="AI443">
            <v>45044</v>
          </cell>
          <cell r="AJ443"/>
          <cell r="AK443"/>
          <cell r="AL443">
            <v>45055</v>
          </cell>
          <cell r="AM443">
            <v>45055</v>
          </cell>
          <cell r="AN443"/>
          <cell r="AO443">
            <v>45056</v>
          </cell>
          <cell r="AP443" t="str">
            <v>MUST</v>
          </cell>
        </row>
        <row r="444">
          <cell r="A444">
            <v>96231170429</v>
          </cell>
          <cell r="B444" t="str">
            <v>AN-JJAF00007</v>
          </cell>
          <cell r="C444">
            <v>0</v>
          </cell>
          <cell r="D444">
            <v>0</v>
          </cell>
          <cell r="E444" t="str">
            <v>VAN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 t="str">
            <v>A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1</v>
          </cell>
          <cell r="AB444" t="str">
            <v>AN HANDLE</v>
          </cell>
          <cell r="AC444">
            <v>0</v>
          </cell>
          <cell r="AD444">
            <v>0</v>
          </cell>
          <cell r="AE444">
            <v>0</v>
          </cell>
          <cell r="AF444" t="str">
            <v>PT BUREAU VERITAS CONSUMER PRODUCTS SERVICES INDONESIA</v>
          </cell>
          <cell r="AG444" t="str">
            <v>PT BUREAU VERITAS CONSUMER PRODUCTS SERVICES INDONESIA</v>
          </cell>
          <cell r="AH444" t="str">
            <v>REGULAR</v>
          </cell>
          <cell r="AI444">
            <v>45043</v>
          </cell>
          <cell r="AJ444"/>
          <cell r="AK444"/>
          <cell r="AL444">
            <v>45052</v>
          </cell>
          <cell r="AM444">
            <v>45052</v>
          </cell>
          <cell r="AN444"/>
          <cell r="AO444">
            <v>45054</v>
          </cell>
          <cell r="AP444" t="str">
            <v>AN HANDLE</v>
          </cell>
        </row>
        <row r="445">
          <cell r="A445">
            <v>96231170431</v>
          </cell>
          <cell r="B445" t="str">
            <v>USD</v>
          </cell>
          <cell r="C445">
            <v>0</v>
          </cell>
          <cell r="D445">
            <v>0</v>
          </cell>
          <cell r="E445" t="str">
            <v>SHE</v>
          </cell>
          <cell r="F445">
            <v>0</v>
          </cell>
          <cell r="G445">
            <v>0</v>
          </cell>
          <cell r="H445">
            <v>0</v>
          </cell>
          <cell r="I445" t="str">
            <v>Z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1</v>
          </cell>
          <cell r="AB445" t="str">
            <v>Z</v>
          </cell>
          <cell r="AC445" t="str">
            <v>x</v>
          </cell>
          <cell r="AD445" t="str">
            <v>YES</v>
          </cell>
          <cell r="AE445" t="str">
            <v>5/9: off, 4/28: wait confirm PI, wait confirm test type E</v>
          </cell>
          <cell r="AF445" t="str">
            <v>GREATREE INDUSTRIAL CORPORATION</v>
          </cell>
          <cell r="AG445" t="str">
            <v>GREATREE INDUSTRIAL CORPORATION</v>
          </cell>
          <cell r="AH445" t="str">
            <v>REGULAR</v>
          </cell>
          <cell r="AI445">
            <v>45043</v>
          </cell>
          <cell r="AJ445">
            <v>45050</v>
          </cell>
          <cell r="AK445"/>
          <cell r="AL445">
            <v>45052</v>
          </cell>
          <cell r="AM445">
            <v>45052</v>
          </cell>
          <cell r="AN445"/>
          <cell r="AO445">
            <v>45054</v>
          </cell>
          <cell r="AP445" t="str">
            <v>OFF HOLD</v>
          </cell>
        </row>
        <row r="446">
          <cell r="A446">
            <v>96231170443</v>
          </cell>
          <cell r="B446" t="str">
            <v>USD</v>
          </cell>
          <cell r="C446">
            <v>0</v>
          </cell>
          <cell r="D446">
            <v>0</v>
          </cell>
          <cell r="E446" t="str">
            <v>SHE</v>
          </cell>
          <cell r="F446">
            <v>0</v>
          </cell>
          <cell r="G446">
            <v>0</v>
          </cell>
          <cell r="H446">
            <v>0</v>
          </cell>
          <cell r="I446" t="str">
            <v>Z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1</v>
          </cell>
          <cell r="AB446" t="str">
            <v>Z</v>
          </cell>
          <cell r="AC446" t="str">
            <v>x</v>
          </cell>
          <cell r="AD446" t="str">
            <v>YES</v>
          </cell>
          <cell r="AE446" t="str">
            <v>5/9: off, 4/28: wait confirm PI, wait confirm test type E</v>
          </cell>
          <cell r="AF446" t="str">
            <v>GREATREE INDUSTRIAL CORPORATION</v>
          </cell>
          <cell r="AG446" t="str">
            <v>GREATREE INDUSTRIAL CORPORATION</v>
          </cell>
          <cell r="AH446" t="str">
            <v>REGULAR</v>
          </cell>
          <cell r="AI446">
            <v>45043</v>
          </cell>
          <cell r="AJ446">
            <v>45050</v>
          </cell>
          <cell r="AK446"/>
          <cell r="AL446">
            <v>45052</v>
          </cell>
          <cell r="AM446">
            <v>45052</v>
          </cell>
          <cell r="AN446"/>
          <cell r="AO446">
            <v>45054</v>
          </cell>
          <cell r="AP446" t="str">
            <v>OFF HOLD</v>
          </cell>
        </row>
        <row r="447">
          <cell r="A447">
            <v>96231170448</v>
          </cell>
          <cell r="B447" t="str">
            <v>USD</v>
          </cell>
          <cell r="C447">
            <v>0</v>
          </cell>
          <cell r="D447">
            <v>0</v>
          </cell>
          <cell r="E447" t="str">
            <v>SHE</v>
          </cell>
          <cell r="F447">
            <v>0</v>
          </cell>
          <cell r="G447">
            <v>0</v>
          </cell>
          <cell r="H447">
            <v>0</v>
          </cell>
          <cell r="I447" t="str">
            <v>Z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1</v>
          </cell>
          <cell r="AB447" t="str">
            <v>Z</v>
          </cell>
          <cell r="AC447" t="str">
            <v>x</v>
          </cell>
          <cell r="AD447" t="str">
            <v>YES</v>
          </cell>
          <cell r="AE447" t="str">
            <v>5/9: off, 4/28: wait confirm PI, wait confirm test type E</v>
          </cell>
          <cell r="AF447" t="str">
            <v>GREATREE INDUSTRIAL CORPORATION</v>
          </cell>
          <cell r="AG447" t="str">
            <v>GREATREE INDUSTRIAL CORPORATION</v>
          </cell>
          <cell r="AH447" t="str">
            <v>REGULAR</v>
          </cell>
          <cell r="AI447">
            <v>45043</v>
          </cell>
          <cell r="AJ447">
            <v>45050</v>
          </cell>
          <cell r="AK447"/>
          <cell r="AL447">
            <v>45052</v>
          </cell>
          <cell r="AM447">
            <v>45052</v>
          </cell>
          <cell r="AN447"/>
          <cell r="AO447">
            <v>45054</v>
          </cell>
          <cell r="AP447" t="str">
            <v>OFF HOLD</v>
          </cell>
        </row>
        <row r="448">
          <cell r="A448">
            <v>96231170454</v>
          </cell>
          <cell r="B448" t="str">
            <v>USD</v>
          </cell>
          <cell r="C448">
            <v>0</v>
          </cell>
          <cell r="D448">
            <v>0</v>
          </cell>
          <cell r="E448" t="str">
            <v>SHE</v>
          </cell>
          <cell r="F448">
            <v>0</v>
          </cell>
          <cell r="G448">
            <v>0</v>
          </cell>
          <cell r="H448">
            <v>0</v>
          </cell>
          <cell r="I448" t="str">
            <v>Z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1</v>
          </cell>
          <cell r="AB448" t="str">
            <v>Z</v>
          </cell>
          <cell r="AC448" t="str">
            <v>x</v>
          </cell>
          <cell r="AD448" t="str">
            <v>YES</v>
          </cell>
          <cell r="AE448" t="str">
            <v>5/9: off, 4/28: wait confirm PI, wait confirm test type E</v>
          </cell>
          <cell r="AF448" t="str">
            <v>GREATREE INDUSTRIAL CORPORATION</v>
          </cell>
          <cell r="AG448" t="str">
            <v>GREATREE INDUSTRIAL CORPORATION</v>
          </cell>
          <cell r="AH448" t="str">
            <v>REGULAR</v>
          </cell>
          <cell r="AI448">
            <v>45043</v>
          </cell>
          <cell r="AJ448">
            <v>45050</v>
          </cell>
          <cell r="AK448"/>
          <cell r="AL448">
            <v>45052</v>
          </cell>
          <cell r="AM448">
            <v>45052</v>
          </cell>
          <cell r="AN448"/>
          <cell r="AO448">
            <v>45054</v>
          </cell>
          <cell r="AP448" t="str">
            <v>OFF HOLD</v>
          </cell>
        </row>
        <row r="449">
          <cell r="A449">
            <v>96231170466</v>
          </cell>
          <cell r="B449" t="str">
            <v>EU-AS</v>
          </cell>
          <cell r="C449">
            <v>0</v>
          </cell>
          <cell r="D449">
            <v>0</v>
          </cell>
          <cell r="E449" t="str">
            <v>TAN</v>
          </cell>
          <cell r="F449">
            <v>0</v>
          </cell>
          <cell r="G449">
            <v>0</v>
          </cell>
          <cell r="H449" t="str">
            <v>E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1</v>
          </cell>
          <cell r="AB449" t="str">
            <v>E</v>
          </cell>
          <cell r="AC449">
            <v>0</v>
          </cell>
          <cell r="AD449">
            <v>0</v>
          </cell>
          <cell r="AE449" t="str">
            <v xml:space="preserve">5/4: no cs pend </v>
          </cell>
          <cell r="AF449" t="str">
            <v>IKEA SERVICES VIETNAM CO LTD</v>
          </cell>
          <cell r="AG449" t="str">
            <v>IKEA OF SWEDEN AB</v>
          </cell>
          <cell r="AH449" t="str">
            <v>REGULAR</v>
          </cell>
          <cell r="AI449">
            <v>45043</v>
          </cell>
          <cell r="AJ449"/>
          <cell r="AK449"/>
          <cell r="AL449">
            <v>45052</v>
          </cell>
          <cell r="AM449">
            <v>45052</v>
          </cell>
          <cell r="AN449"/>
          <cell r="AO449">
            <v>45054</v>
          </cell>
          <cell r="AP449" t="str">
            <v>OFF HOLD</v>
          </cell>
        </row>
        <row r="450">
          <cell r="A450">
            <v>96231170470</v>
          </cell>
          <cell r="B450" t="str">
            <v>EU-AS</v>
          </cell>
          <cell r="C450">
            <v>0</v>
          </cell>
          <cell r="D450">
            <v>0</v>
          </cell>
          <cell r="E450" t="str">
            <v>TAN</v>
          </cell>
          <cell r="F450">
            <v>0</v>
          </cell>
          <cell r="G450">
            <v>0</v>
          </cell>
          <cell r="H450" t="str">
            <v>E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1</v>
          </cell>
          <cell r="AB450" t="str">
            <v>E</v>
          </cell>
          <cell r="AC450">
            <v>0</v>
          </cell>
          <cell r="AD450">
            <v>0</v>
          </cell>
          <cell r="AE450" t="str">
            <v xml:space="preserve">5/4: no cs pend </v>
          </cell>
          <cell r="AF450" t="str">
            <v>IKEA SERVICES VIETNAM CO LTD</v>
          </cell>
          <cell r="AG450" t="str">
            <v>IKEA OF SWEDEN AB</v>
          </cell>
          <cell r="AH450" t="str">
            <v>REGULAR</v>
          </cell>
          <cell r="AI450">
            <v>45043</v>
          </cell>
          <cell r="AJ450"/>
          <cell r="AK450"/>
          <cell r="AL450">
            <v>45052</v>
          </cell>
          <cell r="AM450">
            <v>45052</v>
          </cell>
          <cell r="AN450"/>
          <cell r="AO450">
            <v>45054</v>
          </cell>
          <cell r="AP450" t="str">
            <v>OFF HOLD</v>
          </cell>
        </row>
        <row r="451">
          <cell r="A451">
            <v>96231170472</v>
          </cell>
          <cell r="B451" t="str">
            <v>EU-AS</v>
          </cell>
          <cell r="C451">
            <v>0</v>
          </cell>
          <cell r="D451">
            <v>0</v>
          </cell>
          <cell r="E451" t="str">
            <v>TAN</v>
          </cell>
          <cell r="F451">
            <v>0</v>
          </cell>
          <cell r="G451">
            <v>0</v>
          </cell>
          <cell r="H451" t="str">
            <v>E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1</v>
          </cell>
          <cell r="AB451" t="str">
            <v>E</v>
          </cell>
          <cell r="AC451">
            <v>0</v>
          </cell>
          <cell r="AD451">
            <v>0</v>
          </cell>
          <cell r="AE451" t="str">
            <v xml:space="preserve">5/4: no cs pend </v>
          </cell>
          <cell r="AF451" t="str">
            <v>IKEA SERVICES VIETNAM CO LTD</v>
          </cell>
          <cell r="AG451" t="str">
            <v>IKEA OF SWEDEN AB</v>
          </cell>
          <cell r="AH451" t="str">
            <v>REGULAR</v>
          </cell>
          <cell r="AI451">
            <v>45043</v>
          </cell>
          <cell r="AJ451"/>
          <cell r="AK451"/>
          <cell r="AL451">
            <v>45052</v>
          </cell>
          <cell r="AM451">
            <v>45052</v>
          </cell>
          <cell r="AN451"/>
          <cell r="AO451">
            <v>45054</v>
          </cell>
          <cell r="AP451" t="str">
            <v>OFF HOLD</v>
          </cell>
        </row>
        <row r="452">
          <cell r="A452">
            <v>96231170485</v>
          </cell>
          <cell r="B452" t="str">
            <v>JP-AS</v>
          </cell>
          <cell r="C452">
            <v>0</v>
          </cell>
          <cell r="D452">
            <v>0</v>
          </cell>
          <cell r="E452" t="str">
            <v>VAN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 t="str">
            <v>H</v>
          </cell>
          <cell r="K452">
            <v>0</v>
          </cell>
          <cell r="L452" t="str">
            <v>J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2</v>
          </cell>
          <cell r="AB452" t="str">
            <v>H, J</v>
          </cell>
          <cell r="AC452">
            <v>0</v>
          </cell>
          <cell r="AD452" t="str">
            <v>YES</v>
          </cell>
          <cell r="AE452">
            <v>0</v>
          </cell>
          <cell r="AF452" t="str">
            <v>DELTA ENTERPRISE CORP. D/B/A DELTA CHILDREN'S PRODUCTS</v>
          </cell>
          <cell r="AG452" t="str">
            <v>DELTA ENTERPRISE CORP. D/B/A DELTA CHILDREN'S PRODUCTS</v>
          </cell>
          <cell r="AH452" t="str">
            <v>REGULAR</v>
          </cell>
          <cell r="AI452">
            <v>45043</v>
          </cell>
          <cell r="AJ452">
            <v>45054</v>
          </cell>
          <cell r="AK452">
            <v>45054</v>
          </cell>
          <cell r="AL452">
            <v>45059</v>
          </cell>
          <cell r="AM452">
            <v>45059</v>
          </cell>
          <cell r="AN452"/>
          <cell r="AO452">
            <v>45061</v>
          </cell>
          <cell r="AP452" t="str">
            <v>OFF HOLD</v>
          </cell>
        </row>
        <row r="453">
          <cell r="A453">
            <v>96231170489</v>
          </cell>
          <cell r="B453" t="str">
            <v>JP</v>
          </cell>
          <cell r="C453">
            <v>0</v>
          </cell>
          <cell r="D453">
            <v>0</v>
          </cell>
          <cell r="E453" t="str">
            <v>ELV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 t="str">
            <v>H</v>
          </cell>
          <cell r="K453">
            <v>0</v>
          </cell>
          <cell r="L453" t="str">
            <v>J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 t="str">
            <v>Q</v>
          </cell>
          <cell r="W453" t="str">
            <v>V</v>
          </cell>
          <cell r="X453">
            <v>0</v>
          </cell>
          <cell r="Y453">
            <v>0</v>
          </cell>
          <cell r="Z453">
            <v>0</v>
          </cell>
          <cell r="AA453">
            <v>4</v>
          </cell>
          <cell r="AB453" t="str">
            <v>H, J, Q, V</v>
          </cell>
          <cell r="AC453">
            <v>0</v>
          </cell>
          <cell r="AD453" t="str">
            <v>YES</v>
          </cell>
          <cell r="AE453">
            <v>0</v>
          </cell>
          <cell r="AF453" t="str">
            <v>DREAM ON ME INC</v>
          </cell>
          <cell r="AG453" t="str">
            <v>DREAM ON ME INC</v>
          </cell>
          <cell r="AH453" t="str">
            <v>REGULAR</v>
          </cell>
          <cell r="AI453">
            <v>45043</v>
          </cell>
          <cell r="AJ453">
            <v>45054</v>
          </cell>
          <cell r="AK453">
            <v>45054</v>
          </cell>
          <cell r="AL453">
            <v>45058</v>
          </cell>
          <cell r="AM453">
            <v>45059</v>
          </cell>
          <cell r="AN453"/>
          <cell r="AO453">
            <v>45061</v>
          </cell>
          <cell r="AP453" t="str">
            <v>OFF HOLD</v>
          </cell>
        </row>
        <row r="454">
          <cell r="A454">
            <v>96231170492</v>
          </cell>
          <cell r="B454" t="str">
            <v>JP</v>
          </cell>
          <cell r="C454">
            <v>0</v>
          </cell>
          <cell r="D454">
            <v>0</v>
          </cell>
          <cell r="E454" t="str">
            <v>ELV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 t="str">
            <v>H</v>
          </cell>
          <cell r="K454">
            <v>0</v>
          </cell>
          <cell r="L454" t="str">
            <v>J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 t="str">
            <v>Q</v>
          </cell>
          <cell r="W454" t="str">
            <v>V</v>
          </cell>
          <cell r="X454">
            <v>0</v>
          </cell>
          <cell r="Y454">
            <v>0</v>
          </cell>
          <cell r="Z454">
            <v>0</v>
          </cell>
          <cell r="AA454">
            <v>4</v>
          </cell>
          <cell r="AB454" t="str">
            <v>H, J, Q, V</v>
          </cell>
          <cell r="AC454">
            <v>0</v>
          </cell>
          <cell r="AD454" t="str">
            <v>YES</v>
          </cell>
          <cell r="AE454">
            <v>0</v>
          </cell>
          <cell r="AF454" t="str">
            <v>DREAM ON ME INC</v>
          </cell>
          <cell r="AG454" t="str">
            <v>DREAM ON ME INC</v>
          </cell>
          <cell r="AH454" t="str">
            <v>REGULAR</v>
          </cell>
          <cell r="AI454">
            <v>45043</v>
          </cell>
          <cell r="AJ454"/>
          <cell r="AK454"/>
          <cell r="AL454">
            <v>45054</v>
          </cell>
          <cell r="AM454">
            <v>45055</v>
          </cell>
          <cell r="AN454"/>
          <cell r="AO454">
            <v>45056</v>
          </cell>
          <cell r="AP454" t="str">
            <v>MUST</v>
          </cell>
        </row>
        <row r="455">
          <cell r="A455">
            <v>96231170499</v>
          </cell>
          <cell r="B455" t="str">
            <v>CD-11231150127</v>
          </cell>
          <cell r="C455">
            <v>0</v>
          </cell>
          <cell r="D455" t="str">
            <v>van</v>
          </cell>
          <cell r="E455" t="str">
            <v>VAN</v>
          </cell>
          <cell r="F455" t="str">
            <v>DONE 0509
FIRST MAKING 0506-SL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H, L</v>
          </cell>
          <cell r="AC455">
            <v>0</v>
          </cell>
          <cell r="AD455">
            <v>0</v>
          </cell>
          <cell r="AE455" t="str">
            <v>5/8: no CS pend; 5/5: test clarification</v>
          </cell>
          <cell r="AF455" t="str">
            <v>BUREAU VERITAS (CAMBODIA) LIMITED</v>
          </cell>
          <cell r="AG455" t="str">
            <v>BUREAU VERITAS (CAMBODIA) LIMITED</v>
          </cell>
          <cell r="AH455" t="str">
            <v>URGENT</v>
          </cell>
          <cell r="AI455">
            <v>45044</v>
          </cell>
          <cell r="AJ455">
            <v>45054</v>
          </cell>
          <cell r="AK455">
            <v>45054</v>
          </cell>
          <cell r="AL455">
            <v>45055</v>
          </cell>
          <cell r="AM455">
            <v>45055</v>
          </cell>
          <cell r="AN455"/>
          <cell r="AO455">
            <v>45056</v>
          </cell>
          <cell r="AP455" t="str">
            <v>MUST</v>
          </cell>
        </row>
        <row r="456">
          <cell r="A456">
            <v>96231170500</v>
          </cell>
          <cell r="B456" t="str">
            <v>CD-11231150139</v>
          </cell>
          <cell r="C456">
            <v>0</v>
          </cell>
          <cell r="D456">
            <v>0</v>
          </cell>
          <cell r="E456" t="str">
            <v>VAN</v>
          </cell>
          <cell r="F456" t="str">
            <v>MAKING 0509</v>
          </cell>
          <cell r="G456">
            <v>0</v>
          </cell>
          <cell r="H456">
            <v>0</v>
          </cell>
          <cell r="I456">
            <v>0</v>
          </cell>
          <cell r="J456"/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 t="str">
            <v>P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1</v>
          </cell>
          <cell r="AB456" t="str">
            <v>H, P, L</v>
          </cell>
          <cell r="AC456">
            <v>0</v>
          </cell>
          <cell r="AD456">
            <v>0</v>
          </cell>
          <cell r="AE456" t="str">
            <v>5/5: test clarification</v>
          </cell>
          <cell r="AF456" t="str">
            <v>BUREAU VERITAS (CAMBODIA) LIMITED</v>
          </cell>
          <cell r="AG456" t="str">
            <v>BUREAU VERITAS (CAMBODIA) LIMITED</v>
          </cell>
          <cell r="AH456" t="str">
            <v>URGENT</v>
          </cell>
          <cell r="AI456">
            <v>45044</v>
          </cell>
          <cell r="AJ456">
            <v>45051</v>
          </cell>
          <cell r="AK456"/>
          <cell r="AL456">
            <v>45050</v>
          </cell>
          <cell r="AM456">
            <v>45050</v>
          </cell>
          <cell r="AN456">
            <v>45051</v>
          </cell>
          <cell r="AO456">
            <v>45050</v>
          </cell>
          <cell r="AP456" t="str">
            <v>LATE</v>
          </cell>
        </row>
        <row r="457">
          <cell r="A457">
            <v>96231170501</v>
          </cell>
          <cell r="B457" t="str">
            <v>CD-11231150152</v>
          </cell>
          <cell r="C457">
            <v>0</v>
          </cell>
          <cell r="D457" t="str">
            <v>van</v>
          </cell>
          <cell r="E457" t="str">
            <v>VAN</v>
          </cell>
          <cell r="F457" t="str">
            <v>DONE 0509
MAKING 0509</v>
          </cell>
          <cell r="G457">
            <v>0</v>
          </cell>
          <cell r="H457">
            <v>0</v>
          </cell>
          <cell r="I457">
            <v>0</v>
          </cell>
          <cell r="J457"/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H, P, L</v>
          </cell>
          <cell r="AC457">
            <v>0</v>
          </cell>
          <cell r="AD457">
            <v>0</v>
          </cell>
          <cell r="AE457" t="str">
            <v>5/5: test clarification</v>
          </cell>
          <cell r="AF457" t="str">
            <v>BUREAU VERITAS (CAMBODIA) LIMITED</v>
          </cell>
          <cell r="AG457" t="str">
            <v>BUREAU VERITAS (CAMBODIA) LIMITED</v>
          </cell>
          <cell r="AH457" t="str">
            <v>URGENT</v>
          </cell>
          <cell r="AI457">
            <v>45044</v>
          </cell>
          <cell r="AJ457">
            <v>45051</v>
          </cell>
          <cell r="AK457"/>
          <cell r="AL457">
            <v>45050</v>
          </cell>
          <cell r="AM457">
            <v>45050</v>
          </cell>
          <cell r="AN457">
            <v>45051</v>
          </cell>
          <cell r="AO457">
            <v>45050</v>
          </cell>
          <cell r="AP457" t="str">
            <v>LATE</v>
          </cell>
        </row>
        <row r="458">
          <cell r="A458">
            <v>96231170502</v>
          </cell>
          <cell r="B458" t="str">
            <v>CD-11231150069</v>
          </cell>
          <cell r="C458">
            <v>0</v>
          </cell>
          <cell r="D458">
            <v>0</v>
          </cell>
          <cell r="E458" t="str">
            <v>VAN</v>
          </cell>
          <cell r="F458" t="str">
            <v>FIRST MAKING 0508-SL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 t="str">
            <v>P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1</v>
          </cell>
          <cell r="AB458" t="str">
            <v>H, P, F, Q, V</v>
          </cell>
          <cell r="AC458">
            <v>0</v>
          </cell>
          <cell r="AD458">
            <v>0</v>
          </cell>
          <cell r="AE458" t="str">
            <v>5/8, 5/5: no CS pend</v>
          </cell>
          <cell r="AF458" t="str">
            <v>BUREAU VERITAS (CAMBODIA) LIMITED</v>
          </cell>
          <cell r="AG458" t="str">
            <v>BUREAU VERITAS (CAMBODIA) LIMITED</v>
          </cell>
          <cell r="AH458" t="str">
            <v>URGENT</v>
          </cell>
          <cell r="AI458">
            <v>45044</v>
          </cell>
          <cell r="AJ458"/>
          <cell r="AK458"/>
          <cell r="AL458">
            <v>45050</v>
          </cell>
          <cell r="AM458">
            <v>45050</v>
          </cell>
          <cell r="AN458">
            <v>45051</v>
          </cell>
          <cell r="AO458">
            <v>45050</v>
          </cell>
          <cell r="AP458" t="str">
            <v>LATE</v>
          </cell>
        </row>
        <row r="459">
          <cell r="A459">
            <v>96231170507</v>
          </cell>
          <cell r="B459" t="str">
            <v>TY</v>
          </cell>
          <cell r="C459">
            <v>0</v>
          </cell>
          <cell r="D459">
            <v>0</v>
          </cell>
          <cell r="E459" t="str">
            <v>VAN</v>
          </cell>
          <cell r="F459" t="str">
            <v>MAKING 0509</v>
          </cell>
          <cell r="G459">
            <v>0</v>
          </cell>
          <cell r="H459">
            <v>0</v>
          </cell>
          <cell r="I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H, T, Q, V</v>
          </cell>
          <cell r="AC459">
            <v>0</v>
          </cell>
          <cell r="AD459">
            <v>0</v>
          </cell>
          <cell r="AE459">
            <v>0</v>
          </cell>
          <cell r="AF459" t="str">
            <v>SKY DRAGON VIETNAM COMPANY LIMITED</v>
          </cell>
          <cell r="AG459" t="str">
            <v>SKY DRAGON VIETNAM COMPANY LIMITED</v>
          </cell>
          <cell r="AH459" t="str">
            <v>REGULAR</v>
          </cell>
          <cell r="AI459">
            <v>45044</v>
          </cell>
          <cell r="AJ459"/>
          <cell r="AK459"/>
          <cell r="AL459">
            <v>45054</v>
          </cell>
          <cell r="AM459">
            <v>45054</v>
          </cell>
          <cell r="AN459">
            <v>45057</v>
          </cell>
          <cell r="AO459">
            <v>45055</v>
          </cell>
          <cell r="AP459" t="str">
            <v>DUE</v>
          </cell>
        </row>
        <row r="460">
          <cell r="A460">
            <v>96231170517</v>
          </cell>
          <cell r="B460" t="str">
            <v>EE-EED-QTY</v>
          </cell>
          <cell r="C460">
            <v>0</v>
          </cell>
          <cell r="D460">
            <v>0</v>
          </cell>
          <cell r="E460" t="str">
            <v>LYNN</v>
          </cell>
          <cell r="F460" t="str">
            <v>FIRST MAKING 0506-EE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EE REPORT</v>
          </cell>
          <cell r="AC460">
            <v>0</v>
          </cell>
          <cell r="AD460" t="str">
            <v>YES</v>
          </cell>
          <cell r="AE460">
            <v>0</v>
          </cell>
          <cell r="AF460" t="str">
            <v>UNIVERSAL CANDLE CO LTD</v>
          </cell>
          <cell r="AG460" t="str">
            <v>TARGET CORPORATION</v>
          </cell>
          <cell r="AH460" t="str">
            <v>REGULAR</v>
          </cell>
          <cell r="AI460">
            <v>45043</v>
          </cell>
          <cell r="AJ460"/>
          <cell r="AK460"/>
          <cell r="AL460">
            <v>45068</v>
          </cell>
          <cell r="AM460">
            <v>45068</v>
          </cell>
          <cell r="AN460"/>
          <cell r="AO460">
            <v>45069</v>
          </cell>
          <cell r="AP460" t="str">
            <v>ACTIVE</v>
          </cell>
        </row>
        <row r="461">
          <cell r="A461">
            <v>96231180065</v>
          </cell>
          <cell r="B461" t="str">
            <v>CD-RF RESULT+SP 96230700420</v>
          </cell>
          <cell r="C461">
            <v>0</v>
          </cell>
          <cell r="D461">
            <v>0</v>
          </cell>
          <cell r="E461" t="str">
            <v>SHE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 t="str">
            <v>H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 t="str">
            <v>Q</v>
          </cell>
          <cell r="W461" t="str">
            <v>V</v>
          </cell>
          <cell r="X461">
            <v>0</v>
          </cell>
          <cell r="Y461">
            <v>0</v>
          </cell>
          <cell r="Z461">
            <v>0</v>
          </cell>
          <cell r="AA461">
            <v>3</v>
          </cell>
          <cell r="AB461" t="str">
            <v>H, Q, V</v>
          </cell>
          <cell r="AC461">
            <v>0</v>
          </cell>
          <cell r="AD461">
            <v>0</v>
          </cell>
          <cell r="AE461">
            <v>0</v>
          </cell>
          <cell r="AF461" t="str">
            <v>GLOBAL OUTDOORS, INC.</v>
          </cell>
          <cell r="AG461" t="str">
            <v>GLOBAL OUTDOORS, INC.</v>
          </cell>
          <cell r="AH461" t="str">
            <v>REGULAR</v>
          </cell>
          <cell r="AI461">
            <v>45044</v>
          </cell>
          <cell r="AJ461"/>
          <cell r="AK461"/>
          <cell r="AL461">
            <v>45055</v>
          </cell>
          <cell r="AM461">
            <v>45055</v>
          </cell>
          <cell r="AN461"/>
          <cell r="AO461">
            <v>45056</v>
          </cell>
          <cell r="AP461" t="str">
            <v>MUST</v>
          </cell>
        </row>
        <row r="462">
          <cell r="A462">
            <v>96231180075</v>
          </cell>
          <cell r="B462" t="str">
            <v>CD-RF RESULT+SP 96230650600</v>
          </cell>
          <cell r="C462">
            <v>0</v>
          </cell>
          <cell r="D462">
            <v>0</v>
          </cell>
          <cell r="E462" t="str">
            <v>SHE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 t="str">
            <v>H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 t="str">
            <v>Q</v>
          </cell>
          <cell r="W462" t="str">
            <v>V</v>
          </cell>
          <cell r="X462">
            <v>0</v>
          </cell>
          <cell r="Y462">
            <v>0</v>
          </cell>
          <cell r="Z462">
            <v>0</v>
          </cell>
          <cell r="AA462">
            <v>3</v>
          </cell>
          <cell r="AB462" t="str">
            <v>H, Q, V</v>
          </cell>
          <cell r="AC462">
            <v>0</v>
          </cell>
          <cell r="AD462">
            <v>0</v>
          </cell>
          <cell r="AE462">
            <v>0</v>
          </cell>
          <cell r="AF462" t="str">
            <v>GLOBAL OUTDOORS, INC.</v>
          </cell>
          <cell r="AG462" t="str">
            <v>GLOBAL OUTDOORS, INC.</v>
          </cell>
          <cell r="AH462" t="str">
            <v>REGULAR</v>
          </cell>
          <cell r="AI462">
            <v>45044</v>
          </cell>
          <cell r="AJ462"/>
          <cell r="AK462"/>
          <cell r="AL462">
            <v>45055</v>
          </cell>
          <cell r="AM462">
            <v>45055</v>
          </cell>
          <cell r="AN462"/>
          <cell r="AO462">
            <v>45056</v>
          </cell>
          <cell r="AP462" t="str">
            <v>MUST</v>
          </cell>
        </row>
        <row r="463">
          <cell r="A463">
            <v>96231180107</v>
          </cell>
          <cell r="B463" t="str">
            <v>CD-RF RESULT+SP 96230630407</v>
          </cell>
          <cell r="C463">
            <v>0</v>
          </cell>
          <cell r="D463">
            <v>0</v>
          </cell>
          <cell r="E463" t="str">
            <v>SHE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 t="str">
            <v>H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 t="str">
            <v>Q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2</v>
          </cell>
          <cell r="AB463" t="str">
            <v>H, Q</v>
          </cell>
          <cell r="AC463">
            <v>0</v>
          </cell>
          <cell r="AD463">
            <v>0</v>
          </cell>
          <cell r="AE463">
            <v>0</v>
          </cell>
          <cell r="AF463" t="str">
            <v>GLOBAL OUTDOORS, INC.</v>
          </cell>
          <cell r="AG463" t="str">
            <v>GLOBAL OUTDOORS, INC.</v>
          </cell>
          <cell r="AH463" t="str">
            <v>REGULAR</v>
          </cell>
          <cell r="AI463">
            <v>45044</v>
          </cell>
          <cell r="AJ463"/>
          <cell r="AK463"/>
          <cell r="AL463">
            <v>45055</v>
          </cell>
          <cell r="AM463">
            <v>45055</v>
          </cell>
          <cell r="AN463"/>
          <cell r="AO463">
            <v>45056</v>
          </cell>
          <cell r="AP463" t="str">
            <v>MUST</v>
          </cell>
        </row>
        <row r="464">
          <cell r="A464">
            <v>96231180120</v>
          </cell>
          <cell r="B464" t="str">
            <v>JP-AS</v>
          </cell>
          <cell r="C464">
            <v>0</v>
          </cell>
          <cell r="D464">
            <v>0</v>
          </cell>
          <cell r="E464" t="str">
            <v>TAN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 t="str">
            <v>H</v>
          </cell>
          <cell r="K464">
            <v>0</v>
          </cell>
          <cell r="L464" t="str">
            <v>J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 t="str">
            <v>Q</v>
          </cell>
          <cell r="W464" t="str">
            <v>V</v>
          </cell>
          <cell r="X464">
            <v>0</v>
          </cell>
          <cell r="Y464">
            <v>0</v>
          </cell>
          <cell r="Z464">
            <v>0</v>
          </cell>
          <cell r="AA464">
            <v>4</v>
          </cell>
          <cell r="AB464" t="str">
            <v>H, J, Q, V</v>
          </cell>
          <cell r="AC464">
            <v>0</v>
          </cell>
          <cell r="AD464" t="str">
            <v>YES</v>
          </cell>
          <cell r="AE464">
            <v>0</v>
          </cell>
          <cell r="AF464" t="str">
            <v>MILLION DOLLAR BABY</v>
          </cell>
          <cell r="AG464" t="str">
            <v>MILLION DOLLAR BABY</v>
          </cell>
          <cell r="AH464" t="str">
            <v>REGULAR</v>
          </cell>
          <cell r="AI464">
            <v>45044</v>
          </cell>
          <cell r="AJ464"/>
          <cell r="AK464"/>
          <cell r="AL464">
            <v>45054</v>
          </cell>
          <cell r="AM464">
            <v>45054</v>
          </cell>
          <cell r="AN464">
            <v>45056</v>
          </cell>
          <cell r="AO464">
            <v>45055</v>
          </cell>
          <cell r="AP464" t="str">
            <v>DUE</v>
          </cell>
        </row>
        <row r="465">
          <cell r="A465">
            <v>96231180129</v>
          </cell>
          <cell r="B465" t="str">
            <v>JP-RF SP 96231180120</v>
          </cell>
          <cell r="C465">
            <v>0</v>
          </cell>
          <cell r="D465">
            <v>0</v>
          </cell>
          <cell r="E465" t="str">
            <v>TAN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 t="str">
            <v>J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 t="str">
            <v>Q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2</v>
          </cell>
          <cell r="AB465" t="str">
            <v>J, Q</v>
          </cell>
          <cell r="AC465">
            <v>0</v>
          </cell>
          <cell r="AD465" t="str">
            <v>YES</v>
          </cell>
          <cell r="AE465">
            <v>0</v>
          </cell>
          <cell r="AF465" t="str">
            <v>MILLION DOLLAR BABY</v>
          </cell>
          <cell r="AG465" t="str">
            <v>MILLION DOLLAR BABY</v>
          </cell>
          <cell r="AH465" t="str">
            <v>REGULAR</v>
          </cell>
          <cell r="AI465">
            <v>45044</v>
          </cell>
          <cell r="AJ465"/>
          <cell r="AK465"/>
          <cell r="AL465">
            <v>45054</v>
          </cell>
          <cell r="AM465">
            <v>45054</v>
          </cell>
          <cell r="AN465"/>
          <cell r="AO465">
            <v>45055</v>
          </cell>
          <cell r="AP465" t="str">
            <v>DUE</v>
          </cell>
        </row>
        <row r="466">
          <cell r="A466">
            <v>96231180144</v>
          </cell>
          <cell r="B466" t="str">
            <v>EE-QTY</v>
          </cell>
          <cell r="C466">
            <v>0</v>
          </cell>
          <cell r="D466">
            <v>0</v>
          </cell>
          <cell r="E466" t="str">
            <v>LYNN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EE REPORT</v>
          </cell>
          <cell r="AC466">
            <v>0</v>
          </cell>
          <cell r="AD466">
            <v>0</v>
          </cell>
          <cell r="AE466">
            <v>0</v>
          </cell>
          <cell r="AF466" t="str">
            <v>N/A</v>
          </cell>
          <cell r="AG466" t="str">
            <v>SAM'S CLUB</v>
          </cell>
          <cell r="AH466" t="str">
            <v>REGULAR</v>
          </cell>
          <cell r="AI466">
            <v>45044</v>
          </cell>
          <cell r="AJ466">
            <v>45052</v>
          </cell>
          <cell r="AK466">
            <v>45052</v>
          </cell>
          <cell r="AL466">
            <v>45057</v>
          </cell>
          <cell r="AM466">
            <v>45057</v>
          </cell>
          <cell r="AN466"/>
          <cell r="AO466">
            <v>45059</v>
          </cell>
          <cell r="AP466" t="str">
            <v>OFF HOLD</v>
          </cell>
        </row>
        <row r="467">
          <cell r="A467">
            <v>96231180145</v>
          </cell>
          <cell r="B467" t="str">
            <v>CD-RF RESULT+SP 96230650329</v>
          </cell>
          <cell r="C467">
            <v>0</v>
          </cell>
          <cell r="D467">
            <v>0</v>
          </cell>
          <cell r="E467" t="str">
            <v>SHE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 t="str">
            <v>H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 t="str">
            <v>Q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2</v>
          </cell>
          <cell r="AB467" t="str">
            <v>H, Q</v>
          </cell>
          <cell r="AC467">
            <v>0</v>
          </cell>
          <cell r="AD467">
            <v>0</v>
          </cell>
          <cell r="AE467">
            <v>0</v>
          </cell>
          <cell r="AF467" t="str">
            <v>GLOBAL OUTDOORS, INC.</v>
          </cell>
          <cell r="AG467" t="str">
            <v>GLOBAL OUTDOORS, INC.</v>
          </cell>
          <cell r="AH467" t="str">
            <v>REGULAR</v>
          </cell>
          <cell r="AI467">
            <v>45044</v>
          </cell>
          <cell r="AJ467"/>
          <cell r="AK467"/>
          <cell r="AL467">
            <v>45055</v>
          </cell>
          <cell r="AM467">
            <v>45055</v>
          </cell>
          <cell r="AN467"/>
          <cell r="AO467">
            <v>45056</v>
          </cell>
          <cell r="AP467" t="str">
            <v>MUST</v>
          </cell>
        </row>
        <row r="468">
          <cell r="A468">
            <v>96231180155</v>
          </cell>
          <cell r="B468" t="str">
            <v>CD-RF RESULT+SP 96230610615</v>
          </cell>
          <cell r="C468">
            <v>0</v>
          </cell>
          <cell r="D468">
            <v>0</v>
          </cell>
          <cell r="E468" t="str">
            <v>SHE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 t="str">
            <v>H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 t="str">
            <v>Q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2</v>
          </cell>
          <cell r="AB468" t="str">
            <v>H, Q</v>
          </cell>
          <cell r="AC468">
            <v>0</v>
          </cell>
          <cell r="AD468">
            <v>0</v>
          </cell>
          <cell r="AE468">
            <v>0</v>
          </cell>
          <cell r="AF468" t="str">
            <v>GLOBAL OUTDOORS, INC.</v>
          </cell>
          <cell r="AG468" t="str">
            <v>GLOBAL OUTDOORS, INC.</v>
          </cell>
          <cell r="AH468" t="str">
            <v>REGULAR</v>
          </cell>
          <cell r="AI468">
            <v>45044</v>
          </cell>
          <cell r="AJ468"/>
          <cell r="AK468"/>
          <cell r="AL468">
            <v>45055</v>
          </cell>
          <cell r="AM468">
            <v>45055</v>
          </cell>
          <cell r="AN468"/>
          <cell r="AO468">
            <v>45056</v>
          </cell>
          <cell r="AP468" t="str">
            <v>MUST</v>
          </cell>
        </row>
        <row r="469">
          <cell r="A469">
            <v>96231180158</v>
          </cell>
          <cell r="B469" t="str">
            <v>JP-AS</v>
          </cell>
          <cell r="C469">
            <v>0</v>
          </cell>
          <cell r="D469">
            <v>0</v>
          </cell>
          <cell r="E469" t="str">
            <v>TAN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 t="str">
            <v>J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 t="str">
            <v>Q</v>
          </cell>
          <cell r="W469" t="str">
            <v>V</v>
          </cell>
          <cell r="X469">
            <v>0</v>
          </cell>
          <cell r="Y469">
            <v>0</v>
          </cell>
          <cell r="Z469">
            <v>0</v>
          </cell>
          <cell r="AA469">
            <v>3</v>
          </cell>
          <cell r="AB469" t="str">
            <v>J, Q, V</v>
          </cell>
          <cell r="AC469">
            <v>0</v>
          </cell>
          <cell r="AD469" t="str">
            <v>YES</v>
          </cell>
          <cell r="AE469">
            <v>0</v>
          </cell>
          <cell r="AF469" t="str">
            <v>MILLION DOLLAR BABY</v>
          </cell>
          <cell r="AG469" t="str">
            <v>MILLION DOLLAR BABY</v>
          </cell>
          <cell r="AH469" t="str">
            <v>REGULAR</v>
          </cell>
          <cell r="AI469">
            <v>45044</v>
          </cell>
          <cell r="AJ469">
            <v>45044</v>
          </cell>
          <cell r="AK469"/>
          <cell r="AL469">
            <v>45055</v>
          </cell>
          <cell r="AM469">
            <v>45055</v>
          </cell>
          <cell r="AN469"/>
          <cell r="AO469">
            <v>45056</v>
          </cell>
          <cell r="AP469" t="str">
            <v>ON HOLD</v>
          </cell>
        </row>
        <row r="470">
          <cell r="A470">
            <v>96231180184</v>
          </cell>
          <cell r="B470" t="str">
            <v>TY</v>
          </cell>
          <cell r="C470">
            <v>0</v>
          </cell>
          <cell r="D470">
            <v>0</v>
          </cell>
          <cell r="E470" t="str">
            <v>TAN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 t="str">
            <v>H</v>
          </cell>
          <cell r="K470" t="str">
            <v>T</v>
          </cell>
          <cell r="L470">
            <v>0</v>
          </cell>
          <cell r="M470">
            <v>0</v>
          </cell>
          <cell r="N470">
            <v>0</v>
          </cell>
          <cell r="O470" t="str">
            <v>P</v>
          </cell>
          <cell r="P470" t="str">
            <v>W</v>
          </cell>
          <cell r="Q470">
            <v>0</v>
          </cell>
          <cell r="R470" t="str">
            <v>L</v>
          </cell>
          <cell r="S470" t="str">
            <v>M</v>
          </cell>
          <cell r="T470">
            <v>0</v>
          </cell>
          <cell r="U470" t="str">
            <v>A</v>
          </cell>
          <cell r="V470" t="str">
            <v>Q</v>
          </cell>
          <cell r="W470" t="str">
            <v>V</v>
          </cell>
          <cell r="X470" t="str">
            <v>X</v>
          </cell>
          <cell r="Y470" t="str">
            <v>B</v>
          </cell>
          <cell r="Z470">
            <v>0</v>
          </cell>
          <cell r="AA470">
            <v>11</v>
          </cell>
          <cell r="AB470" t="str">
            <v>H, T, P, W, F, L, M, A, Q, V, X, B</v>
          </cell>
          <cell r="AC470">
            <v>0</v>
          </cell>
          <cell r="AD470">
            <v>0</v>
          </cell>
          <cell r="AE470">
            <v>0</v>
          </cell>
          <cell r="AF470" t="str">
            <v>MASTER ESSENCE INT'L LTD</v>
          </cell>
          <cell r="AG470" t="str">
            <v>DISNEY PRODUCT INTEGRITY FLORIDA</v>
          </cell>
          <cell r="AH470" t="str">
            <v>REGULAR</v>
          </cell>
          <cell r="AI470">
            <v>45044</v>
          </cell>
          <cell r="AJ470">
            <v>45044</v>
          </cell>
          <cell r="AK470">
            <v>45051</v>
          </cell>
          <cell r="AL470">
            <v>45056</v>
          </cell>
          <cell r="AM470">
            <v>45056</v>
          </cell>
          <cell r="AN470">
            <v>45065</v>
          </cell>
          <cell r="AO470">
            <v>45057</v>
          </cell>
          <cell r="AP470" t="str">
            <v>OFF HOLD</v>
          </cell>
        </row>
        <row r="471">
          <cell r="A471">
            <v>96231180275</v>
          </cell>
          <cell r="B471" t="str">
            <v>JP-RF SP 96231180158</v>
          </cell>
          <cell r="C471">
            <v>0</v>
          </cell>
          <cell r="D471">
            <v>0</v>
          </cell>
          <cell r="E471" t="str">
            <v>TAN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 t="str">
            <v>J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 t="str">
            <v>Q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2</v>
          </cell>
          <cell r="AB471" t="str">
            <v>J, Q</v>
          </cell>
          <cell r="AC471">
            <v>0</v>
          </cell>
          <cell r="AD471" t="str">
            <v>YES</v>
          </cell>
          <cell r="AE471">
            <v>0</v>
          </cell>
          <cell r="AF471" t="str">
            <v>MILLION DOLLAR BABY</v>
          </cell>
          <cell r="AG471" t="str">
            <v>MILLION DOLLAR BABY</v>
          </cell>
          <cell r="AH471" t="str">
            <v>REGULAR</v>
          </cell>
          <cell r="AI471">
            <v>45044</v>
          </cell>
          <cell r="AJ471">
            <v>45044</v>
          </cell>
          <cell r="AK471"/>
          <cell r="AL471">
            <v>45055</v>
          </cell>
          <cell r="AM471">
            <v>45055</v>
          </cell>
          <cell r="AN471"/>
          <cell r="AO471">
            <v>45056</v>
          </cell>
          <cell r="AP471" t="str">
            <v>ON HOLD</v>
          </cell>
        </row>
        <row r="472">
          <cell r="A472">
            <v>96231180277</v>
          </cell>
          <cell r="B472" t="str">
            <v>JP-AS</v>
          </cell>
          <cell r="C472">
            <v>0</v>
          </cell>
          <cell r="D472">
            <v>0</v>
          </cell>
          <cell r="E472" t="str">
            <v>ELV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 t="str">
            <v>H</v>
          </cell>
          <cell r="K472" t="str">
            <v>T</v>
          </cell>
          <cell r="L472" t="str">
            <v>J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3</v>
          </cell>
          <cell r="AB472" t="str">
            <v>H, T, J</v>
          </cell>
          <cell r="AC472">
            <v>0</v>
          </cell>
          <cell r="AD472" t="str">
            <v>YES</v>
          </cell>
          <cell r="AE472">
            <v>0</v>
          </cell>
          <cell r="AF472" t="str">
            <v>JOHNSON WOOD (VIETNAM)., JSC</v>
          </cell>
          <cell r="AG472" t="str">
            <v>WILLIAMS-SONOMA INC</v>
          </cell>
          <cell r="AH472" t="str">
            <v>REGULAR</v>
          </cell>
          <cell r="AI472">
            <v>45044</v>
          </cell>
          <cell r="AJ472">
            <v>45051</v>
          </cell>
          <cell r="AK472"/>
          <cell r="AL472">
            <v>45054</v>
          </cell>
          <cell r="AM472">
            <v>45054</v>
          </cell>
          <cell r="AN472">
            <v>45057</v>
          </cell>
          <cell r="AO472">
            <v>45055</v>
          </cell>
          <cell r="AP472" t="str">
            <v>ON HOLD</v>
          </cell>
        </row>
        <row r="473">
          <cell r="A473">
            <v>96231180279</v>
          </cell>
          <cell r="B473" t="str">
            <v>JP-AS</v>
          </cell>
          <cell r="C473">
            <v>0</v>
          </cell>
          <cell r="D473">
            <v>0</v>
          </cell>
          <cell r="E473" t="str">
            <v>ELV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 t="str">
            <v>H</v>
          </cell>
          <cell r="K473" t="str">
            <v>T</v>
          </cell>
          <cell r="L473" t="str">
            <v>J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3</v>
          </cell>
          <cell r="AB473" t="str">
            <v>H, T, J</v>
          </cell>
          <cell r="AC473">
            <v>0</v>
          </cell>
          <cell r="AD473" t="str">
            <v>YES</v>
          </cell>
          <cell r="AE473">
            <v>0</v>
          </cell>
          <cell r="AF473" t="str">
            <v>JOHNSON WOOD (VIETNAM)., JSC</v>
          </cell>
          <cell r="AG473" t="str">
            <v>WILLIAMS-SONOMA INC</v>
          </cell>
          <cell r="AH473" t="str">
            <v>REGULAR</v>
          </cell>
          <cell r="AI473">
            <v>45044</v>
          </cell>
          <cell r="AJ473"/>
          <cell r="AK473"/>
          <cell r="AL473">
            <v>45054</v>
          </cell>
          <cell r="AM473">
            <v>45054</v>
          </cell>
          <cell r="AN473">
            <v>45056</v>
          </cell>
          <cell r="AO473">
            <v>45055</v>
          </cell>
          <cell r="AP473" t="str">
            <v>DUE</v>
          </cell>
        </row>
        <row r="474">
          <cell r="A474">
            <v>96231180282</v>
          </cell>
          <cell r="B474" t="str">
            <v>EU-AS</v>
          </cell>
          <cell r="C474">
            <v>0</v>
          </cell>
          <cell r="D474">
            <v>0</v>
          </cell>
          <cell r="E474" t="str">
            <v>SHE</v>
          </cell>
          <cell r="F474">
            <v>0</v>
          </cell>
          <cell r="G474">
            <v>0</v>
          </cell>
          <cell r="H474" t="str">
            <v>E</v>
          </cell>
          <cell r="I474">
            <v>0</v>
          </cell>
          <cell r="J474" t="str">
            <v>H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2</v>
          </cell>
          <cell r="AB474" t="str">
            <v>H, E</v>
          </cell>
          <cell r="AC474">
            <v>0</v>
          </cell>
          <cell r="AD474">
            <v>0</v>
          </cell>
          <cell r="AE474" t="str">
            <v>5/5: off, 5/5:wait confirm PI</v>
          </cell>
          <cell r="AF474" t="str">
            <v>ECO TECH COMPANY LTD</v>
          </cell>
          <cell r="AG474" t="str">
            <v>ECO TECH COMPANY LTD</v>
          </cell>
          <cell r="AH474" t="str">
            <v>REGULAR</v>
          </cell>
          <cell r="AI474">
            <v>45044</v>
          </cell>
          <cell r="AJ474">
            <v>45051</v>
          </cell>
          <cell r="AK474">
            <v>45051</v>
          </cell>
          <cell r="AL474">
            <v>45057</v>
          </cell>
          <cell r="AM474">
            <v>45057</v>
          </cell>
          <cell r="AN474"/>
          <cell r="AO474">
            <v>45058</v>
          </cell>
          <cell r="AP474" t="str">
            <v>OFF HOLD</v>
          </cell>
        </row>
        <row r="475">
          <cell r="A475">
            <v>96231180284</v>
          </cell>
          <cell r="B475" t="str">
            <v>EE-QTY</v>
          </cell>
          <cell r="C475">
            <v>0</v>
          </cell>
          <cell r="D475">
            <v>0</v>
          </cell>
          <cell r="E475" t="str">
            <v>LYNN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EE REPORT</v>
          </cell>
          <cell r="AC475">
            <v>0</v>
          </cell>
          <cell r="AD475">
            <v>0</v>
          </cell>
          <cell r="AE475">
            <v>0</v>
          </cell>
          <cell r="AF475" t="str">
            <v>THE NCC HONG KONG LTD</v>
          </cell>
          <cell r="AG475" t="str">
            <v>HOBBY LOBBY STORES, INC.</v>
          </cell>
          <cell r="AH475" t="str">
            <v>REGULAR</v>
          </cell>
          <cell r="AI475">
            <v>45044</v>
          </cell>
          <cell r="AJ475">
            <v>45052</v>
          </cell>
          <cell r="AK475">
            <v>45050</v>
          </cell>
          <cell r="AL475">
            <v>45055</v>
          </cell>
          <cell r="AM475">
            <v>45055</v>
          </cell>
          <cell r="AN475"/>
          <cell r="AO475">
            <v>45057</v>
          </cell>
          <cell r="AP475" t="str">
            <v>ON HOLD</v>
          </cell>
        </row>
        <row r="476">
          <cell r="A476">
            <v>96231180292</v>
          </cell>
          <cell r="B476" t="str">
            <v>EE-QTY</v>
          </cell>
          <cell r="C476">
            <v>0</v>
          </cell>
          <cell r="D476">
            <v>0</v>
          </cell>
          <cell r="E476" t="str">
            <v>LYNN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EE REPORT</v>
          </cell>
          <cell r="AC476">
            <v>0</v>
          </cell>
          <cell r="AD476">
            <v>0</v>
          </cell>
          <cell r="AE476">
            <v>0</v>
          </cell>
          <cell r="AF476" t="str">
            <v>THE NCC HONG KONG LTD</v>
          </cell>
          <cell r="AG476" t="str">
            <v>HOBBY LOBBY STORES, INC.</v>
          </cell>
          <cell r="AH476" t="str">
            <v>REGULAR</v>
          </cell>
          <cell r="AI476">
            <v>45044</v>
          </cell>
          <cell r="AJ476">
            <v>45052</v>
          </cell>
          <cell r="AK476">
            <v>45050</v>
          </cell>
          <cell r="AL476">
            <v>45055</v>
          </cell>
          <cell r="AM476">
            <v>45055</v>
          </cell>
          <cell r="AN476"/>
          <cell r="AO476">
            <v>45057</v>
          </cell>
          <cell r="AP476" t="str">
            <v>ON HOLD</v>
          </cell>
        </row>
        <row r="477">
          <cell r="A477">
            <v>96231180295</v>
          </cell>
          <cell r="B477" t="str">
            <v>EE-QTY</v>
          </cell>
          <cell r="C477">
            <v>0</v>
          </cell>
          <cell r="D477">
            <v>0</v>
          </cell>
          <cell r="E477" t="str">
            <v>LYNN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EE REPORT</v>
          </cell>
          <cell r="AC477">
            <v>0</v>
          </cell>
          <cell r="AD477">
            <v>0</v>
          </cell>
          <cell r="AE477">
            <v>0</v>
          </cell>
          <cell r="AF477" t="str">
            <v>THE NCC HONG KONG LTD</v>
          </cell>
          <cell r="AG477" t="str">
            <v>HOBBY LOBBY STORES, INC.</v>
          </cell>
          <cell r="AH477" t="str">
            <v>REGULAR</v>
          </cell>
          <cell r="AI477">
            <v>45044</v>
          </cell>
          <cell r="AJ477">
            <v>45052</v>
          </cell>
          <cell r="AK477">
            <v>45050</v>
          </cell>
          <cell r="AL477">
            <v>45055</v>
          </cell>
          <cell r="AM477">
            <v>45055</v>
          </cell>
          <cell r="AN477"/>
          <cell r="AO477">
            <v>45057</v>
          </cell>
          <cell r="AP477" t="str">
            <v>ON HOLD</v>
          </cell>
        </row>
        <row r="478">
          <cell r="A478">
            <v>96231180298</v>
          </cell>
          <cell r="B478" t="str">
            <v>US1-RF SP 96230930452</v>
          </cell>
          <cell r="C478">
            <v>0</v>
          </cell>
          <cell r="D478" t="str">
            <v>NGHIA</v>
          </cell>
          <cell r="E478" t="str">
            <v>MIN</v>
          </cell>
          <cell r="F478" t="str">
            <v>DONE 0508
MAKING 0508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H</v>
          </cell>
          <cell r="AC478">
            <v>0</v>
          </cell>
          <cell r="AD478">
            <v>0</v>
          </cell>
          <cell r="AE478" t="str">
            <v>0509: no CS pend</v>
          </cell>
          <cell r="AF478" t="str">
            <v>KUKA (HK) TRADE CO LIMITED</v>
          </cell>
          <cell r="AG478" t="str">
            <v>KUKA (HK) TRADE CO LIMITED</v>
          </cell>
          <cell r="AH478" t="str">
            <v>REGULAR</v>
          </cell>
          <cell r="AI478">
            <v>45044</v>
          </cell>
          <cell r="AJ478"/>
          <cell r="AK478"/>
          <cell r="AL478">
            <v>45055</v>
          </cell>
          <cell r="AM478">
            <v>45055</v>
          </cell>
          <cell r="AN478"/>
          <cell r="AO478">
            <v>45056</v>
          </cell>
          <cell r="AP478" t="str">
            <v>MUST</v>
          </cell>
        </row>
        <row r="479">
          <cell r="A479">
            <v>96231180301</v>
          </cell>
          <cell r="B479" t="str">
            <v>JP</v>
          </cell>
          <cell r="C479">
            <v>0</v>
          </cell>
          <cell r="D479">
            <v>0</v>
          </cell>
          <cell r="E479" t="str">
            <v>VAN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 t="str">
            <v>H</v>
          </cell>
          <cell r="K479" t="str">
            <v>T</v>
          </cell>
          <cell r="L479" t="str">
            <v>J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 t="str">
            <v>Q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4</v>
          </cell>
          <cell r="AB479" t="str">
            <v>H, T, J, Q</v>
          </cell>
          <cell r="AC479">
            <v>0</v>
          </cell>
          <cell r="AD479">
            <v>0</v>
          </cell>
          <cell r="AE479">
            <v>0</v>
          </cell>
          <cell r="AF479" t="str">
            <v>NATURE CRAFT CO LTD</v>
          </cell>
          <cell r="AG479" t="str">
            <v xml:space="preserve">CRATE &amp; BARREL </v>
          </cell>
          <cell r="AH479" t="str">
            <v>REGULAR</v>
          </cell>
          <cell r="AI479">
            <v>45044</v>
          </cell>
          <cell r="AJ479"/>
          <cell r="AK479"/>
          <cell r="AL479">
            <v>45054</v>
          </cell>
          <cell r="AM479">
            <v>45054</v>
          </cell>
          <cell r="AN479">
            <v>45056</v>
          </cell>
          <cell r="AO479">
            <v>45055</v>
          </cell>
          <cell r="AP479" t="str">
            <v>DUE</v>
          </cell>
        </row>
        <row r="480">
          <cell r="A480">
            <v>96231180326</v>
          </cell>
          <cell r="B480" t="str">
            <v>US2</v>
          </cell>
          <cell r="C480">
            <v>0</v>
          </cell>
          <cell r="D480">
            <v>0</v>
          </cell>
          <cell r="E480" t="str">
            <v>MIN</v>
          </cell>
          <cell r="F480" t="str">
            <v>FIRST MAKING 0506-AN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 t="str">
            <v>Q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1</v>
          </cell>
          <cell r="AB480" t="str">
            <v>H</v>
          </cell>
          <cell r="AC480">
            <v>0</v>
          </cell>
          <cell r="AD480">
            <v>0</v>
          </cell>
          <cell r="AE480" t="str">
            <v>0509: no CS pend</v>
          </cell>
          <cell r="AF480" t="str">
            <v>NATURE CRAFT CO LTD</v>
          </cell>
          <cell r="AG480" t="str">
            <v>MARMAXX GROUP</v>
          </cell>
          <cell r="AH480" t="str">
            <v>REGULAR</v>
          </cell>
          <cell r="AI480">
            <v>45044</v>
          </cell>
          <cell r="AJ480">
            <v>45044</v>
          </cell>
          <cell r="AK480">
            <v>45049</v>
          </cell>
          <cell r="AL480">
            <v>45055</v>
          </cell>
          <cell r="AM480">
            <v>45055</v>
          </cell>
          <cell r="AN480"/>
          <cell r="AO480">
            <v>45056</v>
          </cell>
          <cell r="AP480" t="str">
            <v>MUST</v>
          </cell>
        </row>
        <row r="481">
          <cell r="A481">
            <v>96231180367</v>
          </cell>
          <cell r="B481" t="str">
            <v>CDV-HANOI</v>
          </cell>
          <cell r="C481">
            <v>0</v>
          </cell>
          <cell r="D481">
            <v>0</v>
          </cell>
          <cell r="E481" t="str">
            <v>NOMI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 t="str">
            <v>H</v>
          </cell>
          <cell r="K481">
            <v>0</v>
          </cell>
          <cell r="L481">
            <v>0</v>
          </cell>
          <cell r="M481" t="str">
            <v>C</v>
          </cell>
          <cell r="N481">
            <v>4</v>
          </cell>
          <cell r="O481">
            <v>0</v>
          </cell>
          <cell r="P481">
            <v>0</v>
          </cell>
          <cell r="Q481">
            <v>0</v>
          </cell>
          <cell r="R481" t="str">
            <v>L</v>
          </cell>
          <cell r="S481">
            <v>0</v>
          </cell>
          <cell r="T481">
            <v>0</v>
          </cell>
          <cell r="U481">
            <v>0</v>
          </cell>
          <cell r="V481" t="str">
            <v>Q</v>
          </cell>
          <cell r="W481" t="str">
            <v>V</v>
          </cell>
          <cell r="X481">
            <v>0</v>
          </cell>
          <cell r="Y481">
            <v>0</v>
          </cell>
          <cell r="Z481">
            <v>0</v>
          </cell>
          <cell r="AA481">
            <v>6</v>
          </cell>
          <cell r="AB481" t="str">
            <v>H, C, 4., L, Q, V</v>
          </cell>
          <cell r="AC481">
            <v>0</v>
          </cell>
          <cell r="AD481">
            <v>0</v>
          </cell>
          <cell r="AE481">
            <v>0</v>
          </cell>
          <cell r="AF481" t="str">
            <v>WINFIELD HOME DECOR</v>
          </cell>
          <cell r="AG481" t="str">
            <v>HOBBY LOBBY STORES, INC.</v>
          </cell>
          <cell r="AH481" t="str">
            <v>REGULAR</v>
          </cell>
          <cell r="AI481">
            <v>45044</v>
          </cell>
          <cell r="AJ481">
            <v>45050</v>
          </cell>
          <cell r="AK481">
            <v>45052</v>
          </cell>
          <cell r="AL481">
            <v>45058</v>
          </cell>
          <cell r="AM481">
            <v>45058</v>
          </cell>
          <cell r="AN481"/>
          <cell r="AO481">
            <v>45059</v>
          </cell>
          <cell r="AP481" t="str">
            <v>OFF HOLD</v>
          </cell>
        </row>
        <row r="482">
          <cell r="A482">
            <v>96231180369</v>
          </cell>
          <cell r="B482" t="str">
            <v>CDV-HANOI</v>
          </cell>
          <cell r="C482">
            <v>0</v>
          </cell>
          <cell r="D482">
            <v>0</v>
          </cell>
          <cell r="E482" t="str">
            <v>NOMI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 t="str">
            <v>H</v>
          </cell>
          <cell r="K482">
            <v>0</v>
          </cell>
          <cell r="L482">
            <v>0</v>
          </cell>
          <cell r="M482" t="str">
            <v>C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 t="str">
            <v>L</v>
          </cell>
          <cell r="S482">
            <v>0</v>
          </cell>
          <cell r="T482">
            <v>0</v>
          </cell>
          <cell r="U482">
            <v>0</v>
          </cell>
          <cell r="V482" t="str">
            <v>Q</v>
          </cell>
          <cell r="W482" t="str">
            <v>V</v>
          </cell>
          <cell r="X482">
            <v>0</v>
          </cell>
          <cell r="Y482">
            <v>0</v>
          </cell>
          <cell r="Z482">
            <v>0</v>
          </cell>
          <cell r="AA482">
            <v>5</v>
          </cell>
          <cell r="AB482" t="str">
            <v>H, C, L, Q, V</v>
          </cell>
          <cell r="AC482">
            <v>0</v>
          </cell>
          <cell r="AD482">
            <v>0</v>
          </cell>
          <cell r="AE482">
            <v>0</v>
          </cell>
          <cell r="AF482" t="str">
            <v>WINFIELD HOME DECOR</v>
          </cell>
          <cell r="AG482" t="str">
            <v>HOBBY LOBBY STORES, INC.</v>
          </cell>
          <cell r="AH482" t="str">
            <v>REGULAR</v>
          </cell>
          <cell r="AI482">
            <v>45044</v>
          </cell>
          <cell r="AJ482">
            <v>45050</v>
          </cell>
          <cell r="AK482">
            <v>45051</v>
          </cell>
          <cell r="AL482">
            <v>45057</v>
          </cell>
          <cell r="AM482">
            <v>45057</v>
          </cell>
          <cell r="AN482"/>
          <cell r="AO482">
            <v>45058</v>
          </cell>
          <cell r="AP482" t="str">
            <v>OFF HOLD</v>
          </cell>
        </row>
        <row r="483">
          <cell r="A483">
            <v>96231180375</v>
          </cell>
          <cell r="B483" t="str">
            <v>AN</v>
          </cell>
          <cell r="C483">
            <v>0</v>
          </cell>
          <cell r="D483">
            <v>0</v>
          </cell>
          <cell r="E483" t="str">
            <v>SHE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 HANDLE</v>
          </cell>
          <cell r="AC483">
            <v>0</v>
          </cell>
          <cell r="AD483">
            <v>0</v>
          </cell>
          <cell r="AE483" t="str">
            <v>5/6: WAIT VENDOR CONFIRM TO ADD TEST LEAD+ CAD OR NOT</v>
          </cell>
          <cell r="AF483" t="str">
            <v>GIA HO TRADING AND PRODUCTION COMPANY LIMITED</v>
          </cell>
          <cell r="AG483" t="str">
            <v>GIA HO TRADING AND PRODUCTION COMPANY LIMITED</v>
          </cell>
          <cell r="AH483" t="str">
            <v>REGULAR</v>
          </cell>
          <cell r="AI483">
            <v>45044</v>
          </cell>
          <cell r="AJ483">
            <v>45052</v>
          </cell>
          <cell r="AK483"/>
          <cell r="AL483">
            <v>45055</v>
          </cell>
          <cell r="AM483">
            <v>45055</v>
          </cell>
          <cell r="AN483"/>
          <cell r="AO483">
            <v>45056</v>
          </cell>
          <cell r="AP483" t="str">
            <v>AN HANDLE</v>
          </cell>
        </row>
        <row r="484">
          <cell r="A484">
            <v>96231180376</v>
          </cell>
          <cell r="B484" t="str">
            <v>US2-RF SP-RESULT 96230940169</v>
          </cell>
          <cell r="C484">
            <v>0</v>
          </cell>
          <cell r="D484" t="str">
            <v>van</v>
          </cell>
          <cell r="E484" t="str">
            <v>FLO</v>
          </cell>
          <cell r="F484" t="str">
            <v>DONE 0509
MAKING 0506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R</v>
          </cell>
          <cell r="AC484">
            <v>0</v>
          </cell>
          <cell r="AD484">
            <v>0</v>
          </cell>
          <cell r="AE484">
            <v>0</v>
          </cell>
          <cell r="AF484" t="str">
            <v>NTN CO LTD</v>
          </cell>
          <cell r="AG484" t="str">
            <v>NTN CO LTD</v>
          </cell>
          <cell r="AH484" t="str">
            <v>REGULAR</v>
          </cell>
          <cell r="AI484">
            <v>45044</v>
          </cell>
          <cell r="AJ484"/>
          <cell r="AK484"/>
          <cell r="AL484">
            <v>45055</v>
          </cell>
          <cell r="AM484">
            <v>45055</v>
          </cell>
          <cell r="AN484"/>
          <cell r="AO484">
            <v>45056</v>
          </cell>
          <cell r="AP484" t="str">
            <v>MUST</v>
          </cell>
        </row>
        <row r="485">
          <cell r="A485">
            <v>96231180415</v>
          </cell>
          <cell r="B485" t="str">
            <v>TY</v>
          </cell>
          <cell r="C485">
            <v>0</v>
          </cell>
          <cell r="D485">
            <v>0</v>
          </cell>
          <cell r="E485" t="str">
            <v>SHE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 t="str">
            <v>T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 t="str">
            <v>Q</v>
          </cell>
          <cell r="W485" t="str">
            <v>V</v>
          </cell>
          <cell r="X485">
            <v>0</v>
          </cell>
          <cell r="Y485">
            <v>0</v>
          </cell>
          <cell r="Z485">
            <v>0</v>
          </cell>
          <cell r="AA485">
            <v>3</v>
          </cell>
          <cell r="AB485" t="str">
            <v>T, Q, V</v>
          </cell>
          <cell r="AC485">
            <v>0</v>
          </cell>
          <cell r="AD485">
            <v>0</v>
          </cell>
          <cell r="AE485" t="str">
            <v>5/6: off, 5/5: wait for advise report refer</v>
          </cell>
          <cell r="AF485" t="str">
            <v>BINNEY AND SMITH (EUROPE) LTD</v>
          </cell>
          <cell r="AG485" t="str">
            <v>CRAYOLA, LLC</v>
          </cell>
          <cell r="AH485" t="str">
            <v>REGULAR</v>
          </cell>
          <cell r="AI485">
            <v>45044</v>
          </cell>
          <cell r="AJ485">
            <v>45051</v>
          </cell>
          <cell r="AK485">
            <v>45052</v>
          </cell>
          <cell r="AL485">
            <v>45057</v>
          </cell>
          <cell r="AM485">
            <v>45057</v>
          </cell>
          <cell r="AN485"/>
          <cell r="AO485">
            <v>45058</v>
          </cell>
          <cell r="AP485" t="str">
            <v>OFF HOLD</v>
          </cell>
        </row>
        <row r="486">
          <cell r="A486">
            <v>96231180417</v>
          </cell>
          <cell r="B486" t="str">
            <v>US1-AS-TRANSFER QUALITY FROM 96231070510</v>
          </cell>
          <cell r="C486">
            <v>0</v>
          </cell>
          <cell r="D486">
            <v>0</v>
          </cell>
          <cell r="E486" t="str">
            <v>FLO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 t="str">
            <v>H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1</v>
          </cell>
          <cell r="AB486" t="str">
            <v>H</v>
          </cell>
          <cell r="AC486">
            <v>0</v>
          </cell>
          <cell r="AD486" t="str">
            <v>YES</v>
          </cell>
          <cell r="AE486">
            <v>0</v>
          </cell>
          <cell r="AF486" t="str">
            <v>LIVING STYLE (SINGAPORE) PTE LIMITED</v>
          </cell>
          <cell r="AG486" t="str">
            <v>LIVING STYLE (SINGAPORE) PTE LIMITED</v>
          </cell>
          <cell r="AH486" t="str">
            <v>REGULAR</v>
          </cell>
          <cell r="AI486">
            <v>45044</v>
          </cell>
          <cell r="AJ486"/>
          <cell r="AK486"/>
          <cell r="AL486">
            <v>45058</v>
          </cell>
          <cell r="AM486">
            <v>45058</v>
          </cell>
          <cell r="AN486"/>
          <cell r="AO486">
            <v>45059</v>
          </cell>
          <cell r="AP486" t="str">
            <v>ACTIVE</v>
          </cell>
        </row>
        <row r="487">
          <cell r="A487">
            <v>96231180420</v>
          </cell>
          <cell r="B487" t="str">
            <v>TY</v>
          </cell>
          <cell r="C487">
            <v>0</v>
          </cell>
          <cell r="D487">
            <v>0</v>
          </cell>
          <cell r="E487" t="str">
            <v>SHE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 t="str">
            <v>H</v>
          </cell>
          <cell r="K487" t="str">
            <v>T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 t="str">
            <v>Q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3</v>
          </cell>
          <cell r="AB487" t="str">
            <v>H, T, Q, V</v>
          </cell>
          <cell r="AC487">
            <v>0</v>
          </cell>
          <cell r="AD487">
            <v>0</v>
          </cell>
          <cell r="AE487" t="str">
            <v>5/6: off, 5/5: wait for advise report refer</v>
          </cell>
          <cell r="AF487" t="str">
            <v>CRAYOLA CANADA</v>
          </cell>
          <cell r="AG487" t="str">
            <v>CRAYOLA CANADA</v>
          </cell>
          <cell r="AH487" t="str">
            <v>REGULAR</v>
          </cell>
          <cell r="AI487">
            <v>45044</v>
          </cell>
          <cell r="AJ487">
            <v>45051</v>
          </cell>
          <cell r="AK487">
            <v>45052</v>
          </cell>
          <cell r="AL487">
            <v>45056</v>
          </cell>
          <cell r="AM487">
            <v>45058</v>
          </cell>
          <cell r="AN487"/>
          <cell r="AO487">
            <v>45058</v>
          </cell>
          <cell r="AP487" t="str">
            <v>OFF HOLD</v>
          </cell>
        </row>
        <row r="488">
          <cell r="A488">
            <v>96231180425</v>
          </cell>
          <cell r="B488" t="str">
            <v>TY</v>
          </cell>
          <cell r="C488">
            <v>0</v>
          </cell>
          <cell r="D488">
            <v>0</v>
          </cell>
          <cell r="E488" t="str">
            <v>SHE</v>
          </cell>
          <cell r="F488" t="str">
            <v>MAKING 0509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/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T, Q, V</v>
          </cell>
          <cell r="AC488">
            <v>0</v>
          </cell>
          <cell r="AD488">
            <v>0</v>
          </cell>
          <cell r="AE488" t="str">
            <v>5/8: no pending cs</v>
          </cell>
          <cell r="AF488" t="str">
            <v>BINNEY AND SMITH (EUROPE) LTD</v>
          </cell>
          <cell r="AG488" t="str">
            <v>CRAYOLA, LLC</v>
          </cell>
          <cell r="AH488" t="str">
            <v>REGULAR</v>
          </cell>
          <cell r="AI488">
            <v>45044</v>
          </cell>
          <cell r="AJ488"/>
          <cell r="AK488"/>
          <cell r="AL488">
            <v>45052</v>
          </cell>
          <cell r="AM488">
            <v>45052</v>
          </cell>
          <cell r="AN488">
            <v>45055</v>
          </cell>
          <cell r="AO488">
            <v>45054</v>
          </cell>
          <cell r="AP488" t="str">
            <v>LATE</v>
          </cell>
        </row>
        <row r="489">
          <cell r="A489">
            <v>96231180426</v>
          </cell>
          <cell r="B489" t="str">
            <v>TY</v>
          </cell>
          <cell r="C489">
            <v>0</v>
          </cell>
          <cell r="D489">
            <v>0</v>
          </cell>
          <cell r="E489" t="str">
            <v>SHE</v>
          </cell>
          <cell r="F489" t="str">
            <v>MAKING 0509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/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T, Q, V</v>
          </cell>
          <cell r="AC489">
            <v>0</v>
          </cell>
          <cell r="AD489">
            <v>0</v>
          </cell>
          <cell r="AE489" t="str">
            <v>5/8: no pending cs</v>
          </cell>
          <cell r="AF489" t="str">
            <v>BINNEY AND SMITH (EUROPE) LTD</v>
          </cell>
          <cell r="AG489" t="str">
            <v>CRAYOLA, LLC</v>
          </cell>
          <cell r="AH489" t="str">
            <v>REGULAR</v>
          </cell>
          <cell r="AI489">
            <v>45044</v>
          </cell>
          <cell r="AJ489"/>
          <cell r="AK489"/>
          <cell r="AL489">
            <v>45052</v>
          </cell>
          <cell r="AM489">
            <v>45052</v>
          </cell>
          <cell r="AN489">
            <v>45055</v>
          </cell>
          <cell r="AO489">
            <v>45054</v>
          </cell>
          <cell r="AP489" t="str">
            <v>LATE</v>
          </cell>
        </row>
        <row r="490">
          <cell r="A490">
            <v>96231180429</v>
          </cell>
          <cell r="B490" t="str">
            <v>TY</v>
          </cell>
          <cell r="C490">
            <v>0</v>
          </cell>
          <cell r="D490">
            <v>0</v>
          </cell>
          <cell r="E490" t="str">
            <v>SHE</v>
          </cell>
          <cell r="F490" t="str">
            <v>FIRST MAKING 0505-AN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 t="str">
            <v>X</v>
          </cell>
          <cell r="Y490">
            <v>0</v>
          </cell>
          <cell r="Z490">
            <v>0</v>
          </cell>
          <cell r="AA490">
            <v>1</v>
          </cell>
          <cell r="AB490" t="str">
            <v>X</v>
          </cell>
          <cell r="AC490">
            <v>0</v>
          </cell>
          <cell r="AD490">
            <v>0</v>
          </cell>
          <cell r="AE490">
            <v>0</v>
          </cell>
          <cell r="AF490" t="str">
            <v>CRAYOLA, LLC</v>
          </cell>
          <cell r="AG490" t="str">
            <v>CRAYOLA, LLC</v>
          </cell>
          <cell r="AH490" t="str">
            <v>REGULAR</v>
          </cell>
          <cell r="AI490">
            <v>45044</v>
          </cell>
          <cell r="AJ490"/>
          <cell r="AK490"/>
          <cell r="AL490">
            <v>45066</v>
          </cell>
          <cell r="AM490">
            <v>45066</v>
          </cell>
          <cell r="AN490"/>
          <cell r="AO490">
            <v>45068</v>
          </cell>
          <cell r="AP490" t="str">
            <v>ACTIVE</v>
          </cell>
        </row>
        <row r="491">
          <cell r="A491">
            <v>96231180468</v>
          </cell>
          <cell r="B491" t="str">
            <v>TY</v>
          </cell>
          <cell r="C491">
            <v>0</v>
          </cell>
          <cell r="D491">
            <v>0</v>
          </cell>
          <cell r="E491" t="str">
            <v>ELV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 t="str">
            <v>T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 t="str">
            <v>L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/>
          <cell r="Z491">
            <v>0</v>
          </cell>
          <cell r="AA491">
            <v>2</v>
          </cell>
          <cell r="AB491" t="str">
            <v>T, L, Q, V, B</v>
          </cell>
          <cell r="AC491">
            <v>0</v>
          </cell>
          <cell r="AD491" t="str">
            <v>YES</v>
          </cell>
          <cell r="AE491">
            <v>0</v>
          </cell>
          <cell r="AF491" t="str">
            <v>DREAM INTERNATIONAL LIMITED</v>
          </cell>
          <cell r="AG491" t="str">
            <v>DISNEY PRODUCT INTEGRITY FLORIDA</v>
          </cell>
          <cell r="AH491" t="str">
            <v>REGULAR</v>
          </cell>
          <cell r="AI491">
            <v>45044</v>
          </cell>
          <cell r="AJ491"/>
          <cell r="AK491"/>
          <cell r="AL491">
            <v>45052</v>
          </cell>
          <cell r="AM491">
            <v>45052</v>
          </cell>
          <cell r="AN491"/>
          <cell r="AO491">
            <v>45054</v>
          </cell>
          <cell r="AP491" t="str">
            <v>LATE</v>
          </cell>
        </row>
        <row r="492">
          <cell r="A492">
            <v>96231180494</v>
          </cell>
          <cell r="B492" t="str">
            <v>TY</v>
          </cell>
          <cell r="C492">
            <v>0</v>
          </cell>
          <cell r="D492">
            <v>0</v>
          </cell>
          <cell r="E492" t="str">
            <v>ELV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 t="str">
            <v>T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 t="str">
            <v>L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 t="str">
            <v>B</v>
          </cell>
          <cell r="Z492">
            <v>0</v>
          </cell>
          <cell r="AA492">
            <v>3</v>
          </cell>
          <cell r="AB492" t="str">
            <v>T, L, Q, V, B</v>
          </cell>
          <cell r="AC492">
            <v>0</v>
          </cell>
          <cell r="AD492" t="str">
            <v>YES</v>
          </cell>
          <cell r="AE492">
            <v>0</v>
          </cell>
          <cell r="AF492" t="str">
            <v>DREAM INTERNATIONAL LIMITED</v>
          </cell>
          <cell r="AG492" t="str">
            <v>DISNEY PRODUCT INTEGRITY FLORIDA</v>
          </cell>
          <cell r="AH492" t="str">
            <v>REGULAR</v>
          </cell>
          <cell r="AI492">
            <v>45044</v>
          </cell>
          <cell r="AJ492"/>
          <cell r="AK492"/>
          <cell r="AL492">
            <v>45052</v>
          </cell>
          <cell r="AM492">
            <v>45052</v>
          </cell>
          <cell r="AN492"/>
          <cell r="AO492">
            <v>45054</v>
          </cell>
          <cell r="AP492" t="str">
            <v>LATE</v>
          </cell>
        </row>
        <row r="493">
          <cell r="A493">
            <v>96231180504</v>
          </cell>
          <cell r="B493" t="str">
            <v>US2</v>
          </cell>
          <cell r="C493">
            <v>0</v>
          </cell>
          <cell r="D493">
            <v>0</v>
          </cell>
          <cell r="E493" t="str">
            <v>MIN</v>
          </cell>
          <cell r="F493" t="str">
            <v>FIRST MAKING 0509-AN2</v>
          </cell>
          <cell r="G493">
            <v>0</v>
          </cell>
          <cell r="H493">
            <v>0</v>
          </cell>
          <cell r="I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 t="str">
            <v>Q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1</v>
          </cell>
          <cell r="AB493" t="str">
            <v>H, Q</v>
          </cell>
          <cell r="AC493">
            <v>0</v>
          </cell>
          <cell r="AD493">
            <v>0</v>
          </cell>
          <cell r="AE493" t="str">
            <v>0508: no CS pend</v>
          </cell>
          <cell r="AF493" t="str">
            <v>DUC LOI CO LTD</v>
          </cell>
          <cell r="AG493" t="str">
            <v>MARMAXX GROUP</v>
          </cell>
          <cell r="AH493" t="str">
            <v>REGULAR</v>
          </cell>
          <cell r="AI493">
            <v>45044</v>
          </cell>
          <cell r="AJ493"/>
          <cell r="AK493"/>
          <cell r="AL493">
            <v>45055</v>
          </cell>
          <cell r="AM493">
            <v>45055</v>
          </cell>
          <cell r="AN493"/>
          <cell r="AO493">
            <v>45056</v>
          </cell>
          <cell r="AP493" t="str">
            <v>LATECS</v>
          </cell>
        </row>
        <row r="494">
          <cell r="A494">
            <v>96231180510</v>
          </cell>
          <cell r="B494" t="str">
            <v>US2</v>
          </cell>
          <cell r="C494">
            <v>0</v>
          </cell>
          <cell r="D494" t="str">
            <v>DUC</v>
          </cell>
          <cell r="E494" t="str">
            <v>MIN</v>
          </cell>
          <cell r="F494" t="str">
            <v>DONE 0509
MAKING 0509</v>
          </cell>
          <cell r="G494">
            <v>0</v>
          </cell>
          <cell r="H494">
            <v>0</v>
          </cell>
          <cell r="I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H, Q</v>
          </cell>
          <cell r="AC494">
            <v>0</v>
          </cell>
          <cell r="AD494">
            <v>0</v>
          </cell>
          <cell r="AE494" t="str">
            <v>0508: no CS pend, push report date 0509 - 0505: wait extra handle for lead test</v>
          </cell>
          <cell r="AF494" t="str">
            <v>DUC LOI CO LTD</v>
          </cell>
          <cell r="AG494" t="str">
            <v>MARMAXX GROUP</v>
          </cell>
          <cell r="AH494" t="str">
            <v>REGULAR</v>
          </cell>
          <cell r="AI494">
            <v>45044</v>
          </cell>
          <cell r="AJ494"/>
          <cell r="AK494"/>
          <cell r="AL494">
            <v>45055</v>
          </cell>
          <cell r="AM494">
            <v>45055</v>
          </cell>
          <cell r="AN494"/>
          <cell r="AO494">
            <v>45056</v>
          </cell>
          <cell r="AP494" t="str">
            <v>LATECS</v>
          </cell>
        </row>
        <row r="495">
          <cell r="A495">
            <v>96231180513</v>
          </cell>
          <cell r="B495" t="str">
            <v>TY</v>
          </cell>
          <cell r="C495">
            <v>0</v>
          </cell>
          <cell r="D495">
            <v>0</v>
          </cell>
          <cell r="E495" t="str">
            <v>ELV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 t="str">
            <v>T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 t="str">
            <v>L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Z495">
            <v>0</v>
          </cell>
          <cell r="AA495">
            <v>2</v>
          </cell>
          <cell r="AB495" t="str">
            <v>T, L, Q, V, B</v>
          </cell>
          <cell r="AC495">
            <v>0</v>
          </cell>
          <cell r="AD495" t="str">
            <v>YES</v>
          </cell>
          <cell r="AE495">
            <v>0</v>
          </cell>
          <cell r="AF495" t="str">
            <v>DREAM INTERNATIONAL LIMITED</v>
          </cell>
          <cell r="AG495" t="str">
            <v>DISNEY PRODUCT INTEGRITY FLORIDA</v>
          </cell>
          <cell r="AH495" t="str">
            <v>REGULAR</v>
          </cell>
          <cell r="AI495">
            <v>45044</v>
          </cell>
          <cell r="AJ495"/>
          <cell r="AK495"/>
          <cell r="AL495">
            <v>45052</v>
          </cell>
          <cell r="AM495">
            <v>45052</v>
          </cell>
          <cell r="AN495"/>
          <cell r="AO495">
            <v>45054</v>
          </cell>
          <cell r="AP495" t="str">
            <v>LATE</v>
          </cell>
        </row>
        <row r="496">
          <cell r="A496">
            <v>96231180527</v>
          </cell>
          <cell r="B496" t="str">
            <v>TY</v>
          </cell>
          <cell r="C496">
            <v>0</v>
          </cell>
          <cell r="D496" t="str">
            <v>van</v>
          </cell>
          <cell r="E496" t="str">
            <v>SHE</v>
          </cell>
          <cell r="F496" t="str">
            <v>done 0509
FIRST MAKING 0505-AN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Q</v>
          </cell>
          <cell r="AC496">
            <v>0</v>
          </cell>
          <cell r="AD496">
            <v>0</v>
          </cell>
          <cell r="AE496">
            <v>0</v>
          </cell>
          <cell r="AF496" t="str">
            <v>STARPRINT VIETNAM JOINT STOCK COMPANY</v>
          </cell>
          <cell r="AG496" t="str">
            <v>STARPRINT VIETNAM JOINT STOCK COMPANY</v>
          </cell>
          <cell r="AH496" t="str">
            <v>REGULAR</v>
          </cell>
          <cell r="AI496">
            <v>45044</v>
          </cell>
          <cell r="AJ496">
            <v>45054</v>
          </cell>
          <cell r="AK496">
            <v>45054</v>
          </cell>
          <cell r="AL496">
            <v>45058</v>
          </cell>
          <cell r="AM496">
            <v>45058</v>
          </cell>
          <cell r="AN496"/>
          <cell r="AO496">
            <v>45059</v>
          </cell>
          <cell r="AP496" t="str">
            <v>OFF HOLD</v>
          </cell>
        </row>
        <row r="497">
          <cell r="A497">
            <v>96231180538</v>
          </cell>
          <cell r="B497" t="str">
            <v>US2</v>
          </cell>
          <cell r="C497">
            <v>0</v>
          </cell>
          <cell r="D497" t="str">
            <v>DUC</v>
          </cell>
          <cell r="E497" t="str">
            <v>SHE</v>
          </cell>
          <cell r="F497" t="str">
            <v>DONE 0509
MAKING 0509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R</v>
          </cell>
          <cell r="AC497">
            <v>0</v>
          </cell>
          <cell r="AD497">
            <v>0</v>
          </cell>
          <cell r="AE497">
            <v>0</v>
          </cell>
          <cell r="AF497" t="str">
            <v>ZHI SHENG VIETNAM CO LTD</v>
          </cell>
          <cell r="AG497" t="str">
            <v>ASHLEY FURNITURE INDUSTRIES LLC</v>
          </cell>
          <cell r="AH497" t="str">
            <v>REGULAR</v>
          </cell>
          <cell r="AI497">
            <v>45049</v>
          </cell>
          <cell r="AJ497">
            <v>45050</v>
          </cell>
          <cell r="AK497">
            <v>45050</v>
          </cell>
          <cell r="AL497">
            <v>45055</v>
          </cell>
          <cell r="AM497">
            <v>45055</v>
          </cell>
          <cell r="AN497"/>
          <cell r="AO497">
            <v>45056</v>
          </cell>
          <cell r="AP497" t="str">
            <v>MUST</v>
          </cell>
        </row>
        <row r="498">
          <cell r="A498">
            <v>96231180545</v>
          </cell>
          <cell r="B498" t="str">
            <v>CD-11231160072</v>
          </cell>
          <cell r="C498">
            <v>0</v>
          </cell>
          <cell r="D498" t="str">
            <v>van</v>
          </cell>
          <cell r="E498" t="str">
            <v>VAN</v>
          </cell>
          <cell r="F498" t="str">
            <v>DONE 0509
MAKING 0509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/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C</v>
          </cell>
          <cell r="AC498">
            <v>0</v>
          </cell>
          <cell r="AD498">
            <v>0</v>
          </cell>
          <cell r="AE498" t="str">
            <v>5/5: test clarification</v>
          </cell>
          <cell r="AF498" t="str">
            <v>BUREAU VERITAS (CAMBODIA) LIMITED</v>
          </cell>
          <cell r="AG498" t="str">
            <v>BUREAU VERITAS (CAMBODIA) LIMITED</v>
          </cell>
          <cell r="AH498" t="str">
            <v>URGENT</v>
          </cell>
          <cell r="AI498">
            <v>45049</v>
          </cell>
          <cell r="AJ498">
            <v>45052</v>
          </cell>
          <cell r="AK498">
            <v>45052</v>
          </cell>
          <cell r="AL498">
            <v>45054</v>
          </cell>
          <cell r="AM498">
            <v>45054</v>
          </cell>
          <cell r="AN498"/>
          <cell r="AO498">
            <v>45055</v>
          </cell>
          <cell r="AP498" t="str">
            <v>DUE</v>
          </cell>
        </row>
        <row r="499">
          <cell r="A499">
            <v>96231180546</v>
          </cell>
          <cell r="B499" t="str">
            <v>CD-11231160073</v>
          </cell>
          <cell r="C499">
            <v>0</v>
          </cell>
          <cell r="D499" t="str">
            <v>van</v>
          </cell>
          <cell r="E499" t="str">
            <v>VAN</v>
          </cell>
          <cell r="F499" t="str">
            <v>DONE 0509
MAKING 0509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/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C</v>
          </cell>
          <cell r="AC499">
            <v>0</v>
          </cell>
          <cell r="AD499">
            <v>0</v>
          </cell>
          <cell r="AE499" t="str">
            <v>5/5: test clarification</v>
          </cell>
          <cell r="AF499" t="str">
            <v>BUREAU VERITAS (CAMBODIA) LIMITED</v>
          </cell>
          <cell r="AG499" t="str">
            <v>BUREAU VERITAS (CAMBODIA) LIMITED</v>
          </cell>
          <cell r="AH499" t="str">
            <v>URGENT</v>
          </cell>
          <cell r="AI499">
            <v>45049</v>
          </cell>
          <cell r="AJ499">
            <v>45052</v>
          </cell>
          <cell r="AK499">
            <v>45052</v>
          </cell>
          <cell r="AL499">
            <v>45054</v>
          </cell>
          <cell r="AM499">
            <v>45054</v>
          </cell>
          <cell r="AN499"/>
          <cell r="AO499">
            <v>45055</v>
          </cell>
          <cell r="AP499" t="str">
            <v>DUE</v>
          </cell>
        </row>
        <row r="500">
          <cell r="A500">
            <v>96231180547</v>
          </cell>
          <cell r="B500" t="str">
            <v>CD-11231160124</v>
          </cell>
          <cell r="C500">
            <v>0</v>
          </cell>
          <cell r="D500" t="str">
            <v>van</v>
          </cell>
          <cell r="E500" t="str">
            <v>VAN</v>
          </cell>
          <cell r="F500" t="str">
            <v>DONE 0509
MAKING 0509</v>
          </cell>
          <cell r="G500">
            <v>0</v>
          </cell>
          <cell r="H500">
            <v>0</v>
          </cell>
          <cell r="I500">
            <v>0</v>
          </cell>
          <cell r="J500"/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H, P, L</v>
          </cell>
          <cell r="AC500">
            <v>0</v>
          </cell>
          <cell r="AD500">
            <v>0</v>
          </cell>
          <cell r="AE500" t="str">
            <v>5/5: test clarification</v>
          </cell>
          <cell r="AF500" t="str">
            <v>BUREAU VERITAS (CAMBODIA) LIMITED</v>
          </cell>
          <cell r="AG500" t="str">
            <v>BUREAU VERITAS (CAMBODIA) LIMITED</v>
          </cell>
          <cell r="AH500" t="str">
            <v>URGENT</v>
          </cell>
          <cell r="AI500">
            <v>45049</v>
          </cell>
          <cell r="AJ500">
            <v>45051</v>
          </cell>
          <cell r="AK500"/>
          <cell r="AL500">
            <v>45051</v>
          </cell>
          <cell r="AM500">
            <v>45051</v>
          </cell>
          <cell r="AN500">
            <v>45052</v>
          </cell>
          <cell r="AO500">
            <v>45051</v>
          </cell>
          <cell r="AP500" t="str">
            <v>LATE</v>
          </cell>
        </row>
        <row r="501">
          <cell r="A501">
            <v>96231180555</v>
          </cell>
          <cell r="B501" t="str">
            <v>TY</v>
          </cell>
          <cell r="C501">
            <v>0</v>
          </cell>
          <cell r="D501">
            <v>0</v>
          </cell>
          <cell r="E501" t="str">
            <v>VAN</v>
          </cell>
          <cell r="F501" t="str">
            <v>FIRST MAKING 0508-AN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 t="str">
            <v>Q</v>
          </cell>
          <cell r="W501" t="str">
            <v>V</v>
          </cell>
          <cell r="X501">
            <v>0</v>
          </cell>
          <cell r="Y501">
            <v>0</v>
          </cell>
          <cell r="Z501">
            <v>0</v>
          </cell>
          <cell r="AA501">
            <v>2</v>
          </cell>
          <cell r="AB501" t="str">
            <v>H, T, Q, V</v>
          </cell>
          <cell r="AC501">
            <v>0</v>
          </cell>
          <cell r="AD501" t="str">
            <v>YES</v>
          </cell>
          <cell r="AE501" t="str">
            <v>5/4: no CS pend</v>
          </cell>
          <cell r="AF501" t="str">
            <v>BILLION MAX VIETNAM MANUFACTURING COMPANY LIMITED</v>
          </cell>
          <cell r="AG501" t="str">
            <v>MATTEL</v>
          </cell>
          <cell r="AH501" t="str">
            <v>REGULAR</v>
          </cell>
          <cell r="AI501">
            <v>45044</v>
          </cell>
          <cell r="AJ501"/>
          <cell r="AK501"/>
          <cell r="AL501">
            <v>45054</v>
          </cell>
          <cell r="AM501">
            <v>45054</v>
          </cell>
          <cell r="AN501">
            <v>45057</v>
          </cell>
          <cell r="AO501">
            <v>45055</v>
          </cell>
          <cell r="AP501" t="str">
            <v>DUE</v>
          </cell>
        </row>
        <row r="502">
          <cell r="A502">
            <v>96231180557</v>
          </cell>
          <cell r="B502" t="str">
            <v>TY</v>
          </cell>
          <cell r="C502">
            <v>0</v>
          </cell>
          <cell r="D502">
            <v>0</v>
          </cell>
          <cell r="E502" t="str">
            <v>VAN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 t="str">
            <v>H</v>
          </cell>
          <cell r="K502" t="str">
            <v>T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 t="str">
            <v>Q</v>
          </cell>
          <cell r="W502" t="str">
            <v>V</v>
          </cell>
          <cell r="X502">
            <v>0</v>
          </cell>
          <cell r="Y502">
            <v>0</v>
          </cell>
          <cell r="Z502">
            <v>0</v>
          </cell>
          <cell r="AA502">
            <v>4</v>
          </cell>
          <cell r="AB502" t="str">
            <v>H, T, Q, V</v>
          </cell>
          <cell r="AC502">
            <v>0</v>
          </cell>
          <cell r="AD502">
            <v>0</v>
          </cell>
          <cell r="AE502">
            <v>0</v>
          </cell>
          <cell r="AF502" t="str">
            <v>SKY DRAGON VIETNAM COMPANY LIMITED</v>
          </cell>
          <cell r="AG502" t="str">
            <v>MATTEL</v>
          </cell>
          <cell r="AH502" t="str">
            <v>REGULAR</v>
          </cell>
          <cell r="AI502">
            <v>45044</v>
          </cell>
          <cell r="AJ502"/>
          <cell r="AK502"/>
          <cell r="AL502">
            <v>45054</v>
          </cell>
          <cell r="AM502">
            <v>45054</v>
          </cell>
          <cell r="AN502">
            <v>45057</v>
          </cell>
          <cell r="AO502">
            <v>45055</v>
          </cell>
          <cell r="AP502" t="str">
            <v>DUE</v>
          </cell>
        </row>
        <row r="503">
          <cell r="A503">
            <v>96231180559</v>
          </cell>
          <cell r="B503" t="str">
            <v>CD</v>
          </cell>
          <cell r="C503">
            <v>0</v>
          </cell>
          <cell r="D503" t="str">
            <v>DUC</v>
          </cell>
          <cell r="E503" t="str">
            <v>MIN</v>
          </cell>
          <cell r="F503" t="str">
            <v>DONE 0509
MAKING 0509</v>
          </cell>
          <cell r="G503">
            <v>0</v>
          </cell>
          <cell r="H503">
            <v>0</v>
          </cell>
          <cell r="I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H</v>
          </cell>
          <cell r="AC503">
            <v>0</v>
          </cell>
          <cell r="AD503">
            <v>0</v>
          </cell>
          <cell r="AE503" t="str">
            <v>0508: no CS pend</v>
          </cell>
          <cell r="AF503" t="str">
            <v>VIETNAM GLITTER COMPANY LIMITED</v>
          </cell>
          <cell r="AG503" t="str">
            <v>WALMART USA</v>
          </cell>
          <cell r="AH503" t="str">
            <v>REGULAR</v>
          </cell>
          <cell r="AI503">
            <v>45049</v>
          </cell>
          <cell r="AJ503"/>
          <cell r="AK503"/>
          <cell r="AL503">
            <v>45055</v>
          </cell>
          <cell r="AM503">
            <v>45055</v>
          </cell>
          <cell r="AN503">
            <v>45056</v>
          </cell>
          <cell r="AO503">
            <v>45055</v>
          </cell>
          <cell r="AP503" t="str">
            <v>DUE</v>
          </cell>
        </row>
        <row r="504">
          <cell r="A504">
            <v>96231180566</v>
          </cell>
          <cell r="B504" t="str">
            <v>TY</v>
          </cell>
          <cell r="C504">
            <v>0</v>
          </cell>
          <cell r="D504">
            <v>0</v>
          </cell>
          <cell r="E504" t="str">
            <v>VAN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 t="str">
            <v>T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 t="str">
            <v>Q</v>
          </cell>
          <cell r="W504" t="str">
            <v>V</v>
          </cell>
          <cell r="X504">
            <v>0</v>
          </cell>
          <cell r="Y504">
            <v>0</v>
          </cell>
          <cell r="Z504">
            <v>0</v>
          </cell>
          <cell r="AA504">
            <v>3</v>
          </cell>
          <cell r="AB504" t="str">
            <v>T, Q, V</v>
          </cell>
          <cell r="AC504">
            <v>0</v>
          </cell>
          <cell r="AD504" t="str">
            <v>YES</v>
          </cell>
          <cell r="AE504">
            <v>0</v>
          </cell>
          <cell r="AF504" t="str">
            <v>BILLION MAX VIETNAM MANUFACTURING COMPANY LIMITED</v>
          </cell>
          <cell r="AG504" t="str">
            <v>MATTEL</v>
          </cell>
          <cell r="AH504" t="str">
            <v>REGULAR</v>
          </cell>
          <cell r="AI504">
            <v>45044</v>
          </cell>
          <cell r="AJ504"/>
          <cell r="AK504"/>
          <cell r="AL504">
            <v>45054</v>
          </cell>
          <cell r="AM504">
            <v>45054</v>
          </cell>
          <cell r="AN504">
            <v>45057</v>
          </cell>
          <cell r="AO504">
            <v>45055</v>
          </cell>
          <cell r="AP504" t="str">
            <v>DUE</v>
          </cell>
        </row>
        <row r="505">
          <cell r="A505">
            <v>96231180573</v>
          </cell>
          <cell r="B505" t="str">
            <v>US2</v>
          </cell>
          <cell r="C505">
            <v>0</v>
          </cell>
          <cell r="D505">
            <v>0</v>
          </cell>
          <cell r="E505" t="str">
            <v>VAN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 t="str">
            <v>H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1</v>
          </cell>
          <cell r="AB505" t="str">
            <v>H</v>
          </cell>
          <cell r="AC505">
            <v>0</v>
          </cell>
          <cell r="AD505">
            <v>0</v>
          </cell>
          <cell r="AE505" t="str">
            <v>5/9: no CS pend; 5/4: CSE</v>
          </cell>
          <cell r="AF505" t="str">
            <v>OFFICE STAR PRODUCTS</v>
          </cell>
          <cell r="AG505" t="str">
            <v>OFFICE STAR PRODUCTS</v>
          </cell>
          <cell r="AH505" t="str">
            <v>REGULAR</v>
          </cell>
          <cell r="AI505">
            <v>45044</v>
          </cell>
          <cell r="AJ505"/>
          <cell r="AK505"/>
          <cell r="AL505">
            <v>45055</v>
          </cell>
          <cell r="AM505">
            <v>45055</v>
          </cell>
          <cell r="AN505"/>
          <cell r="AO505">
            <v>45056</v>
          </cell>
          <cell r="AP505" t="str">
            <v>OFF HOLD</v>
          </cell>
        </row>
        <row r="506">
          <cell r="A506">
            <v>96231180583</v>
          </cell>
          <cell r="B506" t="str">
            <v>AN</v>
          </cell>
          <cell r="C506">
            <v>0</v>
          </cell>
          <cell r="D506">
            <v>0</v>
          </cell>
          <cell r="E506" t="str">
            <v>VAN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 HANDLE</v>
          </cell>
          <cell r="AC506">
            <v>0</v>
          </cell>
          <cell r="AD506">
            <v>0</v>
          </cell>
          <cell r="AE506">
            <v>0</v>
          </cell>
          <cell r="AF506" t="str">
            <v>TONG JOU VIET NAM CO LTD</v>
          </cell>
          <cell r="AG506" t="str">
            <v>TONG JOU VIET NAM CO LTD</v>
          </cell>
          <cell r="AH506" t="str">
            <v>REGULAR</v>
          </cell>
          <cell r="AI506">
            <v>45044</v>
          </cell>
          <cell r="AJ506"/>
          <cell r="AK506"/>
          <cell r="AL506">
            <v>45055</v>
          </cell>
          <cell r="AM506">
            <v>45055</v>
          </cell>
          <cell r="AN506"/>
          <cell r="AO506">
            <v>45056</v>
          </cell>
          <cell r="AP506" t="str">
            <v>AN HANDLE</v>
          </cell>
        </row>
        <row r="507">
          <cell r="A507">
            <v>96231180585</v>
          </cell>
          <cell r="B507" t="str">
            <v>AN</v>
          </cell>
          <cell r="C507">
            <v>0</v>
          </cell>
          <cell r="D507">
            <v>0</v>
          </cell>
          <cell r="E507" t="str">
            <v>VAN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 HANDLE</v>
          </cell>
          <cell r="AC507">
            <v>0</v>
          </cell>
          <cell r="AD507">
            <v>0</v>
          </cell>
          <cell r="AE507">
            <v>0</v>
          </cell>
          <cell r="AF507" t="str">
            <v>TONG JOU VIET NAM CO LTD</v>
          </cell>
          <cell r="AG507" t="str">
            <v>TONG JOU VIET NAM CO LTD</v>
          </cell>
          <cell r="AH507" t="str">
            <v>REGULAR</v>
          </cell>
          <cell r="AI507">
            <v>45044</v>
          </cell>
          <cell r="AJ507"/>
          <cell r="AK507"/>
          <cell r="AL507">
            <v>45055</v>
          </cell>
          <cell r="AM507">
            <v>45055</v>
          </cell>
          <cell r="AN507"/>
          <cell r="AO507">
            <v>45056</v>
          </cell>
          <cell r="AP507" t="str">
            <v>AN HANDLE</v>
          </cell>
        </row>
        <row r="508">
          <cell r="A508">
            <v>96231180595</v>
          </cell>
          <cell r="B508" t="str">
            <v>USD-HANOI</v>
          </cell>
          <cell r="C508">
            <v>0</v>
          </cell>
          <cell r="D508">
            <v>0</v>
          </cell>
          <cell r="E508" t="str">
            <v>VAN</v>
          </cell>
          <cell r="F508" t="str">
            <v>MAKING 0509</v>
          </cell>
          <cell r="G508">
            <v>0</v>
          </cell>
          <cell r="H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Z</v>
          </cell>
          <cell r="AC508">
            <v>0</v>
          </cell>
          <cell r="AD508">
            <v>0</v>
          </cell>
          <cell r="AE508">
            <v>0</v>
          </cell>
          <cell r="AF508" t="str">
            <v>SKY DRAGON VIETNAM COMPANY LIMITED</v>
          </cell>
          <cell r="AG508" t="str">
            <v>MATTEL</v>
          </cell>
          <cell r="AH508" t="str">
            <v>REGULAR</v>
          </cell>
          <cell r="AI508">
            <v>45044</v>
          </cell>
          <cell r="AJ508">
            <v>45051</v>
          </cell>
          <cell r="AK508"/>
          <cell r="AL508">
            <v>45052</v>
          </cell>
          <cell r="AM508">
            <v>45052</v>
          </cell>
          <cell r="AN508">
            <v>45055</v>
          </cell>
          <cell r="AO508">
            <v>45054</v>
          </cell>
          <cell r="AP508" t="str">
            <v>ON HOLD</v>
          </cell>
        </row>
        <row r="509">
          <cell r="A509">
            <v>96231180601</v>
          </cell>
          <cell r="B509" t="str">
            <v>CD</v>
          </cell>
          <cell r="C509">
            <v>0</v>
          </cell>
          <cell r="D509">
            <v>0</v>
          </cell>
          <cell r="E509" t="str">
            <v>SHE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 t="str">
            <v>H</v>
          </cell>
          <cell r="K509">
            <v>0</v>
          </cell>
          <cell r="L509">
            <v>0</v>
          </cell>
          <cell r="M509" t="str">
            <v>C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 t="str">
            <v>Q</v>
          </cell>
          <cell r="W509" t="str">
            <v>V</v>
          </cell>
          <cell r="X509">
            <v>0</v>
          </cell>
          <cell r="Y509">
            <v>0</v>
          </cell>
          <cell r="Z509">
            <v>0</v>
          </cell>
          <cell r="AA509">
            <v>4</v>
          </cell>
          <cell r="AB509" t="str">
            <v>H, C, Q, V</v>
          </cell>
          <cell r="AC509">
            <v>0</v>
          </cell>
          <cell r="AD509" t="str">
            <v>YES</v>
          </cell>
          <cell r="AE509">
            <v>0</v>
          </cell>
          <cell r="AF509" t="str">
            <v>ZEST CANDLE LTD</v>
          </cell>
          <cell r="AG509" t="str">
            <v>MICHAELS GLOBAL SOURCING LLC</v>
          </cell>
          <cell r="AH509" t="str">
            <v>REGULAR</v>
          </cell>
          <cell r="AI509">
            <v>45049</v>
          </cell>
          <cell r="AJ509"/>
          <cell r="AK509"/>
          <cell r="AL509">
            <v>45056</v>
          </cell>
          <cell r="AM509">
            <v>45056</v>
          </cell>
          <cell r="AN509">
            <v>45057</v>
          </cell>
          <cell r="AO509">
            <v>45056</v>
          </cell>
          <cell r="AP509" t="str">
            <v>MUST</v>
          </cell>
        </row>
        <row r="510">
          <cell r="A510">
            <v>96231180602</v>
          </cell>
          <cell r="B510" t="str">
            <v>AN</v>
          </cell>
          <cell r="C510">
            <v>0</v>
          </cell>
          <cell r="D510">
            <v>0</v>
          </cell>
          <cell r="E510" t="str">
            <v xml:space="preserve">TIN/ELV 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 HANDLE</v>
          </cell>
          <cell r="AC510">
            <v>0</v>
          </cell>
          <cell r="AD510">
            <v>0</v>
          </cell>
          <cell r="AE510">
            <v>0</v>
          </cell>
          <cell r="AF510" t="str">
            <v>ZELUS FURNITURE VIETNAM JSC</v>
          </cell>
          <cell r="AG510" t="str">
            <v>ZELUS FURNITURE VIETNAM JSC</v>
          </cell>
          <cell r="AH510" t="str">
            <v>REGULAR</v>
          </cell>
          <cell r="AI510">
            <v>45044</v>
          </cell>
          <cell r="AJ510">
            <v>45050</v>
          </cell>
          <cell r="AK510"/>
          <cell r="AL510">
            <v>45055</v>
          </cell>
          <cell r="AM510">
            <v>45055</v>
          </cell>
          <cell r="AN510"/>
          <cell r="AO510">
            <v>45056</v>
          </cell>
          <cell r="AP510" t="str">
            <v>AN HANDLE</v>
          </cell>
        </row>
        <row r="511">
          <cell r="A511">
            <v>96231230002</v>
          </cell>
          <cell r="B511" t="str">
            <v>US1</v>
          </cell>
          <cell r="C511">
            <v>0</v>
          </cell>
          <cell r="D511">
            <v>0</v>
          </cell>
          <cell r="E511" t="str">
            <v>MIN</v>
          </cell>
          <cell r="F511">
            <v>0</v>
          </cell>
          <cell r="G511" t="str">
            <v>R</v>
          </cell>
          <cell r="H511">
            <v>0</v>
          </cell>
          <cell r="I511">
            <v>0</v>
          </cell>
          <cell r="J511" t="str">
            <v>H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 t="str">
            <v>A</v>
          </cell>
          <cell r="V511" t="str">
            <v>Q</v>
          </cell>
          <cell r="W511">
            <v>0</v>
          </cell>
          <cell r="X511">
            <v>0</v>
          </cell>
          <cell r="Y511" t="str">
            <v>B</v>
          </cell>
          <cell r="Z511">
            <v>0</v>
          </cell>
          <cell r="AA511">
            <v>5</v>
          </cell>
          <cell r="AB511" t="str">
            <v>H, R, A, Q, B</v>
          </cell>
          <cell r="AC511">
            <v>0</v>
          </cell>
          <cell r="AD511" t="str">
            <v>YES</v>
          </cell>
          <cell r="AE511" t="str">
            <v>0506: will change to local</v>
          </cell>
          <cell r="AF511" t="str">
            <v>OVE DECORS ULC</v>
          </cell>
          <cell r="AG511" t="str">
            <v>LOWE'S COMPANIES INC</v>
          </cell>
          <cell r="AH511" t="str">
            <v>REGULAR</v>
          </cell>
          <cell r="AI511">
            <v>45049</v>
          </cell>
          <cell r="AJ511"/>
          <cell r="AK511"/>
          <cell r="AL511">
            <v>45055</v>
          </cell>
          <cell r="AM511">
            <v>45055</v>
          </cell>
          <cell r="AN511">
            <v>45057</v>
          </cell>
          <cell r="AO511">
            <v>45056</v>
          </cell>
          <cell r="AP511" t="str">
            <v>MUST</v>
          </cell>
        </row>
        <row r="512">
          <cell r="A512">
            <v>96231230005</v>
          </cell>
          <cell r="B512" t="str">
            <v>TY</v>
          </cell>
          <cell r="C512">
            <v>0</v>
          </cell>
          <cell r="D512">
            <v>0</v>
          </cell>
          <cell r="E512" t="str">
            <v>TAN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 t="str">
            <v>H</v>
          </cell>
          <cell r="K512" t="str">
            <v>T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 t="str">
            <v>W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3</v>
          </cell>
          <cell r="AB512" t="str">
            <v>H, T, W, A, Q, V</v>
          </cell>
          <cell r="AC512">
            <v>0</v>
          </cell>
          <cell r="AD512" t="str">
            <v>YES</v>
          </cell>
          <cell r="AE512">
            <v>0</v>
          </cell>
          <cell r="AF512" t="str">
            <v>DANU INTERNATIONAL LTD</v>
          </cell>
          <cell r="AG512" t="str">
            <v>DISNEY PRODUCT INTEGRITY FLORIDA</v>
          </cell>
          <cell r="AH512" t="str">
            <v>REGULAR</v>
          </cell>
          <cell r="AI512">
            <v>45049</v>
          </cell>
          <cell r="AJ512"/>
          <cell r="AK512"/>
          <cell r="AL512">
            <v>45054</v>
          </cell>
          <cell r="AM512">
            <v>45054</v>
          </cell>
          <cell r="AN512">
            <v>45057</v>
          </cell>
          <cell r="AO512">
            <v>45055</v>
          </cell>
          <cell r="AP512" t="str">
            <v>DUE</v>
          </cell>
        </row>
        <row r="513">
          <cell r="A513">
            <v>96231230007</v>
          </cell>
          <cell r="B513" t="str">
            <v>EU</v>
          </cell>
          <cell r="C513">
            <v>0</v>
          </cell>
          <cell r="D513">
            <v>0</v>
          </cell>
          <cell r="E513" t="str">
            <v>FLO</v>
          </cell>
          <cell r="F513">
            <v>0</v>
          </cell>
          <cell r="G513">
            <v>0</v>
          </cell>
          <cell r="H513" t="str">
            <v>E</v>
          </cell>
          <cell r="I513">
            <v>0</v>
          </cell>
          <cell r="J513" t="str">
            <v>H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2</v>
          </cell>
          <cell r="AB513" t="str">
            <v>H, E</v>
          </cell>
          <cell r="AC513">
            <v>0</v>
          </cell>
          <cell r="AD513">
            <v>0</v>
          </cell>
          <cell r="AE513" t="str">
            <v>05/06: PI confirmed</v>
          </cell>
          <cell r="AF513" t="str">
            <v>INTERWOOD VIETNAM CO LTD</v>
          </cell>
          <cell r="AG513" t="str">
            <v>INTERWOOD VIETNAM CO LTD</v>
          </cell>
          <cell r="AH513" t="str">
            <v>REGULAR</v>
          </cell>
          <cell r="AI513">
            <v>45049</v>
          </cell>
          <cell r="AJ513">
            <v>45052</v>
          </cell>
          <cell r="AK513">
            <v>45052</v>
          </cell>
          <cell r="AL513">
            <v>45058</v>
          </cell>
          <cell r="AM513">
            <v>45058</v>
          </cell>
          <cell r="AN513"/>
          <cell r="AO513">
            <v>45059</v>
          </cell>
          <cell r="AP513" t="str">
            <v>OFF HOLD</v>
          </cell>
        </row>
        <row r="514">
          <cell r="A514">
            <v>96231230008</v>
          </cell>
          <cell r="B514" t="str">
            <v>JP-AS</v>
          </cell>
          <cell r="C514">
            <v>0</v>
          </cell>
          <cell r="D514">
            <v>0</v>
          </cell>
          <cell r="E514" t="str">
            <v>VAN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 t="str">
            <v>H</v>
          </cell>
          <cell r="K514">
            <v>0</v>
          </cell>
          <cell r="L514" t="str">
            <v>J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 t="str">
            <v>A</v>
          </cell>
          <cell r="V514" t="str">
            <v>Q</v>
          </cell>
          <cell r="W514" t="str">
            <v>V</v>
          </cell>
          <cell r="X514">
            <v>0</v>
          </cell>
          <cell r="Y514">
            <v>0</v>
          </cell>
          <cell r="Z514">
            <v>0</v>
          </cell>
          <cell r="AA514">
            <v>5</v>
          </cell>
          <cell r="AB514" t="str">
            <v>H, J, A, Q, V</v>
          </cell>
          <cell r="AC514">
            <v>0</v>
          </cell>
          <cell r="AD514" t="str">
            <v>YES</v>
          </cell>
          <cell r="AE514">
            <v>0</v>
          </cell>
          <cell r="AF514" t="str">
            <v>DELTA ENTERPRISE CORP. D/B/A DELTA CHILDREN'S PRODUCTS</v>
          </cell>
          <cell r="AG514" t="str">
            <v>JUVENILE PRODUCTS MANUFACTURERS ASSOCIATION INC / JPMA</v>
          </cell>
          <cell r="AH514" t="str">
            <v>REGULAR</v>
          </cell>
          <cell r="AI514">
            <v>45049</v>
          </cell>
          <cell r="AJ514"/>
          <cell r="AK514"/>
          <cell r="AL514">
            <v>45055</v>
          </cell>
          <cell r="AM514">
            <v>45055</v>
          </cell>
          <cell r="AN514">
            <v>45057</v>
          </cell>
          <cell r="AO514">
            <v>45056</v>
          </cell>
          <cell r="AP514" t="str">
            <v>MUST</v>
          </cell>
        </row>
        <row r="515">
          <cell r="A515">
            <v>96231230009</v>
          </cell>
          <cell r="B515" t="str">
            <v>JP-RF SP 96231230008</v>
          </cell>
          <cell r="C515">
            <v>0</v>
          </cell>
          <cell r="D515">
            <v>0</v>
          </cell>
          <cell r="E515" t="str">
            <v>VAN</v>
          </cell>
          <cell r="F515" t="str">
            <v>FIRST MAKING 0506-AN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 t="str">
            <v>V</v>
          </cell>
          <cell r="X515">
            <v>0</v>
          </cell>
          <cell r="Y515">
            <v>0</v>
          </cell>
          <cell r="Z515">
            <v>0</v>
          </cell>
          <cell r="AA515">
            <v>1</v>
          </cell>
          <cell r="AB515" t="str">
            <v>Q, V</v>
          </cell>
          <cell r="AC515">
            <v>0</v>
          </cell>
          <cell r="AD515" t="str">
            <v>YES</v>
          </cell>
          <cell r="AE515">
            <v>0</v>
          </cell>
          <cell r="AF515" t="str">
            <v>DELTA ENTERPRISE CORP. D/B/A DELTA CHILDREN'S PRODUCTS</v>
          </cell>
          <cell r="AG515" t="str">
            <v>DELTA ENTERPRISE CORP. D/B/A DELTA CHILDREN'S PRODUCTS</v>
          </cell>
          <cell r="AH515" t="str">
            <v>REGULAR</v>
          </cell>
          <cell r="AI515">
            <v>45049</v>
          </cell>
          <cell r="AJ515"/>
          <cell r="AK515"/>
          <cell r="AL515">
            <v>45055</v>
          </cell>
          <cell r="AM515">
            <v>45055</v>
          </cell>
          <cell r="AN515">
            <v>45057</v>
          </cell>
          <cell r="AO515">
            <v>45056</v>
          </cell>
          <cell r="AP515" t="str">
            <v>MUST</v>
          </cell>
        </row>
        <row r="516">
          <cell r="A516">
            <v>96231230015</v>
          </cell>
          <cell r="B516" t="str">
            <v>CD-TRANSFER QUALITY FROM 96231170319</v>
          </cell>
          <cell r="C516">
            <v>0</v>
          </cell>
          <cell r="D516">
            <v>0</v>
          </cell>
          <cell r="E516" t="str">
            <v>FLO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 t="str">
            <v>H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/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1</v>
          </cell>
          <cell r="AB516" t="str">
            <v>H, Q, V</v>
          </cell>
          <cell r="AC516">
            <v>0</v>
          </cell>
          <cell r="AD516">
            <v>0</v>
          </cell>
          <cell r="AE516" t="str">
            <v xml:space="preserve">05/06: wait confirm PI </v>
          </cell>
          <cell r="AF516" t="str">
            <v>CAT DANG HANDICRAFT CO., LTD.</v>
          </cell>
          <cell r="AG516" t="str">
            <v xml:space="preserve">CRATE &amp; BARREL </v>
          </cell>
          <cell r="AH516" t="str">
            <v>REGULAR</v>
          </cell>
          <cell r="AI516">
            <v>45049</v>
          </cell>
          <cell r="AJ516">
            <v>45051</v>
          </cell>
          <cell r="AK516">
            <v>45051</v>
          </cell>
          <cell r="AL516">
            <v>45056</v>
          </cell>
          <cell r="AM516">
            <v>45056</v>
          </cell>
          <cell r="AN516"/>
          <cell r="AO516">
            <v>45057</v>
          </cell>
          <cell r="AP516" t="str">
            <v>ON HOLD</v>
          </cell>
        </row>
        <row r="517">
          <cell r="A517">
            <v>96231230016</v>
          </cell>
          <cell r="B517" t="str">
            <v>JP-AS</v>
          </cell>
          <cell r="C517">
            <v>0</v>
          </cell>
          <cell r="D517">
            <v>0</v>
          </cell>
          <cell r="E517" t="str">
            <v>VAN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 t="str">
            <v>J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1</v>
          </cell>
          <cell r="AB517" t="str">
            <v>J</v>
          </cell>
          <cell r="AC517">
            <v>0</v>
          </cell>
          <cell r="AD517" t="str">
            <v>YES</v>
          </cell>
          <cell r="AE517">
            <v>0</v>
          </cell>
          <cell r="AF517" t="str">
            <v>DELTA ENTERPRISE CORP. D/B/A DELTA CHILDREN'S PRODUCTS</v>
          </cell>
          <cell r="AG517" t="str">
            <v>DELTA ENTERPRISE CORP. D/B/A DELTA CHILDREN'S PRODUCTS</v>
          </cell>
          <cell r="AH517" t="str">
            <v>REGULAR</v>
          </cell>
          <cell r="AI517">
            <v>45049</v>
          </cell>
          <cell r="AJ517"/>
          <cell r="AK517"/>
          <cell r="AL517">
            <v>45055</v>
          </cell>
          <cell r="AM517">
            <v>45055</v>
          </cell>
          <cell r="AN517">
            <v>45057</v>
          </cell>
          <cell r="AO517">
            <v>45056</v>
          </cell>
          <cell r="AP517" t="str">
            <v>MUST</v>
          </cell>
        </row>
        <row r="518">
          <cell r="A518">
            <v>96231230018</v>
          </cell>
          <cell r="B518" t="str">
            <v>JP-AS</v>
          </cell>
          <cell r="C518">
            <v>0</v>
          </cell>
          <cell r="D518">
            <v>0</v>
          </cell>
          <cell r="E518" t="str">
            <v>VAN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 t="str">
            <v>J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1</v>
          </cell>
          <cell r="AB518" t="str">
            <v>J</v>
          </cell>
          <cell r="AC518">
            <v>0</v>
          </cell>
          <cell r="AD518" t="str">
            <v>YES</v>
          </cell>
          <cell r="AE518">
            <v>0</v>
          </cell>
          <cell r="AF518" t="str">
            <v>DELTA ENTERPRISE CORP. D/B/A DELTA CHILDREN'S PRODUCTS</v>
          </cell>
          <cell r="AG518" t="str">
            <v>DELTA ENTERPRISE CORP. D/B/A DELTA CHILDREN'S PRODUCTS</v>
          </cell>
          <cell r="AH518" t="str">
            <v>REGULAR</v>
          </cell>
          <cell r="AI518">
            <v>45049</v>
          </cell>
          <cell r="AJ518"/>
          <cell r="AK518"/>
          <cell r="AL518">
            <v>45055</v>
          </cell>
          <cell r="AM518">
            <v>45055</v>
          </cell>
          <cell r="AN518">
            <v>45057</v>
          </cell>
          <cell r="AO518">
            <v>45056</v>
          </cell>
          <cell r="AP518" t="str">
            <v>MUST</v>
          </cell>
        </row>
        <row r="519">
          <cell r="A519">
            <v>96231230019</v>
          </cell>
          <cell r="B519" t="str">
            <v>CD</v>
          </cell>
          <cell r="C519">
            <v>0</v>
          </cell>
          <cell r="D519">
            <v>0</v>
          </cell>
          <cell r="E519" t="str">
            <v>MIN/ELV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 t="str">
            <v>H</v>
          </cell>
          <cell r="K519">
            <v>0</v>
          </cell>
          <cell r="L519">
            <v>0</v>
          </cell>
          <cell r="M519" t="str">
            <v>C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 t="str">
            <v>L</v>
          </cell>
          <cell r="S519">
            <v>0</v>
          </cell>
          <cell r="T519">
            <v>0</v>
          </cell>
          <cell r="U519">
            <v>0</v>
          </cell>
          <cell r="V519" t="str">
            <v>Q</v>
          </cell>
          <cell r="W519" t="str">
            <v>V</v>
          </cell>
          <cell r="X519">
            <v>0</v>
          </cell>
          <cell r="Y519">
            <v>0</v>
          </cell>
          <cell r="Z519">
            <v>0</v>
          </cell>
          <cell r="AA519">
            <v>5</v>
          </cell>
          <cell r="AB519" t="str">
            <v>H, C, F, L, Q, V</v>
          </cell>
          <cell r="AC519">
            <v>0</v>
          </cell>
          <cell r="AD519" t="str">
            <v>YES</v>
          </cell>
          <cell r="AE519" t="str">
            <v>0508: provide docs, pend H2R approval</v>
          </cell>
          <cell r="AF519" t="str">
            <v>VIETNAM HOUSEWARES CORPORATION</v>
          </cell>
          <cell r="AG519" t="str">
            <v>WALMART USA</v>
          </cell>
          <cell r="AH519" t="str">
            <v>REGULAR</v>
          </cell>
          <cell r="AI519">
            <v>45049</v>
          </cell>
          <cell r="AJ519">
            <v>45054</v>
          </cell>
          <cell r="AK519">
            <v>45054</v>
          </cell>
          <cell r="AL519">
            <v>45058</v>
          </cell>
          <cell r="AM519">
            <v>45058</v>
          </cell>
          <cell r="AN519"/>
          <cell r="AO519">
            <v>45059</v>
          </cell>
          <cell r="AP519" t="str">
            <v>OFF HOLD</v>
          </cell>
        </row>
        <row r="520">
          <cell r="A520">
            <v>96231230027</v>
          </cell>
          <cell r="B520" t="str">
            <v>US1-AS</v>
          </cell>
          <cell r="C520">
            <v>0</v>
          </cell>
          <cell r="D520">
            <v>0</v>
          </cell>
          <cell r="E520" t="str">
            <v>MIN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 t="str">
            <v>H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 t="str">
            <v>P</v>
          </cell>
          <cell r="P520">
            <v>0</v>
          </cell>
          <cell r="Q520" t="str">
            <v>F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 t="str">
            <v>Q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4</v>
          </cell>
          <cell r="AB520" t="str">
            <v>H, P, F, Q</v>
          </cell>
          <cell r="AC520">
            <v>0</v>
          </cell>
          <cell r="AD520" t="str">
            <v>YES</v>
          </cell>
          <cell r="AE520" t="str">
            <v>0509: no CS pend</v>
          </cell>
          <cell r="AF520" t="str">
            <v>LIVING STYLE (SINGAPORE) PTE LIMITED</v>
          </cell>
          <cell r="AG520" t="str">
            <v>WAL-MART.COM USA, LLC</v>
          </cell>
          <cell r="AH520" t="str">
            <v>REGULAR</v>
          </cell>
          <cell r="AI520">
            <v>45049</v>
          </cell>
          <cell r="AJ520"/>
          <cell r="AK520"/>
          <cell r="AL520">
            <v>45054</v>
          </cell>
          <cell r="AM520">
            <v>45054</v>
          </cell>
          <cell r="AN520">
            <v>45058</v>
          </cell>
          <cell r="AO520">
            <v>45055</v>
          </cell>
          <cell r="AP520" t="str">
            <v>DUE</v>
          </cell>
        </row>
        <row r="521">
          <cell r="A521">
            <v>96231230039</v>
          </cell>
          <cell r="B521" t="str">
            <v>EU</v>
          </cell>
          <cell r="C521">
            <v>0</v>
          </cell>
          <cell r="D521">
            <v>0</v>
          </cell>
          <cell r="E521" t="str">
            <v>FLO</v>
          </cell>
          <cell r="F521">
            <v>0</v>
          </cell>
          <cell r="G521">
            <v>0</v>
          </cell>
          <cell r="H521" t="str">
            <v>E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1</v>
          </cell>
          <cell r="AB521" t="str">
            <v>E</v>
          </cell>
          <cell r="AC521">
            <v>0</v>
          </cell>
          <cell r="AD521" t="str">
            <v>YES</v>
          </cell>
          <cell r="AE521">
            <v>0</v>
          </cell>
          <cell r="AF521" t="str">
            <v>UE FURNITURE VIETNAM CO LTD</v>
          </cell>
          <cell r="AG521" t="str">
            <v>UE FURNITURE VIETNAM CO LTD</v>
          </cell>
          <cell r="AH521" t="str">
            <v>REGULAR</v>
          </cell>
          <cell r="AI521">
            <v>45049</v>
          </cell>
          <cell r="AJ521"/>
          <cell r="AK521"/>
          <cell r="AL521">
            <v>45055</v>
          </cell>
          <cell r="AM521">
            <v>45055</v>
          </cell>
          <cell r="AN521">
            <v>45057</v>
          </cell>
          <cell r="AO521">
            <v>45056</v>
          </cell>
          <cell r="AP521" t="str">
            <v>MUST</v>
          </cell>
        </row>
        <row r="522">
          <cell r="A522">
            <v>96231230097</v>
          </cell>
          <cell r="B522" t="str">
            <v>US1-AS</v>
          </cell>
          <cell r="C522">
            <v>0</v>
          </cell>
          <cell r="D522">
            <v>0</v>
          </cell>
          <cell r="E522" t="str">
            <v>FLO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 t="str">
            <v>H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 t="str">
            <v>Q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2</v>
          </cell>
          <cell r="AB522" t="str">
            <v>H, Q</v>
          </cell>
          <cell r="AC522">
            <v>0</v>
          </cell>
          <cell r="AD522" t="str">
            <v>YES</v>
          </cell>
          <cell r="AE522" t="str">
            <v>0509: pend skip PPT, aesthetic approval</v>
          </cell>
          <cell r="AF522" t="str">
            <v>HONG KONG GESIN TECHNOLOGY LIMITED</v>
          </cell>
          <cell r="AG522" t="str">
            <v>WALMART USA</v>
          </cell>
          <cell r="AH522" t="str">
            <v>REGULAR</v>
          </cell>
          <cell r="AI522">
            <v>45049</v>
          </cell>
          <cell r="AJ522"/>
          <cell r="AK522"/>
          <cell r="AL522">
            <v>45054</v>
          </cell>
          <cell r="AM522">
            <v>45054</v>
          </cell>
          <cell r="AN522">
            <v>45057</v>
          </cell>
          <cell r="AO522">
            <v>45055</v>
          </cell>
          <cell r="AP522" t="str">
            <v>ON HOLD</v>
          </cell>
        </row>
        <row r="523">
          <cell r="A523">
            <v>96231230100</v>
          </cell>
          <cell r="B523" t="str">
            <v>US1-AS</v>
          </cell>
          <cell r="C523">
            <v>0</v>
          </cell>
          <cell r="D523">
            <v>0</v>
          </cell>
          <cell r="E523" t="str">
            <v>MIN/ELV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 t="str">
            <v>H</v>
          </cell>
          <cell r="K523">
            <v>0</v>
          </cell>
          <cell r="L523">
            <v>0</v>
          </cell>
          <cell r="M523">
            <v>0</v>
          </cell>
          <cell r="N523">
            <v>4</v>
          </cell>
          <cell r="O523" t="str">
            <v>P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 t="str">
            <v>V</v>
          </cell>
          <cell r="X523">
            <v>0</v>
          </cell>
          <cell r="Y523">
            <v>0</v>
          </cell>
          <cell r="Z523">
            <v>0</v>
          </cell>
          <cell r="AA523">
            <v>4</v>
          </cell>
          <cell r="AB523" t="str">
            <v>H, 4., P, F, V, Q</v>
          </cell>
          <cell r="AC523">
            <v>0</v>
          </cell>
          <cell r="AD523" t="str">
            <v>NO</v>
          </cell>
          <cell r="AE523">
            <v>0</v>
          </cell>
          <cell r="AF523" t="str">
            <v>BESTWAY (HONG KONG) INTERNATIONAL LTD</v>
          </cell>
          <cell r="AG523" t="str">
            <v>WAL-MART.COM USA, LLC</v>
          </cell>
          <cell r="AH523" t="str">
            <v>REGULAR</v>
          </cell>
          <cell r="AI523">
            <v>45049</v>
          </cell>
          <cell r="AJ523"/>
          <cell r="AK523"/>
          <cell r="AL523">
            <v>45059</v>
          </cell>
          <cell r="AM523">
            <v>45059</v>
          </cell>
          <cell r="AN523">
            <v>45055</v>
          </cell>
          <cell r="AO523">
            <v>45059</v>
          </cell>
          <cell r="AP523" t="str">
            <v>ACTIVE</v>
          </cell>
        </row>
        <row r="524">
          <cell r="A524">
            <v>96231230101</v>
          </cell>
          <cell r="B524" t="str">
            <v>US1-AS</v>
          </cell>
          <cell r="C524">
            <v>0</v>
          </cell>
          <cell r="D524">
            <v>0</v>
          </cell>
          <cell r="E524" t="str">
            <v>FLO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 t="str">
            <v>H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 t="str">
            <v>Q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2</v>
          </cell>
          <cell r="AB524" t="str">
            <v>H, Q</v>
          </cell>
          <cell r="AC524">
            <v>0</v>
          </cell>
          <cell r="AD524" t="str">
            <v>YES</v>
          </cell>
          <cell r="AE524" t="str">
            <v>0509: pend aesthetic approval</v>
          </cell>
          <cell r="AF524" t="str">
            <v>HONG KONG GESIN TECHNOLOGY LIMITED</v>
          </cell>
          <cell r="AG524" t="str">
            <v>WALMART USA</v>
          </cell>
          <cell r="AH524" t="str">
            <v>REGULAR</v>
          </cell>
          <cell r="AI524">
            <v>45049</v>
          </cell>
          <cell r="AJ524"/>
          <cell r="AK524"/>
          <cell r="AL524">
            <v>45054</v>
          </cell>
          <cell r="AM524">
            <v>45054</v>
          </cell>
          <cell r="AN524">
            <v>45057</v>
          </cell>
          <cell r="AO524">
            <v>45055</v>
          </cell>
          <cell r="AP524" t="str">
            <v>ON HOLD</v>
          </cell>
        </row>
        <row r="525">
          <cell r="A525">
            <v>96231230117</v>
          </cell>
          <cell r="B525" t="str">
            <v>JP</v>
          </cell>
          <cell r="C525">
            <v>0</v>
          </cell>
          <cell r="D525">
            <v>0</v>
          </cell>
          <cell r="E525" t="str">
            <v>MIN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 t="str">
            <v>H</v>
          </cell>
          <cell r="K525">
            <v>0</v>
          </cell>
          <cell r="L525" t="str">
            <v>J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 t="str">
            <v>A</v>
          </cell>
          <cell r="V525" t="str">
            <v>Q</v>
          </cell>
          <cell r="W525" t="str">
            <v>V</v>
          </cell>
          <cell r="X525">
            <v>0</v>
          </cell>
          <cell r="Y525">
            <v>0</v>
          </cell>
          <cell r="Z525">
            <v>0</v>
          </cell>
          <cell r="AA525">
            <v>5</v>
          </cell>
          <cell r="AB525" t="str">
            <v>H, J, A, Q, V</v>
          </cell>
          <cell r="AC525">
            <v>0</v>
          </cell>
          <cell r="AD525" t="str">
            <v>YES</v>
          </cell>
          <cell r="AE525" t="str">
            <v>0508: ask extra color panel, warning label, docs</v>
          </cell>
          <cell r="AF525" t="str">
            <v>DOREL ASIA INC</v>
          </cell>
          <cell r="AG525" t="str">
            <v>JUVENILE PRODUCTS MANUFACTURERS ASSOCIATION INC / JPMA</v>
          </cell>
          <cell r="AH525" t="str">
            <v>REGULAR</v>
          </cell>
          <cell r="AI525">
            <v>45049</v>
          </cell>
          <cell r="AJ525">
            <v>45054</v>
          </cell>
          <cell r="AK525"/>
          <cell r="AL525">
            <v>45055</v>
          </cell>
          <cell r="AM525">
            <v>45055</v>
          </cell>
          <cell r="AN525">
            <v>45057</v>
          </cell>
          <cell r="AO525">
            <v>45056</v>
          </cell>
          <cell r="AP525" t="str">
            <v>ON HOLD</v>
          </cell>
        </row>
        <row r="526">
          <cell r="A526">
            <v>96231230220</v>
          </cell>
          <cell r="B526" t="str">
            <v>US2</v>
          </cell>
          <cell r="C526">
            <v>0</v>
          </cell>
          <cell r="D526">
            <v>0</v>
          </cell>
          <cell r="E526" t="str">
            <v>SHE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 t="str">
            <v>H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 t="str">
            <v>P</v>
          </cell>
          <cell r="P526">
            <v>0</v>
          </cell>
          <cell r="Q526" t="str">
            <v>F</v>
          </cell>
          <cell r="R526" t="str">
            <v>L</v>
          </cell>
          <cell r="S526" t="str">
            <v>M</v>
          </cell>
          <cell r="T526">
            <v>0</v>
          </cell>
          <cell r="U526" t="str">
            <v>A</v>
          </cell>
          <cell r="V526" t="str">
            <v>Q</v>
          </cell>
          <cell r="W526" t="str">
            <v>V</v>
          </cell>
          <cell r="X526">
            <v>0</v>
          </cell>
          <cell r="Y526">
            <v>0</v>
          </cell>
          <cell r="Z526">
            <v>0</v>
          </cell>
          <cell r="AA526">
            <v>8</v>
          </cell>
          <cell r="AB526" t="str">
            <v>H, P, F, L, M, A, Q, V</v>
          </cell>
          <cell r="AC526">
            <v>0</v>
          </cell>
          <cell r="AD526" t="str">
            <v>YES</v>
          </cell>
          <cell r="AE526" t="str">
            <v>5/9: off, 5/8: wait confirm PI, approval for partial test</v>
          </cell>
          <cell r="AF526" t="str">
            <v>SCANDINAVIAN DESIGN VIETNAM LTD</v>
          </cell>
          <cell r="AG526" t="str">
            <v xml:space="preserve">CRATE &amp; BARREL </v>
          </cell>
          <cell r="AH526" t="str">
            <v>REGULAR</v>
          </cell>
          <cell r="AI526">
            <v>45049</v>
          </cell>
          <cell r="AJ526">
            <v>45054</v>
          </cell>
          <cell r="AK526"/>
          <cell r="AL526">
            <v>45055</v>
          </cell>
          <cell r="AM526">
            <v>45055</v>
          </cell>
          <cell r="AN526">
            <v>45057</v>
          </cell>
          <cell r="AO526">
            <v>45056</v>
          </cell>
          <cell r="AP526" t="str">
            <v>OFF HOLD</v>
          </cell>
        </row>
        <row r="527">
          <cell r="A527">
            <v>96231230289</v>
          </cell>
          <cell r="B527" t="str">
            <v>CD-11231150140</v>
          </cell>
          <cell r="C527">
            <v>0</v>
          </cell>
          <cell r="D527" t="str">
            <v>van</v>
          </cell>
          <cell r="E527" t="str">
            <v>VAN</v>
          </cell>
          <cell r="F527" t="str">
            <v>DONE 0509
MAKING 0509</v>
          </cell>
          <cell r="G527">
            <v>0</v>
          </cell>
          <cell r="H527">
            <v>0</v>
          </cell>
          <cell r="I527">
            <v>0</v>
          </cell>
          <cell r="J527"/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/>
          <cell r="P527">
            <v>0</v>
          </cell>
          <cell r="Q527">
            <v>0</v>
          </cell>
          <cell r="R527" t="str">
            <v>L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1</v>
          </cell>
          <cell r="AB527" t="str">
            <v>H, P, L</v>
          </cell>
          <cell r="AC527">
            <v>0</v>
          </cell>
          <cell r="AD527">
            <v>0</v>
          </cell>
          <cell r="AE527" t="str">
            <v>5/5: test clarification</v>
          </cell>
          <cell r="AF527" t="str">
            <v>BUREAU VERITAS (CAMBODIA) LIMITED</v>
          </cell>
          <cell r="AG527" t="str">
            <v>BUREAU VERITAS (CAMBODIA) LIMITED</v>
          </cell>
          <cell r="AH527" t="str">
            <v>URGENT</v>
          </cell>
          <cell r="AI527">
            <v>45050</v>
          </cell>
          <cell r="AJ527">
            <v>45051</v>
          </cell>
          <cell r="AK527"/>
          <cell r="AL527">
            <v>45051</v>
          </cell>
          <cell r="AM527">
            <v>45051</v>
          </cell>
          <cell r="AN527"/>
          <cell r="AO527">
            <v>45052</v>
          </cell>
          <cell r="AP527" t="str">
            <v>LATE</v>
          </cell>
        </row>
        <row r="528">
          <cell r="A528">
            <v>96231230324</v>
          </cell>
          <cell r="B528" t="str">
            <v>CD</v>
          </cell>
          <cell r="C528">
            <v>0</v>
          </cell>
          <cell r="D528" t="str">
            <v>van</v>
          </cell>
          <cell r="E528" t="str">
            <v>VAN</v>
          </cell>
          <cell r="F528" t="str">
            <v>DONE 0509
WAIT RECHECK SL
FIRST MAKING 0508-AN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H, F, Q, V</v>
          </cell>
          <cell r="AC528">
            <v>0</v>
          </cell>
          <cell r="AD528" t="str">
            <v>YES</v>
          </cell>
          <cell r="AE528" t="str">
            <v xml:space="preserve">5/8: no CS pend </v>
          </cell>
          <cell r="AF528" t="str">
            <v>SPORTPET CONSUMER PRODUCTS VIETNAM COMPANY LIMITED</v>
          </cell>
          <cell r="AG528" t="str">
            <v>SPORTPET CONSUMER PRODUCTS VIETNAM COMPANY LIMITED</v>
          </cell>
          <cell r="AH528" t="str">
            <v>URGENT</v>
          </cell>
          <cell r="AI528">
            <v>45050</v>
          </cell>
          <cell r="AJ528">
            <v>45054</v>
          </cell>
          <cell r="AK528">
            <v>45054</v>
          </cell>
          <cell r="AL528">
            <v>45055</v>
          </cell>
          <cell r="AM528">
            <v>45055</v>
          </cell>
          <cell r="AN528"/>
          <cell r="AO528">
            <v>45056</v>
          </cell>
          <cell r="AP528" t="str">
            <v>MUST</v>
          </cell>
        </row>
        <row r="529">
          <cell r="A529">
            <v>96231230328</v>
          </cell>
          <cell r="B529" t="str">
            <v>CD</v>
          </cell>
          <cell r="C529">
            <v>0</v>
          </cell>
          <cell r="D529">
            <v>0</v>
          </cell>
          <cell r="E529" t="str">
            <v>MIN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 t="str">
            <v>H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 t="str">
            <v>P</v>
          </cell>
          <cell r="P529"/>
          <cell r="Q529" t="str">
            <v>F</v>
          </cell>
          <cell r="R529" t="str">
            <v>L</v>
          </cell>
          <cell r="S529" t="str">
            <v>M</v>
          </cell>
          <cell r="T529">
            <v>0</v>
          </cell>
          <cell r="U529">
            <v>0</v>
          </cell>
          <cell r="V529" t="str">
            <v>Q</v>
          </cell>
          <cell r="W529" t="str">
            <v>V</v>
          </cell>
          <cell r="X529">
            <v>0</v>
          </cell>
          <cell r="Y529">
            <v>0</v>
          </cell>
          <cell r="Z529">
            <v>0</v>
          </cell>
          <cell r="AA529">
            <v>7</v>
          </cell>
          <cell r="AB529" t="str">
            <v>H, P, W, F, L, M, Q, V</v>
          </cell>
          <cell r="AC529">
            <v>0</v>
          </cell>
          <cell r="AD529" t="str">
            <v>NO</v>
          </cell>
          <cell r="AE529" t="str">
            <v>0509: no CS pend</v>
          </cell>
          <cell r="AF529" t="str">
            <v>SEASONS (HK) LTD</v>
          </cell>
          <cell r="AG529" t="str">
            <v>WALMART USA</v>
          </cell>
          <cell r="AH529" t="str">
            <v>REGULAR</v>
          </cell>
          <cell r="AI529">
            <v>45049</v>
          </cell>
          <cell r="AJ529"/>
          <cell r="AK529"/>
          <cell r="AL529">
            <v>45054</v>
          </cell>
          <cell r="AM529">
            <v>45054</v>
          </cell>
          <cell r="AN529">
            <v>45057</v>
          </cell>
          <cell r="AO529">
            <v>45055</v>
          </cell>
          <cell r="AP529" t="str">
            <v>OFF HOLD</v>
          </cell>
        </row>
        <row r="530">
          <cell r="A530">
            <v>96231230330</v>
          </cell>
          <cell r="B530" t="str">
            <v>CD</v>
          </cell>
          <cell r="C530">
            <v>0</v>
          </cell>
          <cell r="D530">
            <v>0</v>
          </cell>
          <cell r="E530" t="str">
            <v>MIN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 t="str">
            <v>H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 t="str">
            <v>P</v>
          </cell>
          <cell r="P530"/>
          <cell r="Q530" t="str">
            <v>F</v>
          </cell>
          <cell r="R530" t="str">
            <v>L</v>
          </cell>
          <cell r="S530" t="str">
            <v>M</v>
          </cell>
          <cell r="T530">
            <v>0</v>
          </cell>
          <cell r="U530">
            <v>0</v>
          </cell>
          <cell r="V530" t="str">
            <v>Q</v>
          </cell>
          <cell r="W530" t="str">
            <v>V</v>
          </cell>
          <cell r="X530">
            <v>0</v>
          </cell>
          <cell r="Y530">
            <v>0</v>
          </cell>
          <cell r="Z530">
            <v>0</v>
          </cell>
          <cell r="AA530">
            <v>7</v>
          </cell>
          <cell r="AB530" t="str">
            <v>H, P, W, F, L, M, Q, V</v>
          </cell>
          <cell r="AC530">
            <v>0</v>
          </cell>
          <cell r="AD530" t="str">
            <v>NO</v>
          </cell>
          <cell r="AE530" t="str">
            <v>0509: no CS pend</v>
          </cell>
          <cell r="AF530" t="str">
            <v>SEASONS (HK) LTD</v>
          </cell>
          <cell r="AG530" t="str">
            <v>WALMART USA</v>
          </cell>
          <cell r="AH530" t="str">
            <v>REGULAR</v>
          </cell>
          <cell r="AI530">
            <v>45049</v>
          </cell>
          <cell r="AJ530"/>
          <cell r="AK530"/>
          <cell r="AL530">
            <v>45054</v>
          </cell>
          <cell r="AM530">
            <v>45054</v>
          </cell>
          <cell r="AN530">
            <v>45057</v>
          </cell>
          <cell r="AO530">
            <v>45055</v>
          </cell>
          <cell r="AP530" t="str">
            <v>OFF HOLD</v>
          </cell>
        </row>
        <row r="531">
          <cell r="A531">
            <v>96231230344</v>
          </cell>
          <cell r="B531" t="str">
            <v>JP-RP SP 96231230117</v>
          </cell>
          <cell r="C531">
            <v>0</v>
          </cell>
          <cell r="D531">
            <v>0</v>
          </cell>
          <cell r="E531" t="str">
            <v>MIN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 t="str">
            <v>H</v>
          </cell>
          <cell r="K531">
            <v>0</v>
          </cell>
          <cell r="L531" t="str">
            <v>J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 t="str">
            <v>M</v>
          </cell>
          <cell r="T531">
            <v>0</v>
          </cell>
          <cell r="U531">
            <v>0</v>
          </cell>
          <cell r="V531" t="str">
            <v>Q</v>
          </cell>
          <cell r="W531" t="str">
            <v>V</v>
          </cell>
          <cell r="X531">
            <v>0</v>
          </cell>
          <cell r="Y531">
            <v>0</v>
          </cell>
          <cell r="Z531">
            <v>0</v>
          </cell>
          <cell r="AA531">
            <v>5</v>
          </cell>
          <cell r="AB531" t="str">
            <v>H, J, M, Q, V</v>
          </cell>
          <cell r="AC531">
            <v>0</v>
          </cell>
          <cell r="AD531" t="str">
            <v>YES</v>
          </cell>
          <cell r="AE531" t="str">
            <v>0508: ask extra color panel, warning label, docs</v>
          </cell>
          <cell r="AF531" t="str">
            <v>DOREL ASIA INC</v>
          </cell>
          <cell r="AG531" t="str">
            <v>DOREL ASIA INC</v>
          </cell>
          <cell r="AH531" t="str">
            <v>REGULAR</v>
          </cell>
          <cell r="AI531">
            <v>45049</v>
          </cell>
          <cell r="AJ531">
            <v>45054</v>
          </cell>
          <cell r="AK531"/>
          <cell r="AL531">
            <v>45055</v>
          </cell>
          <cell r="AM531">
            <v>45055</v>
          </cell>
          <cell r="AN531">
            <v>45057</v>
          </cell>
          <cell r="AO531">
            <v>45056</v>
          </cell>
          <cell r="AP531" t="str">
            <v>ON HOLD</v>
          </cell>
        </row>
        <row r="532">
          <cell r="A532">
            <v>96231230372</v>
          </cell>
          <cell r="B532" t="str">
            <v>CD-USD</v>
          </cell>
          <cell r="C532">
            <v>0</v>
          </cell>
          <cell r="D532">
            <v>0</v>
          </cell>
          <cell r="E532" t="str">
            <v>MIN</v>
          </cell>
          <cell r="F532" t="str">
            <v>FIRST MAKING 0508-CD</v>
          </cell>
          <cell r="G532">
            <v>0</v>
          </cell>
          <cell r="H532">
            <v>0</v>
          </cell>
          <cell r="I532">
            <v>0</v>
          </cell>
          <cell r="J532" t="str">
            <v>H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1</v>
          </cell>
          <cell r="AB532" t="str">
            <v>H, Z</v>
          </cell>
          <cell r="AC532">
            <v>0</v>
          </cell>
          <cell r="AD532">
            <v>0</v>
          </cell>
          <cell r="AE532" t="str">
            <v>0509: no CS pend - 0504: recheck account with CC</v>
          </cell>
          <cell r="AF532" t="str">
            <v>LIFETIME BRANDS, INC.</v>
          </cell>
          <cell r="AG532" t="str">
            <v>COSTCO WHOLESALE CORPORATION</v>
          </cell>
          <cell r="AH532" t="str">
            <v>REGULAR</v>
          </cell>
          <cell r="AI532">
            <v>45049</v>
          </cell>
          <cell r="AJ532">
            <v>45049</v>
          </cell>
          <cell r="AK532">
            <v>45050</v>
          </cell>
          <cell r="AL532">
            <v>45056</v>
          </cell>
          <cell r="AM532">
            <v>45056</v>
          </cell>
          <cell r="AN532">
            <v>45056</v>
          </cell>
          <cell r="AO532">
            <v>45057</v>
          </cell>
          <cell r="AP532" t="str">
            <v>OFF HOLD</v>
          </cell>
        </row>
        <row r="533">
          <cell r="A533">
            <v>96231230373</v>
          </cell>
          <cell r="B533" t="str">
            <v>CD-USD</v>
          </cell>
          <cell r="C533">
            <v>0</v>
          </cell>
          <cell r="D533">
            <v>0</v>
          </cell>
          <cell r="E533" t="str">
            <v>MIN</v>
          </cell>
          <cell r="F533" t="str">
            <v>FIRST MAKING 0508-CD</v>
          </cell>
          <cell r="G533">
            <v>0</v>
          </cell>
          <cell r="H533">
            <v>0</v>
          </cell>
          <cell r="I533">
            <v>0</v>
          </cell>
          <cell r="J533" t="str">
            <v>H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1</v>
          </cell>
          <cell r="AB533" t="str">
            <v>H, Z</v>
          </cell>
          <cell r="AC533">
            <v>0</v>
          </cell>
          <cell r="AD533">
            <v>0</v>
          </cell>
          <cell r="AE533" t="str">
            <v>0509: no CS pend - 0504: recheck account with CC</v>
          </cell>
          <cell r="AF533" t="str">
            <v>LIFETIME BRANDS, INC.</v>
          </cell>
          <cell r="AG533" t="str">
            <v>COSTCO WHOLESALE CORPORATION</v>
          </cell>
          <cell r="AH533" t="str">
            <v>REGULAR</v>
          </cell>
          <cell r="AI533">
            <v>45049</v>
          </cell>
          <cell r="AJ533">
            <v>45049</v>
          </cell>
          <cell r="AK533">
            <v>45050</v>
          </cell>
          <cell r="AL533">
            <v>45056</v>
          </cell>
          <cell r="AM533">
            <v>45056</v>
          </cell>
          <cell r="AN533">
            <v>45056</v>
          </cell>
          <cell r="AO533">
            <v>45057</v>
          </cell>
          <cell r="AP533" t="str">
            <v>OFF HOLD</v>
          </cell>
        </row>
        <row r="534">
          <cell r="A534">
            <v>96231230392</v>
          </cell>
          <cell r="B534" t="str">
            <v>TY-RF SP 96223440378</v>
          </cell>
          <cell r="C534">
            <v>0</v>
          </cell>
          <cell r="D534" t="str">
            <v>van</v>
          </cell>
          <cell r="E534" t="str">
            <v>TAN</v>
          </cell>
          <cell r="F534" t="str">
            <v>DONE 0509
MAKING 0509</v>
          </cell>
          <cell r="G534">
            <v>0</v>
          </cell>
          <cell r="H534">
            <v>0</v>
          </cell>
          <cell r="I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H, T, W, F, L, A, Q, V</v>
          </cell>
          <cell r="AC534">
            <v>0</v>
          </cell>
          <cell r="AD534" t="str">
            <v>YES</v>
          </cell>
          <cell r="AE534">
            <v>0</v>
          </cell>
          <cell r="AF534" t="str">
            <v>INNOFLOW KOREA COMPANY LIMITED</v>
          </cell>
          <cell r="AG534" t="str">
            <v>THE DISNEY STORE, INC (CA)</v>
          </cell>
          <cell r="AH534" t="str">
            <v>REGULAR</v>
          </cell>
          <cell r="AI534">
            <v>45050</v>
          </cell>
          <cell r="AJ534"/>
          <cell r="AK534"/>
          <cell r="AL534">
            <v>45055</v>
          </cell>
          <cell r="AM534">
            <v>45055</v>
          </cell>
          <cell r="AN534">
            <v>45057</v>
          </cell>
          <cell r="AO534">
            <v>45055</v>
          </cell>
          <cell r="AP534" t="str">
            <v>DUE</v>
          </cell>
        </row>
        <row r="535">
          <cell r="A535">
            <v>96231230393</v>
          </cell>
          <cell r="B535" t="str">
            <v>EU-REFER RESULT 96210110083</v>
          </cell>
          <cell r="C535">
            <v>0</v>
          </cell>
          <cell r="D535">
            <v>0</v>
          </cell>
          <cell r="E535" t="str">
            <v>LYNN</v>
          </cell>
          <cell r="F535" t="str">
            <v>HOLD WAIT FANTOM
MAKING 0505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E</v>
          </cell>
          <cell r="AC535">
            <v>0</v>
          </cell>
          <cell r="AD535">
            <v>0</v>
          </cell>
          <cell r="AE535">
            <v>0</v>
          </cell>
          <cell r="AF535" t="str">
            <v>PHUONG DONG INTERIOR DESIGN- CONSTRUCTION JOINT STOCK COMPANY</v>
          </cell>
          <cell r="AG535" t="str">
            <v>PHUONG DONG INTERIOR DESIGN- CONSTRUCTION JOINT STOCK COMPANY</v>
          </cell>
          <cell r="AH535" t="str">
            <v>REGULAR</v>
          </cell>
          <cell r="AI535">
            <v>45050</v>
          </cell>
          <cell r="AJ535"/>
          <cell r="AK535"/>
          <cell r="AL535">
            <v>45056</v>
          </cell>
          <cell r="AM535">
            <v>45056</v>
          </cell>
          <cell r="AN535"/>
          <cell r="AO535">
            <v>45057</v>
          </cell>
          <cell r="AP535" t="str">
            <v>ACTIVE</v>
          </cell>
        </row>
        <row r="536">
          <cell r="A536">
            <v>96231240043</v>
          </cell>
          <cell r="B536" t="str">
            <v>CD</v>
          </cell>
          <cell r="C536">
            <v>0</v>
          </cell>
          <cell r="D536">
            <v>0</v>
          </cell>
          <cell r="E536" t="str">
            <v>SHE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 t="str">
            <v>H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 t="str">
            <v>F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/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2</v>
          </cell>
          <cell r="AB536" t="str">
            <v>H, F, Q, V</v>
          </cell>
          <cell r="AC536">
            <v>0</v>
          </cell>
          <cell r="AD536">
            <v>0</v>
          </cell>
          <cell r="AE536">
            <v>0</v>
          </cell>
          <cell r="AF536" t="str">
            <v>GIANT GOAL VIETNAM COMPANY LIMITED</v>
          </cell>
          <cell r="AG536" t="str">
            <v>PETSMART, INC.</v>
          </cell>
          <cell r="AH536" t="str">
            <v>REGULAR</v>
          </cell>
          <cell r="AI536">
            <v>45050</v>
          </cell>
          <cell r="AJ536">
            <v>45050</v>
          </cell>
          <cell r="AK536">
            <v>45050</v>
          </cell>
          <cell r="AL536">
            <v>45056</v>
          </cell>
          <cell r="AM536">
            <v>45056</v>
          </cell>
          <cell r="AN536">
            <v>45056</v>
          </cell>
          <cell r="AO536">
            <v>45057</v>
          </cell>
          <cell r="AP536" t="str">
            <v>OFF HOLD</v>
          </cell>
        </row>
        <row r="537">
          <cell r="A537">
            <v>96231240045</v>
          </cell>
          <cell r="B537" t="str">
            <v>TY</v>
          </cell>
          <cell r="C537">
            <v>0</v>
          </cell>
          <cell r="D537">
            <v>0</v>
          </cell>
          <cell r="E537" t="str">
            <v>ELV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 t="str">
            <v>H</v>
          </cell>
          <cell r="K537" t="str">
            <v>T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 t="str">
            <v>L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3</v>
          </cell>
          <cell r="AB537" t="str">
            <v>H, T, W, F, L, A, Q, V</v>
          </cell>
          <cell r="AC537">
            <v>0</v>
          </cell>
          <cell r="AD537" t="str">
            <v>YES</v>
          </cell>
          <cell r="AE537">
            <v>0</v>
          </cell>
          <cell r="AF537" t="str">
            <v>DREAM INTERNATIONAL LIMITED</v>
          </cell>
          <cell r="AG537" t="str">
            <v>HONG KONG INTERNATIONAL THEME PARKS LTD</v>
          </cell>
          <cell r="AH537" t="str">
            <v>REGULAR</v>
          </cell>
          <cell r="AI537">
            <v>45050</v>
          </cell>
          <cell r="AJ537"/>
          <cell r="AK537"/>
          <cell r="AL537">
            <v>45056</v>
          </cell>
          <cell r="AM537">
            <v>45056</v>
          </cell>
          <cell r="AN537">
            <v>45057</v>
          </cell>
          <cell r="AO537">
            <v>45056</v>
          </cell>
          <cell r="AP537" t="str">
            <v>MUST</v>
          </cell>
        </row>
        <row r="538">
          <cell r="A538">
            <v>96231240095</v>
          </cell>
          <cell r="B538" t="str">
            <v>TY</v>
          </cell>
          <cell r="C538">
            <v>0</v>
          </cell>
          <cell r="D538">
            <v>0</v>
          </cell>
          <cell r="E538" t="str">
            <v>ELV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 t="str">
            <v>T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>
            <v>0</v>
          </cell>
          <cell r="R538" t="str">
            <v>L</v>
          </cell>
          <cell r="S538">
            <v>0</v>
          </cell>
          <cell r="T538">
            <v>0</v>
          </cell>
          <cell r="U538" t="str">
            <v>A</v>
          </cell>
          <cell r="V538" t="str">
            <v>Q</v>
          </cell>
          <cell r="W538" t="str">
            <v>V</v>
          </cell>
          <cell r="X538">
            <v>0</v>
          </cell>
          <cell r="Y538">
            <v>0</v>
          </cell>
          <cell r="Z538">
            <v>0</v>
          </cell>
          <cell r="AA538">
            <v>5</v>
          </cell>
          <cell r="AB538" t="str">
            <v>T, W, F, L, A, Q, V</v>
          </cell>
          <cell r="AC538">
            <v>0</v>
          </cell>
          <cell r="AD538" t="str">
            <v>YES</v>
          </cell>
          <cell r="AE538">
            <v>0</v>
          </cell>
          <cell r="AF538" t="str">
            <v>DREAM INTERNATIONAL LIMITED</v>
          </cell>
          <cell r="AG538" t="str">
            <v>EURO DISNEY ASSOCIES S.A.S</v>
          </cell>
          <cell r="AH538" t="str">
            <v>REGULAR</v>
          </cell>
          <cell r="AI538">
            <v>45050</v>
          </cell>
          <cell r="AJ538"/>
          <cell r="AK538"/>
          <cell r="AL538">
            <v>45056</v>
          </cell>
          <cell r="AM538">
            <v>45056</v>
          </cell>
          <cell r="AN538">
            <v>45057</v>
          </cell>
          <cell r="AO538">
            <v>45056</v>
          </cell>
          <cell r="AP538" t="str">
            <v>ON HOLD</v>
          </cell>
        </row>
        <row r="539">
          <cell r="A539">
            <v>96231240098</v>
          </cell>
          <cell r="B539" t="str">
            <v>CD</v>
          </cell>
          <cell r="C539">
            <v>0</v>
          </cell>
          <cell r="D539">
            <v>0</v>
          </cell>
          <cell r="E539" t="str">
            <v>FLO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 t="str">
            <v>H</v>
          </cell>
          <cell r="K539">
            <v>0</v>
          </cell>
          <cell r="L539">
            <v>0</v>
          </cell>
          <cell r="M539" t="str">
            <v>C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 t="str">
            <v>Q</v>
          </cell>
          <cell r="W539" t="str">
            <v>V</v>
          </cell>
          <cell r="X539">
            <v>0</v>
          </cell>
          <cell r="Y539">
            <v>0</v>
          </cell>
          <cell r="Z539">
            <v>0</v>
          </cell>
          <cell r="AA539">
            <v>4</v>
          </cell>
          <cell r="AB539" t="str">
            <v>H, C, Q, V</v>
          </cell>
          <cell r="AC539">
            <v>0</v>
          </cell>
          <cell r="AD539">
            <v>0</v>
          </cell>
          <cell r="AE539">
            <v>0</v>
          </cell>
          <cell r="AF539" t="str">
            <v>PLANAHEAD LLC</v>
          </cell>
          <cell r="AG539" t="str">
            <v>CVS</v>
          </cell>
          <cell r="AH539" t="str">
            <v>REGULAR</v>
          </cell>
          <cell r="AI539">
            <v>45050</v>
          </cell>
          <cell r="AJ539"/>
          <cell r="AK539"/>
          <cell r="AL539">
            <v>45056</v>
          </cell>
          <cell r="AM539">
            <v>45056</v>
          </cell>
          <cell r="AN539">
            <v>45057</v>
          </cell>
          <cell r="AO539">
            <v>45056</v>
          </cell>
          <cell r="AP539" t="str">
            <v>MUST</v>
          </cell>
        </row>
        <row r="540">
          <cell r="A540">
            <v>96231240100</v>
          </cell>
          <cell r="B540" t="str">
            <v>TY</v>
          </cell>
          <cell r="C540">
            <v>0</v>
          </cell>
          <cell r="D540">
            <v>0</v>
          </cell>
          <cell r="E540" t="str">
            <v>ELV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 t="str">
            <v>T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 t="str">
            <v>L</v>
          </cell>
          <cell r="S540">
            <v>0</v>
          </cell>
          <cell r="T540">
            <v>0</v>
          </cell>
          <cell r="U540" t="str">
            <v>A</v>
          </cell>
          <cell r="V540" t="str">
            <v>Q</v>
          </cell>
          <cell r="W540" t="str">
            <v>V</v>
          </cell>
          <cell r="X540">
            <v>0</v>
          </cell>
          <cell r="Y540">
            <v>0</v>
          </cell>
          <cell r="Z540">
            <v>0</v>
          </cell>
          <cell r="AA540">
            <v>5</v>
          </cell>
          <cell r="AB540" t="str">
            <v>T, W, F, L, A, Q, V</v>
          </cell>
          <cell r="AC540">
            <v>0</v>
          </cell>
          <cell r="AD540" t="str">
            <v>YES</v>
          </cell>
          <cell r="AE540">
            <v>0</v>
          </cell>
          <cell r="AF540" t="str">
            <v>DREAM INTERNATIONAL LIMITED</v>
          </cell>
          <cell r="AG540" t="str">
            <v>EURO DISNEY ASSOCIES S.A.S</v>
          </cell>
          <cell r="AH540" t="str">
            <v>REGULAR</v>
          </cell>
          <cell r="AI540">
            <v>45050</v>
          </cell>
          <cell r="AJ540"/>
          <cell r="AK540"/>
          <cell r="AL540">
            <v>45056</v>
          </cell>
          <cell r="AM540">
            <v>45056</v>
          </cell>
          <cell r="AN540">
            <v>45057</v>
          </cell>
          <cell r="AO540">
            <v>45056</v>
          </cell>
          <cell r="AP540" t="str">
            <v>ON HOLD</v>
          </cell>
        </row>
        <row r="541">
          <cell r="A541">
            <v>96231240106</v>
          </cell>
          <cell r="B541" t="str">
            <v>TY</v>
          </cell>
          <cell r="C541">
            <v>0</v>
          </cell>
          <cell r="D541">
            <v>0</v>
          </cell>
          <cell r="E541" t="str">
            <v>ELV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 t="str">
            <v>T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 t="str">
            <v>L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 t="str">
            <v>B</v>
          </cell>
          <cell r="Z541">
            <v>0</v>
          </cell>
          <cell r="AA541">
            <v>3</v>
          </cell>
          <cell r="AB541" t="str">
            <v>T, F, L, Q, V, B</v>
          </cell>
          <cell r="AC541">
            <v>0</v>
          </cell>
          <cell r="AD541" t="str">
            <v>YES</v>
          </cell>
          <cell r="AE541">
            <v>0</v>
          </cell>
          <cell r="AF541" t="str">
            <v>DREAM INTERNATIONAL LIMITED</v>
          </cell>
          <cell r="AG541" t="str">
            <v>DISNEY PRODUCT INTEGRITY FLORIDA</v>
          </cell>
          <cell r="AH541" t="str">
            <v>REGULAR</v>
          </cell>
          <cell r="AI541">
            <v>45050</v>
          </cell>
          <cell r="AJ541"/>
          <cell r="AK541"/>
          <cell r="AL541">
            <v>45056</v>
          </cell>
          <cell r="AM541">
            <v>45056</v>
          </cell>
          <cell r="AN541">
            <v>45057</v>
          </cell>
          <cell r="AO541">
            <v>45056</v>
          </cell>
          <cell r="AP541" t="str">
            <v>MUST</v>
          </cell>
        </row>
        <row r="542">
          <cell r="A542">
            <v>96231240110</v>
          </cell>
          <cell r="B542" t="str">
            <v>CD</v>
          </cell>
          <cell r="C542">
            <v>0</v>
          </cell>
          <cell r="D542">
            <v>0</v>
          </cell>
          <cell r="E542" t="str">
            <v>SHE</v>
          </cell>
          <cell r="F542" t="str">
            <v>FIRST MAKING 0508 - AN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 t="str">
            <v>Q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1</v>
          </cell>
          <cell r="AB542" t="str">
            <v>H, Q</v>
          </cell>
          <cell r="AC542">
            <v>0</v>
          </cell>
          <cell r="AD542">
            <v>0</v>
          </cell>
          <cell r="AE542">
            <v>0</v>
          </cell>
          <cell r="AF542" t="str">
            <v>DAYEON BIJOU VIETNAM CO LTD</v>
          </cell>
          <cell r="AG542" t="str">
            <v>H&amp;M HENNES &amp; MAURITZ  GBC AB</v>
          </cell>
          <cell r="AH542" t="str">
            <v>REGULAR</v>
          </cell>
          <cell r="AI542">
            <v>45050</v>
          </cell>
          <cell r="AJ542"/>
          <cell r="AK542"/>
          <cell r="AL542">
            <v>45059</v>
          </cell>
          <cell r="AM542">
            <v>45059</v>
          </cell>
          <cell r="AN542"/>
          <cell r="AO542">
            <v>45061</v>
          </cell>
          <cell r="AP542" t="str">
            <v>ACTIVE</v>
          </cell>
        </row>
        <row r="543">
          <cell r="A543">
            <v>96231240112</v>
          </cell>
          <cell r="B543" t="str">
            <v>CD</v>
          </cell>
          <cell r="C543">
            <v>0</v>
          </cell>
          <cell r="D543">
            <v>0</v>
          </cell>
          <cell r="E543" t="str">
            <v>SHE</v>
          </cell>
          <cell r="F543" t="str">
            <v>FIRST MAKING 0508 - AN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 t="str">
            <v>Q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1</v>
          </cell>
          <cell r="AB543" t="str">
            <v>H, Q</v>
          </cell>
          <cell r="AC543">
            <v>0</v>
          </cell>
          <cell r="AD543">
            <v>0</v>
          </cell>
          <cell r="AE543">
            <v>0</v>
          </cell>
          <cell r="AF543" t="str">
            <v>DAYEON BIJOU VIETNAM CO LTD</v>
          </cell>
          <cell r="AG543" t="str">
            <v>H&amp;M HENNES &amp; MAURITZ  GBC AB</v>
          </cell>
          <cell r="AH543" t="str">
            <v>REGULAR</v>
          </cell>
          <cell r="AI543">
            <v>45050</v>
          </cell>
          <cell r="AJ543"/>
          <cell r="AK543"/>
          <cell r="AL543">
            <v>45059</v>
          </cell>
          <cell r="AM543">
            <v>45059</v>
          </cell>
          <cell r="AN543"/>
          <cell r="AO543">
            <v>45061</v>
          </cell>
          <cell r="AP543" t="str">
            <v>ACTIVE</v>
          </cell>
        </row>
        <row r="544">
          <cell r="A544">
            <v>96231240115</v>
          </cell>
          <cell r="B544" t="str">
            <v>TY</v>
          </cell>
          <cell r="C544">
            <v>0</v>
          </cell>
          <cell r="D544">
            <v>0</v>
          </cell>
          <cell r="E544" t="str">
            <v>ELV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 t="str">
            <v>T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 t="str">
            <v>L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 t="str">
            <v>B</v>
          </cell>
          <cell r="Z544">
            <v>0</v>
          </cell>
          <cell r="AA544">
            <v>3</v>
          </cell>
          <cell r="AB544" t="str">
            <v>T, F, L, Q, V, B</v>
          </cell>
          <cell r="AC544">
            <v>0</v>
          </cell>
          <cell r="AD544" t="str">
            <v>YES</v>
          </cell>
          <cell r="AE544">
            <v>0</v>
          </cell>
          <cell r="AF544" t="str">
            <v>DREAM INTERNATIONAL LIMITED</v>
          </cell>
          <cell r="AG544" t="str">
            <v>DISNEY PRODUCT INTEGRITY FLORIDA</v>
          </cell>
          <cell r="AH544" t="str">
            <v>REGULAR</v>
          </cell>
          <cell r="AI544">
            <v>45050</v>
          </cell>
          <cell r="AJ544"/>
          <cell r="AK544"/>
          <cell r="AL544">
            <v>45056</v>
          </cell>
          <cell r="AM544">
            <v>45056</v>
          </cell>
          <cell r="AN544">
            <v>45057</v>
          </cell>
          <cell r="AO544">
            <v>45056</v>
          </cell>
          <cell r="AP544" t="str">
            <v>MUST</v>
          </cell>
        </row>
        <row r="545">
          <cell r="A545">
            <v>96231240117</v>
          </cell>
          <cell r="B545" t="str">
            <v>CD</v>
          </cell>
          <cell r="C545">
            <v>0</v>
          </cell>
          <cell r="D545">
            <v>0</v>
          </cell>
          <cell r="E545" t="str">
            <v>SHE</v>
          </cell>
          <cell r="F545" t="str">
            <v>FIRST MAKING 0508 - AN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 t="str">
            <v>Q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1</v>
          </cell>
          <cell r="AB545" t="str">
            <v>H, Q</v>
          </cell>
          <cell r="AC545">
            <v>0</v>
          </cell>
          <cell r="AD545">
            <v>0</v>
          </cell>
          <cell r="AE545">
            <v>0</v>
          </cell>
          <cell r="AF545" t="str">
            <v>DAYEON BIJOU VIETNAM CO LTD</v>
          </cell>
          <cell r="AG545" t="str">
            <v>H&amp;M HENNES &amp; MAURITZ  GBC AB</v>
          </cell>
          <cell r="AH545" t="str">
            <v>REGULAR</v>
          </cell>
          <cell r="AI545">
            <v>45050</v>
          </cell>
          <cell r="AJ545"/>
          <cell r="AK545"/>
          <cell r="AL545">
            <v>45059</v>
          </cell>
          <cell r="AM545">
            <v>45059</v>
          </cell>
          <cell r="AN545"/>
          <cell r="AO545">
            <v>45061</v>
          </cell>
          <cell r="AP545" t="str">
            <v>ACTIVE</v>
          </cell>
        </row>
        <row r="546">
          <cell r="A546">
            <v>96231240119</v>
          </cell>
          <cell r="B546" t="str">
            <v>CD</v>
          </cell>
          <cell r="C546">
            <v>0</v>
          </cell>
          <cell r="D546">
            <v>0</v>
          </cell>
          <cell r="E546" t="str">
            <v>SHE</v>
          </cell>
          <cell r="F546" t="str">
            <v>FIRST MAKING 0508 - AN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 t="str">
            <v>Q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1</v>
          </cell>
          <cell r="AB546" t="str">
            <v>H, Q</v>
          </cell>
          <cell r="AC546">
            <v>0</v>
          </cell>
          <cell r="AD546">
            <v>0</v>
          </cell>
          <cell r="AE546">
            <v>0</v>
          </cell>
          <cell r="AF546" t="str">
            <v>DAYEON BIJOU VIETNAM CO LTD</v>
          </cell>
          <cell r="AG546" t="str">
            <v>H&amp;M HENNES &amp; MAURITZ  GBC AB</v>
          </cell>
          <cell r="AH546" t="str">
            <v>REGULAR</v>
          </cell>
          <cell r="AI546">
            <v>45050</v>
          </cell>
          <cell r="AJ546"/>
          <cell r="AK546"/>
          <cell r="AL546">
            <v>45059</v>
          </cell>
          <cell r="AM546">
            <v>45059</v>
          </cell>
          <cell r="AN546"/>
          <cell r="AO546">
            <v>45061</v>
          </cell>
          <cell r="AP546" t="str">
            <v>ACTIVE</v>
          </cell>
        </row>
        <row r="547">
          <cell r="A547">
            <v>96231240123</v>
          </cell>
          <cell r="B547" t="str">
            <v>CD</v>
          </cell>
          <cell r="C547">
            <v>0</v>
          </cell>
          <cell r="D547">
            <v>0</v>
          </cell>
          <cell r="E547" t="str">
            <v>SHE</v>
          </cell>
          <cell r="F547" t="str">
            <v>FIRST MAKING 0508 - AN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 t="str">
            <v>Q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1</v>
          </cell>
          <cell r="AB547" t="str">
            <v>H, Q</v>
          </cell>
          <cell r="AC547">
            <v>0</v>
          </cell>
          <cell r="AD547">
            <v>0</v>
          </cell>
          <cell r="AE547">
            <v>0</v>
          </cell>
          <cell r="AF547" t="str">
            <v>DAYEON BIJOU VIETNAM CO LTD</v>
          </cell>
          <cell r="AG547" t="str">
            <v>H&amp;M HENNES &amp; MAURITZ  GBC AB</v>
          </cell>
          <cell r="AH547" t="str">
            <v>REGULAR</v>
          </cell>
          <cell r="AI547">
            <v>45050</v>
          </cell>
          <cell r="AJ547"/>
          <cell r="AK547"/>
          <cell r="AL547">
            <v>45059</v>
          </cell>
          <cell r="AM547">
            <v>45059</v>
          </cell>
          <cell r="AN547"/>
          <cell r="AO547">
            <v>45061</v>
          </cell>
          <cell r="AP547" t="str">
            <v>ACTIVE</v>
          </cell>
        </row>
        <row r="548">
          <cell r="A548">
            <v>96231240141</v>
          </cell>
          <cell r="B548" t="str">
            <v>CD</v>
          </cell>
          <cell r="C548">
            <v>0</v>
          </cell>
          <cell r="D548">
            <v>0</v>
          </cell>
          <cell r="E548" t="str">
            <v>SHE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 t="str">
            <v>Q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1</v>
          </cell>
          <cell r="AB548" t="str">
            <v>H, Q</v>
          </cell>
          <cell r="AC548">
            <v>0</v>
          </cell>
          <cell r="AD548">
            <v>0</v>
          </cell>
          <cell r="AE548">
            <v>0</v>
          </cell>
          <cell r="AF548" t="str">
            <v>DAYEON BIJOU VIETNAM CO LTD</v>
          </cell>
          <cell r="AG548" t="str">
            <v>H&amp;M HENNES &amp; MAURITZ  GBC AB</v>
          </cell>
          <cell r="AH548" t="str">
            <v>REGULAR</v>
          </cell>
          <cell r="AI548">
            <v>45050</v>
          </cell>
          <cell r="AJ548"/>
          <cell r="AK548"/>
          <cell r="AL548">
            <v>45059</v>
          </cell>
          <cell r="AM548">
            <v>45059</v>
          </cell>
          <cell r="AN548"/>
          <cell r="AO548">
            <v>45061</v>
          </cell>
          <cell r="AP548" t="str">
            <v>ACTIVE</v>
          </cell>
        </row>
        <row r="549">
          <cell r="A549">
            <v>96231240153</v>
          </cell>
          <cell r="B549" t="str">
            <v>AN</v>
          </cell>
          <cell r="C549">
            <v>0</v>
          </cell>
          <cell r="D549">
            <v>0</v>
          </cell>
          <cell r="E549" t="str">
            <v>SHE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 t="str">
            <v>Q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1</v>
          </cell>
          <cell r="AB549" t="str">
            <v>AN HANDLE</v>
          </cell>
          <cell r="AC549">
            <v>0</v>
          </cell>
          <cell r="AD549" t="str">
            <v>YES</v>
          </cell>
          <cell r="AE549" t="str">
            <v>5/5: wait confirm PI with actual sample</v>
          </cell>
          <cell r="AF549" t="str">
            <v>DOAN POTTERS LTD</v>
          </cell>
          <cell r="AG549" t="str">
            <v>DOAN POTTERS LTD</v>
          </cell>
          <cell r="AH549" t="str">
            <v>REGULAR</v>
          </cell>
          <cell r="AI549">
            <v>45050</v>
          </cell>
          <cell r="AJ549">
            <v>45051</v>
          </cell>
          <cell r="AK549"/>
          <cell r="AL549">
            <v>45056</v>
          </cell>
          <cell r="AM549">
            <v>45056</v>
          </cell>
          <cell r="AN549"/>
          <cell r="AO549">
            <v>45057</v>
          </cell>
          <cell r="AP549" t="str">
            <v>AN HANDLE</v>
          </cell>
        </row>
        <row r="550">
          <cell r="A550">
            <v>96231240198</v>
          </cell>
          <cell r="B550" t="str">
            <v>CD</v>
          </cell>
          <cell r="C550">
            <v>0</v>
          </cell>
          <cell r="D550">
            <v>0</v>
          </cell>
          <cell r="E550" t="str">
            <v>FLO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 t="str">
            <v>H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 t="str">
            <v>F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2</v>
          </cell>
          <cell r="AB550" t="str">
            <v>H, F, Q</v>
          </cell>
          <cell r="AC550">
            <v>0</v>
          </cell>
          <cell r="AD550">
            <v>0</v>
          </cell>
          <cell r="AE550">
            <v>0</v>
          </cell>
          <cell r="AF550" t="str">
            <v>GLOBAL ALLIANCE MANUFACTURING LLC</v>
          </cell>
          <cell r="AG550" t="str">
            <v>BASS PRO SHOPS</v>
          </cell>
          <cell r="AH550" t="str">
            <v>REGULAR</v>
          </cell>
          <cell r="AI550">
            <v>45050</v>
          </cell>
          <cell r="AJ550"/>
          <cell r="AK550"/>
          <cell r="AL550">
            <v>45057</v>
          </cell>
          <cell r="AM550">
            <v>45057</v>
          </cell>
          <cell r="AN550">
            <v>45058</v>
          </cell>
          <cell r="AO550">
            <v>45057</v>
          </cell>
          <cell r="AP550" t="str">
            <v>ACTIVE</v>
          </cell>
        </row>
        <row r="551">
          <cell r="A551">
            <v>96231240204</v>
          </cell>
          <cell r="B551" t="str">
            <v>CD</v>
          </cell>
          <cell r="C551">
            <v>0</v>
          </cell>
          <cell r="D551">
            <v>0</v>
          </cell>
          <cell r="E551" t="str">
            <v>FLO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 t="str">
            <v>H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 t="str">
            <v>F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2</v>
          </cell>
          <cell r="AB551" t="str">
            <v>H, F, Q</v>
          </cell>
          <cell r="AC551">
            <v>0</v>
          </cell>
          <cell r="AD551">
            <v>0</v>
          </cell>
          <cell r="AE551">
            <v>0</v>
          </cell>
          <cell r="AF551" t="str">
            <v>GLOBAL ALLIANCE MANUFACTURING LLC</v>
          </cell>
          <cell r="AG551" t="str">
            <v>BASS PRO SHOPS</v>
          </cell>
          <cell r="AH551" t="str">
            <v>REGULAR</v>
          </cell>
          <cell r="AI551">
            <v>45050</v>
          </cell>
          <cell r="AJ551"/>
          <cell r="AK551"/>
          <cell r="AL551">
            <v>45057</v>
          </cell>
          <cell r="AM551">
            <v>45057</v>
          </cell>
          <cell r="AN551">
            <v>45058</v>
          </cell>
          <cell r="AO551">
            <v>45057</v>
          </cell>
          <cell r="AP551" t="str">
            <v>ACTIVE</v>
          </cell>
        </row>
        <row r="552">
          <cell r="A552">
            <v>96231240207</v>
          </cell>
          <cell r="B552" t="str">
            <v>CD</v>
          </cell>
          <cell r="C552">
            <v>0</v>
          </cell>
          <cell r="D552">
            <v>0</v>
          </cell>
          <cell r="E552" t="str">
            <v>FLO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 t="str">
            <v>H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  <cell r="Q552" t="str">
            <v>F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 t="str">
            <v>Q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3</v>
          </cell>
          <cell r="AB552" t="str">
            <v>H, F, Q</v>
          </cell>
          <cell r="AC552">
            <v>0</v>
          </cell>
          <cell r="AD552">
            <v>0</v>
          </cell>
          <cell r="AE552">
            <v>0</v>
          </cell>
          <cell r="AF552" t="str">
            <v>GLOBAL ALLIANCE MANUFACTURING LLC</v>
          </cell>
          <cell r="AG552" t="str">
            <v>BASS PRO SHOPS</v>
          </cell>
          <cell r="AH552" t="str">
            <v>REGULAR</v>
          </cell>
          <cell r="AI552">
            <v>45050</v>
          </cell>
          <cell r="AJ552"/>
          <cell r="AK552"/>
          <cell r="AL552">
            <v>45057</v>
          </cell>
          <cell r="AM552">
            <v>45057</v>
          </cell>
          <cell r="AN552">
            <v>45058</v>
          </cell>
          <cell r="AO552">
            <v>45057</v>
          </cell>
          <cell r="AP552" t="str">
            <v>ACTIVE</v>
          </cell>
        </row>
        <row r="553">
          <cell r="A553">
            <v>96231240209</v>
          </cell>
          <cell r="B553" t="str">
            <v>CD</v>
          </cell>
          <cell r="C553">
            <v>0</v>
          </cell>
          <cell r="D553">
            <v>0</v>
          </cell>
          <cell r="E553" t="str">
            <v>FLO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 t="str">
            <v>H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 t="str">
            <v>F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2</v>
          </cell>
          <cell r="AB553" t="str">
            <v>H, F, Q</v>
          </cell>
          <cell r="AC553">
            <v>0</v>
          </cell>
          <cell r="AD553">
            <v>0</v>
          </cell>
          <cell r="AE553">
            <v>0</v>
          </cell>
          <cell r="AF553" t="str">
            <v>GLOBAL ALLIANCE MANUFACTURING LLC</v>
          </cell>
          <cell r="AG553" t="str">
            <v>BASS PRO SHOPS</v>
          </cell>
          <cell r="AH553" t="str">
            <v>REGULAR</v>
          </cell>
          <cell r="AI553">
            <v>45050</v>
          </cell>
          <cell r="AJ553"/>
          <cell r="AK553"/>
          <cell r="AL553">
            <v>45057</v>
          </cell>
          <cell r="AM553">
            <v>45057</v>
          </cell>
          <cell r="AN553">
            <v>45058</v>
          </cell>
          <cell r="AO553">
            <v>45057</v>
          </cell>
          <cell r="AP553" t="str">
            <v>ACTIVE</v>
          </cell>
        </row>
        <row r="554">
          <cell r="A554">
            <v>96231240214</v>
          </cell>
          <cell r="B554" t="str">
            <v>TY</v>
          </cell>
          <cell r="C554">
            <v>0</v>
          </cell>
          <cell r="D554">
            <v>0</v>
          </cell>
          <cell r="E554" t="str">
            <v>TAN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 t="str">
            <v>H</v>
          </cell>
          <cell r="K554" t="str">
            <v>T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 t="str">
            <v>W</v>
          </cell>
          <cell r="Q554" t="str">
            <v>F</v>
          </cell>
          <cell r="R554" t="str">
            <v>L</v>
          </cell>
          <cell r="S554">
            <v>0</v>
          </cell>
          <cell r="T554">
            <v>0</v>
          </cell>
          <cell r="U554">
            <v>0</v>
          </cell>
          <cell r="V554" t="str">
            <v>Q</v>
          </cell>
          <cell r="W554" t="str">
            <v>V</v>
          </cell>
          <cell r="X554">
            <v>0</v>
          </cell>
          <cell r="Y554">
            <v>0</v>
          </cell>
          <cell r="Z554">
            <v>0</v>
          </cell>
          <cell r="AA554">
            <v>7</v>
          </cell>
          <cell r="AB554" t="str">
            <v>H, T, W, F, L, A, Q, V</v>
          </cell>
          <cell r="AC554">
            <v>0</v>
          </cell>
          <cell r="AD554" t="str">
            <v>YES</v>
          </cell>
          <cell r="AE554">
            <v>0</v>
          </cell>
          <cell r="AF554" t="str">
            <v>INNOFLOW KOREA COMPANY LIMITED</v>
          </cell>
          <cell r="AG554" t="str">
            <v>THE DISNEY STORE, INC (CA)</v>
          </cell>
          <cell r="AH554" t="str">
            <v>REGULAR</v>
          </cell>
          <cell r="AI554">
            <v>45050</v>
          </cell>
          <cell r="AJ554"/>
          <cell r="AK554"/>
          <cell r="AL554">
            <v>45056</v>
          </cell>
          <cell r="AM554">
            <v>45056</v>
          </cell>
          <cell r="AN554">
            <v>45057</v>
          </cell>
          <cell r="AO554">
            <v>45056</v>
          </cell>
          <cell r="AP554" t="str">
            <v>ON HOLD</v>
          </cell>
        </row>
        <row r="555">
          <cell r="A555">
            <v>96231240218</v>
          </cell>
          <cell r="B555" t="str">
            <v>CD</v>
          </cell>
          <cell r="C555">
            <v>0</v>
          </cell>
          <cell r="D555">
            <v>0</v>
          </cell>
          <cell r="E555" t="str">
            <v>ELV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 t="str">
            <v>H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 t="str">
            <v>P</v>
          </cell>
          <cell r="P555" t="str">
            <v>W</v>
          </cell>
          <cell r="Q555" t="str">
            <v>F</v>
          </cell>
          <cell r="R555" t="str">
            <v>L</v>
          </cell>
          <cell r="S555" t="str">
            <v>M</v>
          </cell>
          <cell r="T555">
            <v>0</v>
          </cell>
          <cell r="U555" t="str">
            <v>A</v>
          </cell>
          <cell r="V555" t="str">
            <v>Q</v>
          </cell>
          <cell r="W555" t="str">
            <v>V</v>
          </cell>
          <cell r="X555">
            <v>0</v>
          </cell>
          <cell r="Y555">
            <v>0</v>
          </cell>
          <cell r="Z555">
            <v>0</v>
          </cell>
          <cell r="AA555">
            <v>9</v>
          </cell>
          <cell r="AB555" t="str">
            <v>H, P, W, F, L, M, A, Q, V</v>
          </cell>
          <cell r="AC555">
            <v>0</v>
          </cell>
          <cell r="AD555">
            <v>0</v>
          </cell>
          <cell r="AE555">
            <v>0</v>
          </cell>
          <cell r="AF555" t="str">
            <v>UCP INTERNATIONAL CO LTD</v>
          </cell>
          <cell r="AG555" t="str">
            <v>WILLIAMS-SONOMA INC</v>
          </cell>
          <cell r="AH555" t="str">
            <v>REGULAR</v>
          </cell>
          <cell r="AI555">
            <v>45050</v>
          </cell>
          <cell r="AJ555">
            <v>45050</v>
          </cell>
          <cell r="AK555">
            <v>45054</v>
          </cell>
          <cell r="AL555">
            <v>45059</v>
          </cell>
          <cell r="AM555">
            <v>45059</v>
          </cell>
          <cell r="AN555">
            <v>45059</v>
          </cell>
          <cell r="AO555">
            <v>45061</v>
          </cell>
          <cell r="AP555" t="str">
            <v>OFF HOLD</v>
          </cell>
        </row>
        <row r="556">
          <cell r="A556">
            <v>96231240219</v>
          </cell>
          <cell r="B556" t="str">
            <v>TY-RF SP 96231240214</v>
          </cell>
          <cell r="C556">
            <v>0</v>
          </cell>
          <cell r="D556">
            <v>0</v>
          </cell>
          <cell r="E556" t="str">
            <v>TAN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 t="str">
            <v>H</v>
          </cell>
          <cell r="K556" t="str">
            <v>T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 t="str">
            <v>F</v>
          </cell>
          <cell r="R556" t="str">
            <v>L</v>
          </cell>
          <cell r="S556">
            <v>0</v>
          </cell>
          <cell r="T556">
            <v>0</v>
          </cell>
          <cell r="U556">
            <v>0</v>
          </cell>
          <cell r="V556" t="str">
            <v>Q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5</v>
          </cell>
          <cell r="AB556" t="str">
            <v>H, T, F, L, Q, V</v>
          </cell>
          <cell r="AC556">
            <v>0</v>
          </cell>
          <cell r="AD556" t="str">
            <v>YES</v>
          </cell>
          <cell r="AE556">
            <v>0</v>
          </cell>
          <cell r="AF556" t="str">
            <v>INNOFLOW KOREA COMPANY LIMITED</v>
          </cell>
          <cell r="AG556" t="str">
            <v>THE DISNEY STORE, INC (CA)</v>
          </cell>
          <cell r="AH556" t="str">
            <v>REGULAR</v>
          </cell>
          <cell r="AI556">
            <v>45050</v>
          </cell>
          <cell r="AJ556"/>
          <cell r="AK556"/>
          <cell r="AL556">
            <v>45056</v>
          </cell>
          <cell r="AM556">
            <v>45056</v>
          </cell>
          <cell r="AN556">
            <v>45057</v>
          </cell>
          <cell r="AO556">
            <v>45056</v>
          </cell>
          <cell r="AP556" t="str">
            <v>ON HOLD</v>
          </cell>
        </row>
        <row r="557">
          <cell r="A557">
            <v>96231240220</v>
          </cell>
          <cell r="B557" t="str">
            <v>TY-RF SP 96231240214</v>
          </cell>
          <cell r="C557">
            <v>0</v>
          </cell>
          <cell r="D557">
            <v>0</v>
          </cell>
          <cell r="E557" t="str">
            <v>TAN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 t="str">
            <v>T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 t="str">
            <v>F</v>
          </cell>
          <cell r="R557" t="str">
            <v>L</v>
          </cell>
          <cell r="S557">
            <v>0</v>
          </cell>
          <cell r="T557">
            <v>0</v>
          </cell>
          <cell r="U557">
            <v>0</v>
          </cell>
          <cell r="V557" t="str">
            <v>Q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4</v>
          </cell>
          <cell r="AB557" t="str">
            <v>T, F, L, Q, V</v>
          </cell>
          <cell r="AC557">
            <v>0</v>
          </cell>
          <cell r="AD557" t="str">
            <v>YES</v>
          </cell>
          <cell r="AE557">
            <v>0</v>
          </cell>
          <cell r="AF557" t="str">
            <v>INNOFLOW KOREA COMPANY LIMITED</v>
          </cell>
          <cell r="AG557" t="str">
            <v>THE DISNEY STORE, INC (CA)</v>
          </cell>
          <cell r="AH557" t="str">
            <v>REGULAR</v>
          </cell>
          <cell r="AI557">
            <v>45050</v>
          </cell>
          <cell r="AJ557"/>
          <cell r="AK557"/>
          <cell r="AL557">
            <v>45056</v>
          </cell>
          <cell r="AM557">
            <v>45056</v>
          </cell>
          <cell r="AN557">
            <v>45057</v>
          </cell>
          <cell r="AO557">
            <v>45056</v>
          </cell>
          <cell r="AP557" t="str">
            <v>ON HOLD</v>
          </cell>
        </row>
        <row r="558">
          <cell r="A558">
            <v>96231240221</v>
          </cell>
          <cell r="B558" t="str">
            <v>EE-QTY</v>
          </cell>
          <cell r="C558">
            <v>0</v>
          </cell>
          <cell r="D558">
            <v>0</v>
          </cell>
          <cell r="E558" t="str">
            <v>LYNN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EE REPORT</v>
          </cell>
          <cell r="AC558">
            <v>0</v>
          </cell>
          <cell r="AD558" t="str">
            <v>NO</v>
          </cell>
          <cell r="AE558">
            <v>0</v>
          </cell>
          <cell r="AF558" t="str">
            <v>NATURE'S MARK LLC</v>
          </cell>
          <cell r="AG558" t="str">
            <v>WALMART USA</v>
          </cell>
          <cell r="AH558" t="str">
            <v>REGULAR</v>
          </cell>
          <cell r="AI558">
            <v>45050</v>
          </cell>
          <cell r="AJ558"/>
          <cell r="AK558"/>
          <cell r="AL558">
            <v>45056</v>
          </cell>
          <cell r="AM558">
            <v>45056</v>
          </cell>
          <cell r="AN558"/>
          <cell r="AO558">
            <v>45058</v>
          </cell>
          <cell r="AP558" t="str">
            <v>ACTIVE</v>
          </cell>
        </row>
        <row r="559">
          <cell r="A559">
            <v>96231240222</v>
          </cell>
          <cell r="B559" t="str">
            <v>TY-RF SP 96231240214</v>
          </cell>
          <cell r="C559">
            <v>0</v>
          </cell>
          <cell r="D559">
            <v>0</v>
          </cell>
          <cell r="E559" t="str">
            <v>TAN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 t="str">
            <v>T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 t="str">
            <v>L</v>
          </cell>
          <cell r="S559">
            <v>0</v>
          </cell>
          <cell r="T559">
            <v>0</v>
          </cell>
          <cell r="U559" t="str">
            <v>A</v>
          </cell>
          <cell r="V559" t="str">
            <v>Q</v>
          </cell>
          <cell r="W559" t="str">
            <v>V</v>
          </cell>
          <cell r="X559">
            <v>0</v>
          </cell>
          <cell r="Y559">
            <v>0</v>
          </cell>
          <cell r="Z559">
            <v>0</v>
          </cell>
          <cell r="AA559">
            <v>5</v>
          </cell>
          <cell r="AB559" t="str">
            <v>T, W, F, L, A, Q, V</v>
          </cell>
          <cell r="AC559">
            <v>0</v>
          </cell>
          <cell r="AD559" t="str">
            <v>YES</v>
          </cell>
          <cell r="AE559">
            <v>0</v>
          </cell>
          <cell r="AF559" t="str">
            <v>INNOFLOW KOREA COMPANY LIMITED</v>
          </cell>
          <cell r="AG559" t="str">
            <v>THE DISNEY STORE, INC (CA)</v>
          </cell>
          <cell r="AH559" t="str">
            <v>REGULAR</v>
          </cell>
          <cell r="AI559">
            <v>45050</v>
          </cell>
          <cell r="AJ559"/>
          <cell r="AK559"/>
          <cell r="AL559">
            <v>45056</v>
          </cell>
          <cell r="AM559">
            <v>45056</v>
          </cell>
          <cell r="AN559">
            <v>45057</v>
          </cell>
          <cell r="AO559">
            <v>45056</v>
          </cell>
          <cell r="AP559" t="str">
            <v>ON HOLD</v>
          </cell>
        </row>
        <row r="560">
          <cell r="A560">
            <v>96231240223</v>
          </cell>
          <cell r="B560" t="str">
            <v>TY-RF SP 96231240214</v>
          </cell>
          <cell r="C560">
            <v>0</v>
          </cell>
          <cell r="D560">
            <v>0</v>
          </cell>
          <cell r="E560" t="str">
            <v>TAN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 t="str">
            <v>T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 t="str">
            <v>W</v>
          </cell>
          <cell r="Q560" t="str">
            <v>F</v>
          </cell>
          <cell r="R560" t="str">
            <v>L</v>
          </cell>
          <cell r="S560">
            <v>0</v>
          </cell>
          <cell r="T560">
            <v>0</v>
          </cell>
          <cell r="U560">
            <v>0</v>
          </cell>
          <cell r="V560" t="str">
            <v>Q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5</v>
          </cell>
          <cell r="AB560" t="str">
            <v>T, W, F, L, A, Q, V</v>
          </cell>
          <cell r="AC560">
            <v>0</v>
          </cell>
          <cell r="AD560" t="str">
            <v>YES</v>
          </cell>
          <cell r="AE560">
            <v>0</v>
          </cell>
          <cell r="AF560" t="str">
            <v>INNOFLOW KOREA COMPANY LIMITED</v>
          </cell>
          <cell r="AG560" t="str">
            <v>THE DISNEY STORE, INC (CA)</v>
          </cell>
          <cell r="AH560" t="str">
            <v>REGULAR</v>
          </cell>
          <cell r="AI560">
            <v>45050</v>
          </cell>
          <cell r="AJ560"/>
          <cell r="AK560"/>
          <cell r="AL560">
            <v>45056</v>
          </cell>
          <cell r="AM560">
            <v>45056</v>
          </cell>
          <cell r="AN560">
            <v>45057</v>
          </cell>
          <cell r="AO560">
            <v>45056</v>
          </cell>
          <cell r="AP560" t="str">
            <v>ON HOLD</v>
          </cell>
        </row>
        <row r="561">
          <cell r="A561">
            <v>96231240224</v>
          </cell>
          <cell r="B561" t="str">
            <v>TY-RF SP 96231240214</v>
          </cell>
          <cell r="C561">
            <v>0</v>
          </cell>
          <cell r="D561">
            <v>0</v>
          </cell>
          <cell r="E561" t="str">
            <v>TAN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 t="str">
            <v>T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 t="str">
            <v>W</v>
          </cell>
          <cell r="Q561" t="str">
            <v>F</v>
          </cell>
          <cell r="R561" t="str">
            <v>L</v>
          </cell>
          <cell r="S561">
            <v>0</v>
          </cell>
          <cell r="T561">
            <v>0</v>
          </cell>
          <cell r="U561" t="str">
            <v>A</v>
          </cell>
          <cell r="V561" t="str">
            <v>Q</v>
          </cell>
          <cell r="W561" t="str">
            <v>V</v>
          </cell>
          <cell r="X561">
            <v>0</v>
          </cell>
          <cell r="Y561">
            <v>0</v>
          </cell>
          <cell r="Z561">
            <v>0</v>
          </cell>
          <cell r="AA561">
            <v>7</v>
          </cell>
          <cell r="AB561" t="str">
            <v>T, W, F, L, A, Q, V</v>
          </cell>
          <cell r="AC561">
            <v>0</v>
          </cell>
          <cell r="AD561" t="str">
            <v>YES</v>
          </cell>
          <cell r="AE561">
            <v>0</v>
          </cell>
          <cell r="AF561" t="str">
            <v>INNOFLOW KOREA COMPANY LIMITED</v>
          </cell>
          <cell r="AG561" t="str">
            <v>THE DISNEY STORE, INC (CA)</v>
          </cell>
          <cell r="AH561" t="str">
            <v>REGULAR</v>
          </cell>
          <cell r="AI561">
            <v>45050</v>
          </cell>
          <cell r="AJ561"/>
          <cell r="AK561"/>
          <cell r="AL561">
            <v>45056</v>
          </cell>
          <cell r="AM561">
            <v>45056</v>
          </cell>
          <cell r="AN561">
            <v>45057</v>
          </cell>
          <cell r="AO561">
            <v>45056</v>
          </cell>
          <cell r="AP561" t="str">
            <v>ON HOLD</v>
          </cell>
        </row>
        <row r="562">
          <cell r="A562">
            <v>96231240225</v>
          </cell>
          <cell r="B562" t="str">
            <v>EE-QTY</v>
          </cell>
          <cell r="C562">
            <v>0</v>
          </cell>
          <cell r="D562">
            <v>0</v>
          </cell>
          <cell r="E562" t="str">
            <v>LYNN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EE REPORT</v>
          </cell>
          <cell r="AC562">
            <v>0</v>
          </cell>
          <cell r="AD562" t="str">
            <v>NO</v>
          </cell>
          <cell r="AE562">
            <v>0</v>
          </cell>
          <cell r="AF562" t="str">
            <v>NATURE'S MARK LLC</v>
          </cell>
          <cell r="AG562" t="str">
            <v>WALMART USA</v>
          </cell>
          <cell r="AH562" t="str">
            <v>REGULAR</v>
          </cell>
          <cell r="AI562">
            <v>45050</v>
          </cell>
          <cell r="AJ562"/>
          <cell r="AK562"/>
          <cell r="AL562">
            <v>45056</v>
          </cell>
          <cell r="AM562">
            <v>45056</v>
          </cell>
          <cell r="AN562"/>
          <cell r="AO562">
            <v>45058</v>
          </cell>
          <cell r="AP562" t="str">
            <v>ACTIVE</v>
          </cell>
        </row>
        <row r="563">
          <cell r="A563">
            <v>96231240227</v>
          </cell>
          <cell r="B563" t="str">
            <v>TY-RF SP 96231240214</v>
          </cell>
          <cell r="C563">
            <v>0</v>
          </cell>
          <cell r="D563">
            <v>0</v>
          </cell>
          <cell r="E563" t="str">
            <v>TAN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 t="str">
            <v>T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 t="str">
            <v>W</v>
          </cell>
          <cell r="Q563" t="str">
            <v>F</v>
          </cell>
          <cell r="R563" t="str">
            <v>L</v>
          </cell>
          <cell r="S563">
            <v>0</v>
          </cell>
          <cell r="T563">
            <v>0</v>
          </cell>
          <cell r="U563">
            <v>0</v>
          </cell>
          <cell r="V563" t="str">
            <v>Q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5</v>
          </cell>
          <cell r="AB563" t="str">
            <v>T, W, F, L, A, Q, V</v>
          </cell>
          <cell r="AC563">
            <v>0</v>
          </cell>
          <cell r="AD563" t="str">
            <v>YES</v>
          </cell>
          <cell r="AE563">
            <v>0</v>
          </cell>
          <cell r="AF563" t="str">
            <v>INNOFLOW KOREA COMPANY LIMITED</v>
          </cell>
          <cell r="AG563" t="str">
            <v>THE DISNEY STORE, INC (CA)</v>
          </cell>
          <cell r="AH563" t="str">
            <v>REGULAR</v>
          </cell>
          <cell r="AI563">
            <v>45050</v>
          </cell>
          <cell r="AJ563"/>
          <cell r="AK563"/>
          <cell r="AL563">
            <v>45056</v>
          </cell>
          <cell r="AM563">
            <v>45056</v>
          </cell>
          <cell r="AN563">
            <v>45057</v>
          </cell>
          <cell r="AO563">
            <v>45056</v>
          </cell>
          <cell r="AP563" t="str">
            <v>ON HOLD</v>
          </cell>
        </row>
        <row r="564">
          <cell r="A564">
            <v>96231240230</v>
          </cell>
          <cell r="B564" t="str">
            <v>TY-RF SP 96231240214</v>
          </cell>
          <cell r="C564">
            <v>0</v>
          </cell>
          <cell r="D564">
            <v>0</v>
          </cell>
          <cell r="E564" t="str">
            <v>TAN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 t="str">
            <v>T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 t="str">
            <v>W</v>
          </cell>
          <cell r="Q564" t="str">
            <v>F</v>
          </cell>
          <cell r="R564" t="str">
            <v>L</v>
          </cell>
          <cell r="S564">
            <v>0</v>
          </cell>
          <cell r="T564">
            <v>0</v>
          </cell>
          <cell r="U564">
            <v>0</v>
          </cell>
          <cell r="V564" t="str">
            <v>Q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5</v>
          </cell>
          <cell r="AB564" t="str">
            <v>T, W, F, L, A, Q, V</v>
          </cell>
          <cell r="AC564">
            <v>0</v>
          </cell>
          <cell r="AD564" t="str">
            <v>YES</v>
          </cell>
          <cell r="AE564">
            <v>0</v>
          </cell>
          <cell r="AF564" t="str">
            <v>INNOFLOW KOREA COMPANY LIMITED</v>
          </cell>
          <cell r="AG564" t="str">
            <v>THE DISNEY STORE, INC (CA)</v>
          </cell>
          <cell r="AH564" t="str">
            <v>REGULAR</v>
          </cell>
          <cell r="AI564">
            <v>45050</v>
          </cell>
          <cell r="AJ564"/>
          <cell r="AK564"/>
          <cell r="AL564">
            <v>45056</v>
          </cell>
          <cell r="AM564">
            <v>45056</v>
          </cell>
          <cell r="AN564">
            <v>45057</v>
          </cell>
          <cell r="AO564">
            <v>45056</v>
          </cell>
          <cell r="AP564" t="str">
            <v>ON HOLD</v>
          </cell>
        </row>
        <row r="565">
          <cell r="A565">
            <v>96231240231</v>
          </cell>
          <cell r="B565" t="str">
            <v>TY-RF SP 96231240214</v>
          </cell>
          <cell r="C565">
            <v>0</v>
          </cell>
          <cell r="D565">
            <v>0</v>
          </cell>
          <cell r="E565" t="str">
            <v>TAN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 t="str">
            <v>T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 t="str">
            <v>F</v>
          </cell>
          <cell r="R565" t="str">
            <v>L</v>
          </cell>
          <cell r="S565">
            <v>0</v>
          </cell>
          <cell r="T565">
            <v>0</v>
          </cell>
          <cell r="U565">
            <v>0</v>
          </cell>
          <cell r="V565" t="str">
            <v>Q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4</v>
          </cell>
          <cell r="AB565" t="str">
            <v>T, F, L, Q, V</v>
          </cell>
          <cell r="AC565">
            <v>0</v>
          </cell>
          <cell r="AD565" t="str">
            <v>YES</v>
          </cell>
          <cell r="AE565">
            <v>0</v>
          </cell>
          <cell r="AF565" t="str">
            <v>INNOFLOW KOREA COMPANY LIMITED</v>
          </cell>
          <cell r="AG565" t="str">
            <v>THE DISNEY STORE, INC (CA)</v>
          </cell>
          <cell r="AH565" t="str">
            <v>REGULAR</v>
          </cell>
          <cell r="AI565">
            <v>45050</v>
          </cell>
          <cell r="AJ565"/>
          <cell r="AK565"/>
          <cell r="AL565">
            <v>45056</v>
          </cell>
          <cell r="AM565">
            <v>45056</v>
          </cell>
          <cell r="AN565">
            <v>45057</v>
          </cell>
          <cell r="AO565">
            <v>45056</v>
          </cell>
          <cell r="AP565" t="str">
            <v>ON HOLD</v>
          </cell>
        </row>
        <row r="566">
          <cell r="A566">
            <v>96231240232</v>
          </cell>
          <cell r="B566" t="str">
            <v>TY-RF SP 96231240214</v>
          </cell>
          <cell r="C566">
            <v>0</v>
          </cell>
          <cell r="D566">
            <v>0</v>
          </cell>
          <cell r="E566" t="str">
            <v>TAN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 t="str">
            <v>T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 t="str">
            <v>W</v>
          </cell>
          <cell r="Q566" t="str">
            <v>F</v>
          </cell>
          <cell r="R566" t="str">
            <v>L</v>
          </cell>
          <cell r="S566">
            <v>0</v>
          </cell>
          <cell r="T566">
            <v>0</v>
          </cell>
          <cell r="U566">
            <v>0</v>
          </cell>
          <cell r="V566" t="str">
            <v>Q</v>
          </cell>
          <cell r="W566" t="str">
            <v>V</v>
          </cell>
          <cell r="X566">
            <v>0</v>
          </cell>
          <cell r="Y566" t="str">
            <v>B</v>
          </cell>
          <cell r="Z566">
            <v>0</v>
          </cell>
          <cell r="AA566">
            <v>7</v>
          </cell>
          <cell r="AB566" t="str">
            <v>T, W, F, L, A, Q, V, B</v>
          </cell>
          <cell r="AC566">
            <v>0</v>
          </cell>
          <cell r="AD566" t="str">
            <v>YES</v>
          </cell>
          <cell r="AE566">
            <v>0</v>
          </cell>
          <cell r="AF566" t="str">
            <v>INNOFLOW KOREA COMPANY LIMITED</v>
          </cell>
          <cell r="AG566" t="str">
            <v>THE DISNEY STORE, INC (CA)</v>
          </cell>
          <cell r="AH566" t="str">
            <v>REGULAR</v>
          </cell>
          <cell r="AI566">
            <v>45050</v>
          </cell>
          <cell r="AJ566"/>
          <cell r="AK566"/>
          <cell r="AL566">
            <v>45056</v>
          </cell>
          <cell r="AM566">
            <v>45056</v>
          </cell>
          <cell r="AN566">
            <v>45061</v>
          </cell>
          <cell r="AO566">
            <v>45056</v>
          </cell>
          <cell r="AP566" t="str">
            <v>ON HOLD</v>
          </cell>
        </row>
        <row r="567">
          <cell r="A567">
            <v>96231240233</v>
          </cell>
          <cell r="B567" t="str">
            <v>TY-RF SP 96231240214</v>
          </cell>
          <cell r="C567">
            <v>0</v>
          </cell>
          <cell r="D567">
            <v>0</v>
          </cell>
          <cell r="E567" t="str">
            <v>TAN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 t="str">
            <v>T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 t="str">
            <v>F</v>
          </cell>
          <cell r="R567" t="str">
            <v>L</v>
          </cell>
          <cell r="S567">
            <v>0</v>
          </cell>
          <cell r="T567">
            <v>0</v>
          </cell>
          <cell r="U567">
            <v>0</v>
          </cell>
          <cell r="V567" t="str">
            <v>Q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4</v>
          </cell>
          <cell r="AB567" t="str">
            <v>T, F, L, A, Q, V</v>
          </cell>
          <cell r="AC567">
            <v>0</v>
          </cell>
          <cell r="AD567" t="str">
            <v>YES</v>
          </cell>
          <cell r="AE567">
            <v>0</v>
          </cell>
          <cell r="AF567" t="str">
            <v>INNOFLOW KOREA COMPANY LIMITED</v>
          </cell>
          <cell r="AG567" t="str">
            <v>THE DISNEY STORE, INC (CA)</v>
          </cell>
          <cell r="AH567" t="str">
            <v>REGULAR</v>
          </cell>
          <cell r="AI567">
            <v>45050</v>
          </cell>
          <cell r="AJ567"/>
          <cell r="AK567"/>
          <cell r="AL567">
            <v>45056</v>
          </cell>
          <cell r="AM567">
            <v>45056</v>
          </cell>
          <cell r="AN567">
            <v>45057</v>
          </cell>
          <cell r="AO567">
            <v>45056</v>
          </cell>
          <cell r="AP567" t="str">
            <v>ON HOLD</v>
          </cell>
        </row>
        <row r="568">
          <cell r="A568">
            <v>96231240236</v>
          </cell>
          <cell r="B568" t="str">
            <v>US1</v>
          </cell>
          <cell r="C568">
            <v>0</v>
          </cell>
          <cell r="D568">
            <v>0</v>
          </cell>
          <cell r="E568" t="str">
            <v>MIN</v>
          </cell>
          <cell r="F568">
            <v>0</v>
          </cell>
          <cell r="G568" t="str">
            <v>R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1</v>
          </cell>
          <cell r="AB568" t="str">
            <v>R</v>
          </cell>
          <cell r="AC568">
            <v>0</v>
          </cell>
          <cell r="AD568">
            <v>0</v>
          </cell>
          <cell r="AE568">
            <v>0</v>
          </cell>
          <cell r="AF568" t="str">
            <v>JUMBO HOME DECO CORPORATION TAIWAN BRANCH</v>
          </cell>
          <cell r="AG568" t="str">
            <v>THE HOME DEPOT INC</v>
          </cell>
          <cell r="AH568" t="str">
            <v>REGULAR</v>
          </cell>
          <cell r="AI568">
            <v>45050</v>
          </cell>
          <cell r="AJ568"/>
          <cell r="AK568"/>
          <cell r="AL568">
            <v>45056</v>
          </cell>
          <cell r="AM568">
            <v>45056</v>
          </cell>
          <cell r="AN568"/>
          <cell r="AO568">
            <v>45057</v>
          </cell>
          <cell r="AP568" t="str">
            <v>ACTIVE</v>
          </cell>
        </row>
        <row r="569">
          <cell r="A569">
            <v>96231240241</v>
          </cell>
          <cell r="B569" t="str">
            <v>TY-RF SP 96231240214</v>
          </cell>
          <cell r="C569">
            <v>0</v>
          </cell>
          <cell r="D569">
            <v>0</v>
          </cell>
          <cell r="E569" t="str">
            <v>TAN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 t="str">
            <v>T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 t="str">
            <v>B</v>
          </cell>
          <cell r="Z569">
            <v>0</v>
          </cell>
          <cell r="AA569">
            <v>2</v>
          </cell>
          <cell r="AB569" t="str">
            <v>T, B</v>
          </cell>
          <cell r="AC569">
            <v>0</v>
          </cell>
          <cell r="AD569" t="str">
            <v>YES</v>
          </cell>
          <cell r="AE569">
            <v>0</v>
          </cell>
          <cell r="AF569" t="str">
            <v>INNOFLOW KOREA COMPANY LIMITED</v>
          </cell>
          <cell r="AG569" t="str">
            <v>THE DISNEY STORE, INC (CA)</v>
          </cell>
          <cell r="AH569" t="str">
            <v>REGULAR</v>
          </cell>
          <cell r="AI569">
            <v>45050</v>
          </cell>
          <cell r="AJ569">
            <v>45054</v>
          </cell>
          <cell r="AK569">
            <v>45051</v>
          </cell>
          <cell r="AL569">
            <v>45080</v>
          </cell>
          <cell r="AM569">
            <v>45080</v>
          </cell>
          <cell r="AN569"/>
          <cell r="AO569">
            <v>45082</v>
          </cell>
          <cell r="AP569" t="str">
            <v>ON HOLD</v>
          </cell>
        </row>
        <row r="570">
          <cell r="A570">
            <v>96231240243</v>
          </cell>
          <cell r="B570" t="str">
            <v>TY-RF SP 96231240214</v>
          </cell>
          <cell r="C570">
            <v>0</v>
          </cell>
          <cell r="D570">
            <v>0</v>
          </cell>
          <cell r="E570" t="str">
            <v>TAN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 t="str">
            <v>T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 t="str">
            <v>F</v>
          </cell>
          <cell r="R570" t="str">
            <v>L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 t="str">
            <v>V</v>
          </cell>
          <cell r="X570">
            <v>0</v>
          </cell>
          <cell r="Y570">
            <v>0</v>
          </cell>
          <cell r="Z570">
            <v>0</v>
          </cell>
          <cell r="AA570">
            <v>4</v>
          </cell>
          <cell r="AB570" t="str">
            <v>T, F, L, V</v>
          </cell>
          <cell r="AC570">
            <v>0</v>
          </cell>
          <cell r="AD570" t="str">
            <v>YES</v>
          </cell>
          <cell r="AE570">
            <v>0</v>
          </cell>
          <cell r="AF570" t="str">
            <v>INNOFLOW KOREA COMPANY LIMITED</v>
          </cell>
          <cell r="AG570" t="str">
            <v>THE DISNEY STORE, INC (CA)</v>
          </cell>
          <cell r="AH570" t="str">
            <v>REGULAR</v>
          </cell>
          <cell r="AI570">
            <v>45050</v>
          </cell>
          <cell r="AJ570">
            <v>45054</v>
          </cell>
          <cell r="AK570"/>
          <cell r="AL570">
            <v>45080</v>
          </cell>
          <cell r="AM570">
            <v>45080</v>
          </cell>
          <cell r="AN570"/>
          <cell r="AO570">
            <v>45082</v>
          </cell>
          <cell r="AP570" t="str">
            <v>ON HOLD</v>
          </cell>
        </row>
        <row r="571">
          <cell r="A571">
            <v>96231240261</v>
          </cell>
          <cell r="B571" t="str">
            <v>CD</v>
          </cell>
          <cell r="C571">
            <v>0</v>
          </cell>
          <cell r="D571">
            <v>0</v>
          </cell>
          <cell r="E571" t="str">
            <v>VAN</v>
          </cell>
          <cell r="F571" t="str">
            <v>TECH KEEP
FIRST MAKING 0506-AN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 t="str">
            <v>Q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1</v>
          </cell>
          <cell r="AB571" t="str">
            <v>H, Q</v>
          </cell>
          <cell r="AC571">
            <v>0</v>
          </cell>
          <cell r="AD571">
            <v>0</v>
          </cell>
          <cell r="AE571">
            <v>0</v>
          </cell>
          <cell r="AF571" t="str">
            <v>FAIRE COLLECTION</v>
          </cell>
          <cell r="AG571" t="str">
            <v>CHICO'S FAS INC</v>
          </cell>
          <cell r="AH571" t="str">
            <v>REGULAR</v>
          </cell>
          <cell r="AI571">
            <v>45050</v>
          </cell>
          <cell r="AJ571">
            <v>45050</v>
          </cell>
          <cell r="AK571">
            <v>45050</v>
          </cell>
          <cell r="AL571">
            <v>45058</v>
          </cell>
          <cell r="AM571">
            <v>45058</v>
          </cell>
          <cell r="AN571"/>
          <cell r="AO571">
            <v>45059</v>
          </cell>
          <cell r="AP571" t="str">
            <v>OFF HOLD</v>
          </cell>
        </row>
        <row r="572">
          <cell r="A572">
            <v>96231240262</v>
          </cell>
          <cell r="B572" t="str">
            <v>TY</v>
          </cell>
          <cell r="C572">
            <v>0</v>
          </cell>
          <cell r="D572">
            <v>0</v>
          </cell>
          <cell r="E572" t="str">
            <v>TAN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 t="str">
            <v>H</v>
          </cell>
          <cell r="K572" t="str">
            <v>T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 t="str">
            <v>W</v>
          </cell>
          <cell r="Q572">
            <v>0</v>
          </cell>
          <cell r="R572" t="str">
            <v>L</v>
          </cell>
          <cell r="S572">
            <v>0</v>
          </cell>
          <cell r="T572">
            <v>0</v>
          </cell>
          <cell r="U572" t="str">
            <v>A</v>
          </cell>
          <cell r="V572" t="str">
            <v>Q</v>
          </cell>
          <cell r="W572" t="str">
            <v>V</v>
          </cell>
          <cell r="X572">
            <v>0</v>
          </cell>
          <cell r="Y572">
            <v>0</v>
          </cell>
          <cell r="Z572">
            <v>0</v>
          </cell>
          <cell r="AA572">
            <v>7</v>
          </cell>
          <cell r="AB572" t="str">
            <v>H, T, W, F, L, A, Q, V</v>
          </cell>
          <cell r="AC572">
            <v>0</v>
          </cell>
          <cell r="AD572" t="str">
            <v>YES</v>
          </cell>
          <cell r="AE572">
            <v>0</v>
          </cell>
          <cell r="AF572" t="str">
            <v>INNOFLOW KOREA COMPANY LIMITED</v>
          </cell>
          <cell r="AG572" t="str">
            <v>THE DISNEY STORE, INC (CA)</v>
          </cell>
          <cell r="AH572" t="str">
            <v>REGULAR</v>
          </cell>
          <cell r="AI572">
            <v>45050</v>
          </cell>
          <cell r="AJ572"/>
          <cell r="AK572"/>
          <cell r="AL572">
            <v>45055</v>
          </cell>
          <cell r="AM572">
            <v>45055</v>
          </cell>
          <cell r="AN572">
            <v>45057</v>
          </cell>
          <cell r="AO572">
            <v>45056</v>
          </cell>
          <cell r="AP572" t="str">
            <v>MUST</v>
          </cell>
        </row>
        <row r="573">
          <cell r="A573">
            <v>96231240263</v>
          </cell>
          <cell r="B573" t="str">
            <v>TY-RF SP 96231240262</v>
          </cell>
          <cell r="C573">
            <v>0</v>
          </cell>
          <cell r="D573">
            <v>0</v>
          </cell>
          <cell r="E573" t="str">
            <v>TAN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 t="str">
            <v>H</v>
          </cell>
          <cell r="K573" t="str">
            <v>T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 t="str">
            <v>F</v>
          </cell>
          <cell r="R573" t="str">
            <v>L</v>
          </cell>
          <cell r="S573">
            <v>0</v>
          </cell>
          <cell r="T573">
            <v>0</v>
          </cell>
          <cell r="U573">
            <v>0</v>
          </cell>
          <cell r="V573" t="str">
            <v>Q</v>
          </cell>
          <cell r="W573" t="str">
            <v>V</v>
          </cell>
          <cell r="X573">
            <v>0</v>
          </cell>
          <cell r="Y573">
            <v>0</v>
          </cell>
          <cell r="Z573">
            <v>0</v>
          </cell>
          <cell r="AA573">
            <v>6</v>
          </cell>
          <cell r="AB573" t="str">
            <v>H, T, F, L, Q, V</v>
          </cell>
          <cell r="AC573">
            <v>0</v>
          </cell>
          <cell r="AD573" t="str">
            <v>YES</v>
          </cell>
          <cell r="AE573">
            <v>0</v>
          </cell>
          <cell r="AF573" t="str">
            <v>INNOFLOW KOREA COMPANY LIMITED</v>
          </cell>
          <cell r="AG573" t="str">
            <v>THE DISNEY STORE, INC (CA)</v>
          </cell>
          <cell r="AH573" t="str">
            <v>REGULAR</v>
          </cell>
          <cell r="AI573">
            <v>45050</v>
          </cell>
          <cell r="AJ573"/>
          <cell r="AK573"/>
          <cell r="AL573">
            <v>45055</v>
          </cell>
          <cell r="AM573">
            <v>45055</v>
          </cell>
          <cell r="AN573">
            <v>45057</v>
          </cell>
          <cell r="AO573">
            <v>45056</v>
          </cell>
          <cell r="AP573" t="str">
            <v>MUST</v>
          </cell>
        </row>
        <row r="574">
          <cell r="A574">
            <v>96231240265</v>
          </cell>
          <cell r="B574" t="str">
            <v>TY</v>
          </cell>
          <cell r="C574">
            <v>0</v>
          </cell>
          <cell r="D574">
            <v>0</v>
          </cell>
          <cell r="E574" t="str">
            <v>TAN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 t="str">
            <v>H</v>
          </cell>
          <cell r="K574" t="str">
            <v>T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 t="str">
            <v>W</v>
          </cell>
          <cell r="Q574">
            <v>0</v>
          </cell>
          <cell r="R574" t="str">
            <v>L</v>
          </cell>
          <cell r="S574">
            <v>0</v>
          </cell>
          <cell r="T574">
            <v>0</v>
          </cell>
          <cell r="U574" t="str">
            <v>A</v>
          </cell>
          <cell r="V574" t="str">
            <v>Q</v>
          </cell>
          <cell r="W574" t="str">
            <v>V</v>
          </cell>
          <cell r="X574">
            <v>0</v>
          </cell>
          <cell r="Y574">
            <v>0</v>
          </cell>
          <cell r="Z574">
            <v>0</v>
          </cell>
          <cell r="AA574">
            <v>7</v>
          </cell>
          <cell r="AB574" t="str">
            <v>H, T, W, F, L, A, Q, V</v>
          </cell>
          <cell r="AC574">
            <v>0</v>
          </cell>
          <cell r="AD574" t="str">
            <v>YES</v>
          </cell>
          <cell r="AE574">
            <v>0</v>
          </cell>
          <cell r="AF574" t="str">
            <v>INNOFLOW KOREA COMPANY LIMITED</v>
          </cell>
          <cell r="AG574" t="str">
            <v>THE DISNEY STORE, INC (CA)</v>
          </cell>
          <cell r="AH574" t="str">
            <v>REGULAR</v>
          </cell>
          <cell r="AI574">
            <v>45050</v>
          </cell>
          <cell r="AJ574"/>
          <cell r="AK574"/>
          <cell r="AL574">
            <v>45055</v>
          </cell>
          <cell r="AM574">
            <v>45055</v>
          </cell>
          <cell r="AN574">
            <v>45057</v>
          </cell>
          <cell r="AO574">
            <v>45056</v>
          </cell>
          <cell r="AP574" t="str">
            <v>MUST</v>
          </cell>
        </row>
        <row r="575">
          <cell r="A575">
            <v>96231240266</v>
          </cell>
          <cell r="B575" t="str">
            <v>TY-RF SP 96231240265</v>
          </cell>
          <cell r="C575">
            <v>0</v>
          </cell>
          <cell r="D575">
            <v>0</v>
          </cell>
          <cell r="E575" t="str">
            <v>TAN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 t="str">
            <v>H</v>
          </cell>
          <cell r="K575" t="str">
            <v>T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 t="str">
            <v>F</v>
          </cell>
          <cell r="R575" t="str">
            <v>L</v>
          </cell>
          <cell r="S575">
            <v>0</v>
          </cell>
          <cell r="T575">
            <v>0</v>
          </cell>
          <cell r="U575">
            <v>0</v>
          </cell>
          <cell r="V575" t="str">
            <v>Q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5</v>
          </cell>
          <cell r="AB575" t="str">
            <v>H, T, F, L, Q, V</v>
          </cell>
          <cell r="AC575">
            <v>0</v>
          </cell>
          <cell r="AD575" t="str">
            <v>YES</v>
          </cell>
          <cell r="AE575">
            <v>0</v>
          </cell>
          <cell r="AF575" t="str">
            <v>INNOFLOW KOREA COMPANY LIMITED</v>
          </cell>
          <cell r="AG575" t="str">
            <v>THE DISNEY STORE, INC (CA)</v>
          </cell>
          <cell r="AH575" t="str">
            <v>REGULAR</v>
          </cell>
          <cell r="AI575">
            <v>45050</v>
          </cell>
          <cell r="AJ575"/>
          <cell r="AK575"/>
          <cell r="AL575">
            <v>45055</v>
          </cell>
          <cell r="AM575">
            <v>45055</v>
          </cell>
          <cell r="AN575">
            <v>45057</v>
          </cell>
          <cell r="AO575">
            <v>45056</v>
          </cell>
          <cell r="AP575" t="str">
            <v>MUST</v>
          </cell>
        </row>
        <row r="576">
          <cell r="A576">
            <v>96231240270</v>
          </cell>
          <cell r="B576" t="str">
            <v>CD-NOB</v>
          </cell>
          <cell r="C576">
            <v>0</v>
          </cell>
          <cell r="D576">
            <v>0</v>
          </cell>
          <cell r="E576" t="str">
            <v>MIN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 t="str">
            <v>H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 t="str">
            <v>Q</v>
          </cell>
          <cell r="W576" t="str">
            <v>V</v>
          </cell>
          <cell r="X576">
            <v>0</v>
          </cell>
          <cell r="Y576">
            <v>0</v>
          </cell>
          <cell r="Z576">
            <v>0</v>
          </cell>
          <cell r="AA576">
            <v>3</v>
          </cell>
          <cell r="AB576" t="str">
            <v>H, Q, V</v>
          </cell>
          <cell r="AC576">
            <v>0</v>
          </cell>
          <cell r="AD576" t="str">
            <v>NO</v>
          </cell>
          <cell r="AE576" t="str">
            <v>0509: pend PI for prepayment new vendor</v>
          </cell>
          <cell r="AF576" t="str">
            <v>NATURE'S MARK LLC</v>
          </cell>
          <cell r="AG576" t="str">
            <v>WALMART USA</v>
          </cell>
          <cell r="AH576" t="str">
            <v>REGULAR</v>
          </cell>
          <cell r="AI576">
            <v>45050</v>
          </cell>
          <cell r="AJ576">
            <v>45052</v>
          </cell>
          <cell r="AK576"/>
          <cell r="AL576">
            <v>45056</v>
          </cell>
          <cell r="AM576">
            <v>45056</v>
          </cell>
          <cell r="AN576">
            <v>45057</v>
          </cell>
          <cell r="AO576">
            <v>45056</v>
          </cell>
          <cell r="AP576" t="str">
            <v>ON HOLD</v>
          </cell>
        </row>
        <row r="577">
          <cell r="A577">
            <v>96231240274</v>
          </cell>
          <cell r="B577" t="str">
            <v>US1</v>
          </cell>
          <cell r="C577">
            <v>0</v>
          </cell>
          <cell r="D577">
            <v>0</v>
          </cell>
          <cell r="E577" t="str">
            <v>MIN/ELV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 t="str">
            <v>H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 t="str">
            <v>Q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2</v>
          </cell>
          <cell r="AB577" t="str">
            <v>H, Q</v>
          </cell>
          <cell r="AC577">
            <v>0</v>
          </cell>
          <cell r="AD577" t="str">
            <v>YES</v>
          </cell>
          <cell r="AE577">
            <v>0</v>
          </cell>
          <cell r="AF577" t="str">
            <v>WHALEN LIMITED</v>
          </cell>
          <cell r="AG577" t="str">
            <v>WALMART USA</v>
          </cell>
          <cell r="AH577" t="str">
            <v>REGULAR</v>
          </cell>
          <cell r="AI577">
            <v>45050</v>
          </cell>
          <cell r="AJ577"/>
          <cell r="AK577"/>
          <cell r="AL577">
            <v>45056</v>
          </cell>
          <cell r="AM577">
            <v>45056</v>
          </cell>
          <cell r="AN577">
            <v>45057</v>
          </cell>
          <cell r="AO577">
            <v>45056</v>
          </cell>
          <cell r="AP577" t="str">
            <v>MUST</v>
          </cell>
        </row>
        <row r="578">
          <cell r="A578">
            <v>96231240293</v>
          </cell>
          <cell r="B578" t="str">
            <v>EE-QTY</v>
          </cell>
          <cell r="C578">
            <v>0</v>
          </cell>
          <cell r="D578">
            <v>0</v>
          </cell>
          <cell r="E578" t="str">
            <v>VAN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EE REPORT</v>
          </cell>
          <cell r="AC578">
            <v>0</v>
          </cell>
          <cell r="AD578">
            <v>0</v>
          </cell>
          <cell r="AE578">
            <v>0</v>
          </cell>
          <cell r="AF578" t="str">
            <v>BUREAU VERITAS CERTIFICATION (MALAYSIA) SDN BHD</v>
          </cell>
          <cell r="AG578" t="str">
            <v>BUREAU VERITAS CERTIFICATION (MALAYSIA) SDN BHD</v>
          </cell>
          <cell r="AH578" t="str">
            <v>REGULAR</v>
          </cell>
          <cell r="AI578">
            <v>45050</v>
          </cell>
          <cell r="AJ578"/>
          <cell r="AK578"/>
          <cell r="AL578">
            <v>45050</v>
          </cell>
          <cell r="AM578">
            <v>45050</v>
          </cell>
          <cell r="AN578"/>
          <cell r="AO578">
            <v>45050</v>
          </cell>
          <cell r="AP578" t="str">
            <v>NAY</v>
          </cell>
        </row>
        <row r="579">
          <cell r="A579">
            <v>96231240294</v>
          </cell>
          <cell r="B579" t="str">
            <v>AN</v>
          </cell>
          <cell r="C579">
            <v>0</v>
          </cell>
          <cell r="D579">
            <v>0</v>
          </cell>
          <cell r="E579" t="str">
            <v>VAN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 HANDLE</v>
          </cell>
          <cell r="AC579">
            <v>0</v>
          </cell>
          <cell r="AD579">
            <v>0</v>
          </cell>
          <cell r="AE579">
            <v>0</v>
          </cell>
          <cell r="AF579" t="str">
            <v>PRETTY VINA CO LTD</v>
          </cell>
          <cell r="AG579" t="str">
            <v>PRETTY VINA CO LTD</v>
          </cell>
          <cell r="AH579" t="str">
            <v>REGULAR</v>
          </cell>
          <cell r="AI579">
            <v>45050</v>
          </cell>
          <cell r="AJ579"/>
          <cell r="AK579"/>
          <cell r="AL579">
            <v>45055</v>
          </cell>
          <cell r="AM579">
            <v>45055</v>
          </cell>
          <cell r="AN579"/>
          <cell r="AO579">
            <v>45056</v>
          </cell>
          <cell r="AP579" t="str">
            <v>AN HANDLE</v>
          </cell>
        </row>
        <row r="580">
          <cell r="A580">
            <v>96231240295</v>
          </cell>
          <cell r="B580" t="str">
            <v>USD</v>
          </cell>
          <cell r="C580">
            <v>0</v>
          </cell>
          <cell r="D580">
            <v>0</v>
          </cell>
          <cell r="E580" t="str">
            <v>TAN</v>
          </cell>
          <cell r="F580">
            <v>0</v>
          </cell>
          <cell r="G580">
            <v>0</v>
          </cell>
          <cell r="H580">
            <v>0</v>
          </cell>
          <cell r="I580" t="str">
            <v>Z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1</v>
          </cell>
          <cell r="AB580" t="str">
            <v>Z</v>
          </cell>
          <cell r="AC580">
            <v>0</v>
          </cell>
          <cell r="AD580" t="str">
            <v>YES</v>
          </cell>
          <cell r="AE580">
            <v>0</v>
          </cell>
          <cell r="AF580" t="str">
            <v>DELTA ENTERPRISE CORP. D/B/A DELTA CHILDREN'S PRODUCTS</v>
          </cell>
          <cell r="AG580" t="str">
            <v>GLOBAL SELLERS PROGRAM</v>
          </cell>
          <cell r="AH580" t="str">
            <v>REGULAR</v>
          </cell>
          <cell r="AI580">
            <v>45050</v>
          </cell>
          <cell r="AJ580"/>
          <cell r="AK580"/>
          <cell r="AL580">
            <v>45056</v>
          </cell>
          <cell r="AM580">
            <v>45056</v>
          </cell>
          <cell r="AN580"/>
          <cell r="AO580">
            <v>45057</v>
          </cell>
          <cell r="AP580" t="str">
            <v>ACTIVE</v>
          </cell>
        </row>
        <row r="581">
          <cell r="A581">
            <v>96231240300</v>
          </cell>
          <cell r="B581" t="str">
            <v>USD-RF SP 96231240295</v>
          </cell>
          <cell r="C581">
            <v>0</v>
          </cell>
          <cell r="D581">
            <v>0</v>
          </cell>
          <cell r="E581" t="str">
            <v>VAN</v>
          </cell>
          <cell r="F581">
            <v>0</v>
          </cell>
          <cell r="G581">
            <v>0</v>
          </cell>
          <cell r="H581">
            <v>0</v>
          </cell>
          <cell r="I581" t="str">
            <v>Z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1</v>
          </cell>
          <cell r="AB581" t="str">
            <v>Z</v>
          </cell>
          <cell r="AC581">
            <v>0</v>
          </cell>
          <cell r="AD581" t="str">
            <v>YES</v>
          </cell>
          <cell r="AE581">
            <v>0</v>
          </cell>
          <cell r="AF581" t="str">
            <v>DELTA ENTERPRISE CORP. D/B/A DELTA CHILDREN'S PRODUCTS</v>
          </cell>
          <cell r="AG581" t="str">
            <v>DELTA ENTERPRISE CORP. D/B/A DELTA CHILDREN'S PRODUCTS</v>
          </cell>
          <cell r="AH581" t="str">
            <v>REGULAR</v>
          </cell>
          <cell r="AI581">
            <v>45050</v>
          </cell>
          <cell r="AJ581"/>
          <cell r="AK581"/>
          <cell r="AL581">
            <v>45056</v>
          </cell>
          <cell r="AM581">
            <v>45056</v>
          </cell>
          <cell r="AN581"/>
          <cell r="AO581">
            <v>45057</v>
          </cell>
          <cell r="AP581" t="str">
            <v>ACTIVE</v>
          </cell>
        </row>
        <row r="582">
          <cell r="A582">
            <v>96231240302</v>
          </cell>
          <cell r="B582" t="str">
            <v>AN</v>
          </cell>
          <cell r="C582">
            <v>0</v>
          </cell>
          <cell r="D582">
            <v>0</v>
          </cell>
          <cell r="E582" t="str">
            <v>VAN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 HANDLE</v>
          </cell>
          <cell r="AC582">
            <v>0</v>
          </cell>
          <cell r="AD582">
            <v>0</v>
          </cell>
          <cell r="AE582">
            <v>0</v>
          </cell>
          <cell r="AF582" t="str">
            <v>PRETTY VINA CO LTD</v>
          </cell>
          <cell r="AG582" t="str">
            <v>PRETTY VINA CO LTD</v>
          </cell>
          <cell r="AH582" t="str">
            <v>REGULAR</v>
          </cell>
          <cell r="AI582">
            <v>45050</v>
          </cell>
          <cell r="AJ582"/>
          <cell r="AK582"/>
          <cell r="AL582">
            <v>45055</v>
          </cell>
          <cell r="AM582">
            <v>45055</v>
          </cell>
          <cell r="AN582"/>
          <cell r="AO582">
            <v>45056</v>
          </cell>
          <cell r="AP582" t="str">
            <v>AN HANDLE</v>
          </cell>
        </row>
        <row r="583">
          <cell r="A583">
            <v>96231240306</v>
          </cell>
          <cell r="B583" t="str">
            <v>AN</v>
          </cell>
          <cell r="C583">
            <v>0</v>
          </cell>
          <cell r="D583">
            <v>0</v>
          </cell>
          <cell r="E583" t="str">
            <v>VAN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 HANDLE</v>
          </cell>
          <cell r="AC583">
            <v>0</v>
          </cell>
          <cell r="AD583">
            <v>0</v>
          </cell>
          <cell r="AE583">
            <v>0</v>
          </cell>
          <cell r="AF583" t="str">
            <v>PRETTY VINA CO LTD</v>
          </cell>
          <cell r="AG583" t="str">
            <v>PRETTY VINA CO LTD</v>
          </cell>
          <cell r="AH583" t="str">
            <v>REGULAR</v>
          </cell>
          <cell r="AI583">
            <v>45050</v>
          </cell>
          <cell r="AJ583"/>
          <cell r="AK583"/>
          <cell r="AL583">
            <v>45055</v>
          </cell>
          <cell r="AM583">
            <v>45055</v>
          </cell>
          <cell r="AN583"/>
          <cell r="AO583">
            <v>45056</v>
          </cell>
          <cell r="AP583" t="str">
            <v>AN HANDLE</v>
          </cell>
        </row>
        <row r="584">
          <cell r="A584">
            <v>96231240310</v>
          </cell>
          <cell r="B584" t="str">
            <v>USD</v>
          </cell>
          <cell r="C584" t="str">
            <v>done</v>
          </cell>
          <cell r="D584" t="str">
            <v>VAN</v>
          </cell>
          <cell r="E584" t="str">
            <v>VAN</v>
          </cell>
          <cell r="F584" t="str">
            <v>DONE 0508
MAKING 0506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Z</v>
          </cell>
          <cell r="AC584">
            <v>0</v>
          </cell>
          <cell r="AD584">
            <v>0</v>
          </cell>
          <cell r="AE584">
            <v>0</v>
          </cell>
          <cell r="AF584" t="str">
            <v>POU SUNG VIETNAM CO., LTD</v>
          </cell>
          <cell r="AG584" t="str">
            <v>POU SUNG VIETNAM CO., LTD</v>
          </cell>
          <cell r="AH584" t="str">
            <v>REGULAR</v>
          </cell>
          <cell r="AI584">
            <v>45050</v>
          </cell>
          <cell r="AJ584"/>
          <cell r="AK584"/>
          <cell r="AL584">
            <v>45056</v>
          </cell>
          <cell r="AM584">
            <v>45056</v>
          </cell>
          <cell r="AN584"/>
          <cell r="AO584">
            <v>45057</v>
          </cell>
          <cell r="AP584" t="str">
            <v>ACTIVE</v>
          </cell>
        </row>
        <row r="585">
          <cell r="A585">
            <v>96231240356</v>
          </cell>
          <cell r="B585" t="str">
            <v>JP-SAMPLE TEST BV MALAY</v>
          </cell>
          <cell r="C585">
            <v>0</v>
          </cell>
          <cell r="D585">
            <v>0</v>
          </cell>
          <cell r="E585" t="str">
            <v>SHE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 t="str">
            <v>H</v>
          </cell>
          <cell r="K585">
            <v>0</v>
          </cell>
          <cell r="L585" t="str">
            <v>J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 t="str">
            <v>Q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3</v>
          </cell>
          <cell r="AB585" t="str">
            <v>H, J, Q</v>
          </cell>
          <cell r="AC585">
            <v>0</v>
          </cell>
          <cell r="AD585" t="str">
            <v>YES</v>
          </cell>
          <cell r="AE585">
            <v>0</v>
          </cell>
          <cell r="AF585" t="str">
            <v>ELEMENTS INTERNATIONAL GROUP LLC</v>
          </cell>
          <cell r="AG585" t="str">
            <v>ELEMENTS INTERNATIONAL GROUP LLC</v>
          </cell>
          <cell r="AH585" t="str">
            <v>REGULAR</v>
          </cell>
          <cell r="AI585">
            <v>45050</v>
          </cell>
          <cell r="AJ585"/>
          <cell r="AK585"/>
          <cell r="AL585">
            <v>45056</v>
          </cell>
          <cell r="AM585">
            <v>45056</v>
          </cell>
          <cell r="AN585"/>
          <cell r="AO585">
            <v>45057</v>
          </cell>
          <cell r="AP585" t="str">
            <v>ACTIVE</v>
          </cell>
        </row>
        <row r="586">
          <cell r="A586">
            <v>96231240361</v>
          </cell>
          <cell r="B586" t="str">
            <v>TY-HANOI</v>
          </cell>
          <cell r="C586">
            <v>0</v>
          </cell>
          <cell r="D586">
            <v>0</v>
          </cell>
          <cell r="E586" t="str">
            <v>NOMI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 t="str">
            <v>H</v>
          </cell>
          <cell r="K586" t="str">
            <v>T</v>
          </cell>
          <cell r="L586" t="str">
            <v>J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 t="str">
            <v>Q</v>
          </cell>
          <cell r="W586" t="str">
            <v>V</v>
          </cell>
          <cell r="X586">
            <v>0</v>
          </cell>
          <cell r="Y586">
            <v>0</v>
          </cell>
          <cell r="Z586">
            <v>0</v>
          </cell>
          <cell r="AA586">
            <v>5</v>
          </cell>
          <cell r="AB586" t="str">
            <v>H, T, J, Q, V</v>
          </cell>
          <cell r="AC586">
            <v>0</v>
          </cell>
          <cell r="AD586">
            <v>0</v>
          </cell>
          <cell r="AE586">
            <v>0</v>
          </cell>
          <cell r="AF586" t="str">
            <v>MOOSE ENT (INT) PTY/ MOOSE ENTERPRISE/ MOOSE TOYS LTD / MOOSE TOYS LLC</v>
          </cell>
          <cell r="AG586" t="str">
            <v>SAM'S CLUB</v>
          </cell>
          <cell r="AH586" t="str">
            <v>REGULAR</v>
          </cell>
          <cell r="AI586">
            <v>45050</v>
          </cell>
          <cell r="AJ586">
            <v>45054</v>
          </cell>
          <cell r="AK586"/>
          <cell r="AL586">
            <v>45056</v>
          </cell>
          <cell r="AM586">
            <v>45056</v>
          </cell>
          <cell r="AN586">
            <v>45057</v>
          </cell>
          <cell r="AO586">
            <v>45056</v>
          </cell>
          <cell r="AP586" t="str">
            <v>ON HOLD</v>
          </cell>
        </row>
        <row r="587">
          <cell r="A587">
            <v>96231240363</v>
          </cell>
          <cell r="B587" t="str">
            <v>CD-11231180036</v>
          </cell>
          <cell r="C587">
            <v>0</v>
          </cell>
          <cell r="D587" t="str">
            <v>VAN</v>
          </cell>
          <cell r="E587" t="str">
            <v>VAN</v>
          </cell>
          <cell r="F587" t="str">
            <v>DONE 0509
MAKING 0509</v>
          </cell>
          <cell r="G587">
            <v>0</v>
          </cell>
          <cell r="H587">
            <v>0</v>
          </cell>
          <cell r="I587">
            <v>0</v>
          </cell>
          <cell r="J587"/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/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H, P, L</v>
          </cell>
          <cell r="AC587">
            <v>0</v>
          </cell>
          <cell r="AD587">
            <v>0</v>
          </cell>
          <cell r="AE587" t="str">
            <v>5/5: test clarification, extra sample</v>
          </cell>
          <cell r="AF587" t="str">
            <v>BUREAU VERITAS (CAMBODIA) LIMITED</v>
          </cell>
          <cell r="AG587" t="str">
            <v>BUREAU VERITAS (CAMBODIA) LIMITED</v>
          </cell>
          <cell r="AH587" t="str">
            <v>URGENT</v>
          </cell>
          <cell r="AI587">
            <v>45051</v>
          </cell>
          <cell r="AJ587">
            <v>45051</v>
          </cell>
          <cell r="AK587"/>
          <cell r="AL587">
            <v>45052</v>
          </cell>
          <cell r="AM587">
            <v>45052</v>
          </cell>
          <cell r="AN587"/>
          <cell r="AO587">
            <v>45054</v>
          </cell>
          <cell r="AP587" t="str">
            <v>LATE</v>
          </cell>
        </row>
        <row r="588">
          <cell r="A588">
            <v>96231240367</v>
          </cell>
          <cell r="B588" t="str">
            <v>TY-HANOI</v>
          </cell>
          <cell r="C588">
            <v>0</v>
          </cell>
          <cell r="D588">
            <v>0</v>
          </cell>
          <cell r="E588" t="str">
            <v>ELV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 t="str">
            <v>H</v>
          </cell>
          <cell r="K588" t="str">
            <v>T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 t="str">
            <v>Q</v>
          </cell>
          <cell r="W588" t="str">
            <v>V</v>
          </cell>
          <cell r="X588">
            <v>0</v>
          </cell>
          <cell r="Y588">
            <v>0</v>
          </cell>
          <cell r="Z588">
            <v>0</v>
          </cell>
          <cell r="AA588">
            <v>4</v>
          </cell>
          <cell r="AB588" t="str">
            <v>H, T, Q, V</v>
          </cell>
          <cell r="AC588">
            <v>0</v>
          </cell>
          <cell r="AD588">
            <v>0</v>
          </cell>
          <cell r="AE588">
            <v>0</v>
          </cell>
          <cell r="AF588" t="str">
            <v>MOOSE ENT (INT) PTY/ MOOSE ENTERPRISE/ MOOSE TOYS LTD / MOOSE TOYS LLC</v>
          </cell>
          <cell r="AG588" t="str">
            <v>WALGREENS</v>
          </cell>
          <cell r="AH588" t="str">
            <v>REGULAR</v>
          </cell>
          <cell r="AI588">
            <v>45050</v>
          </cell>
          <cell r="AJ588"/>
          <cell r="AK588"/>
          <cell r="AL588">
            <v>45056</v>
          </cell>
          <cell r="AM588">
            <v>45056</v>
          </cell>
          <cell r="AN588"/>
          <cell r="AO588">
            <v>45057</v>
          </cell>
          <cell r="AP588" t="str">
            <v>ACTIVE</v>
          </cell>
        </row>
        <row r="589">
          <cell r="A589">
            <v>96231240373</v>
          </cell>
          <cell r="B589" t="str">
            <v>US2-UV TEST BATCH</v>
          </cell>
          <cell r="C589">
            <v>0</v>
          </cell>
          <cell r="D589">
            <v>0</v>
          </cell>
          <cell r="E589" t="str">
            <v>SHE</v>
          </cell>
          <cell r="F589">
            <v>0</v>
          </cell>
          <cell r="G589" t="str">
            <v>R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1</v>
          </cell>
          <cell r="AB589" t="str">
            <v>R</v>
          </cell>
          <cell r="AC589">
            <v>0</v>
          </cell>
          <cell r="AD589">
            <v>0</v>
          </cell>
          <cell r="AE589">
            <v>0</v>
          </cell>
          <cell r="AF589" t="str">
            <v>HONG VAN COMPANY LIMITED</v>
          </cell>
          <cell r="AG589" t="str">
            <v>ASHLEY FURNITURE INDUSTRIES LLC</v>
          </cell>
          <cell r="AH589" t="str">
            <v>REGULAR</v>
          </cell>
          <cell r="AI589">
            <v>45050</v>
          </cell>
          <cell r="AJ589"/>
          <cell r="AK589"/>
          <cell r="AL589">
            <v>45056</v>
          </cell>
          <cell r="AM589">
            <v>45056</v>
          </cell>
          <cell r="AN589"/>
          <cell r="AO589">
            <v>45057</v>
          </cell>
          <cell r="AP589" t="str">
            <v>ACTIVE</v>
          </cell>
        </row>
        <row r="590">
          <cell r="A590">
            <v>96231240376</v>
          </cell>
          <cell r="B590" t="str">
            <v>US2-UV TEST BATCH</v>
          </cell>
          <cell r="C590">
            <v>0</v>
          </cell>
          <cell r="D590">
            <v>0</v>
          </cell>
          <cell r="E590" t="str">
            <v>SHE</v>
          </cell>
          <cell r="F590">
            <v>0</v>
          </cell>
          <cell r="G590" t="str">
            <v>R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1</v>
          </cell>
          <cell r="AB590" t="str">
            <v>R</v>
          </cell>
          <cell r="AC590">
            <v>0</v>
          </cell>
          <cell r="AD590">
            <v>0</v>
          </cell>
          <cell r="AE590">
            <v>0</v>
          </cell>
          <cell r="AF590" t="str">
            <v>BEST FURNITURE COMPANY LIMITED</v>
          </cell>
          <cell r="AG590" t="str">
            <v>ASHLEY FURNITURE INDUSTRIES LLC</v>
          </cell>
          <cell r="AH590" t="str">
            <v>REGULAR</v>
          </cell>
          <cell r="AI590">
            <v>45050</v>
          </cell>
          <cell r="AJ590"/>
          <cell r="AK590"/>
          <cell r="AL590">
            <v>45056</v>
          </cell>
          <cell r="AM590">
            <v>45056</v>
          </cell>
          <cell r="AN590"/>
          <cell r="AO590">
            <v>45057</v>
          </cell>
          <cell r="AP590" t="str">
            <v>ACTIVE</v>
          </cell>
        </row>
        <row r="591">
          <cell r="A591">
            <v>96231240380</v>
          </cell>
          <cell r="B591" t="str">
            <v>US2-UV TEST BATCH</v>
          </cell>
          <cell r="C591">
            <v>0</v>
          </cell>
          <cell r="D591">
            <v>0</v>
          </cell>
          <cell r="E591" t="str">
            <v>SHE</v>
          </cell>
          <cell r="F591">
            <v>0</v>
          </cell>
          <cell r="G591" t="str">
            <v>R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1</v>
          </cell>
          <cell r="AB591" t="str">
            <v>R</v>
          </cell>
          <cell r="AC591">
            <v>0</v>
          </cell>
          <cell r="AD591">
            <v>0</v>
          </cell>
          <cell r="AE591">
            <v>0</v>
          </cell>
          <cell r="AF591" t="str">
            <v>BEST FURNITURE COMPANY LIMITED</v>
          </cell>
          <cell r="AG591" t="str">
            <v>ASHLEY FURNITURE INDUSTRIES LLC</v>
          </cell>
          <cell r="AH591" t="str">
            <v>REGULAR</v>
          </cell>
          <cell r="AI591">
            <v>45050</v>
          </cell>
          <cell r="AJ591"/>
          <cell r="AK591"/>
          <cell r="AL591">
            <v>45056</v>
          </cell>
          <cell r="AM591">
            <v>45056</v>
          </cell>
          <cell r="AN591"/>
          <cell r="AO591">
            <v>45057</v>
          </cell>
          <cell r="AP591" t="str">
            <v>ACTIVE</v>
          </cell>
        </row>
        <row r="592">
          <cell r="A592">
            <v>96231240383</v>
          </cell>
          <cell r="B592" t="str">
            <v>US2-UV TEST BATCH</v>
          </cell>
          <cell r="C592">
            <v>0</v>
          </cell>
          <cell r="D592">
            <v>0</v>
          </cell>
          <cell r="E592" t="str">
            <v>SHE</v>
          </cell>
          <cell r="F592">
            <v>0</v>
          </cell>
          <cell r="G592" t="str">
            <v>R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1</v>
          </cell>
          <cell r="AB592" t="str">
            <v>R</v>
          </cell>
          <cell r="AC592">
            <v>0</v>
          </cell>
          <cell r="AD592">
            <v>0</v>
          </cell>
          <cell r="AE592">
            <v>0</v>
          </cell>
          <cell r="AF592" t="str">
            <v>BEST FURNITURE COMPANY LIMITED</v>
          </cell>
          <cell r="AG592" t="str">
            <v>ASHLEY FURNITURE INDUSTRIES LLC</v>
          </cell>
          <cell r="AH592" t="str">
            <v>REGULAR</v>
          </cell>
          <cell r="AI592">
            <v>45050</v>
          </cell>
          <cell r="AJ592"/>
          <cell r="AK592"/>
          <cell r="AL592">
            <v>45056</v>
          </cell>
          <cell r="AM592">
            <v>45056</v>
          </cell>
          <cell r="AN592"/>
          <cell r="AO592">
            <v>45057</v>
          </cell>
          <cell r="AP592" t="str">
            <v>ACTIVE</v>
          </cell>
        </row>
        <row r="593">
          <cell r="A593">
            <v>96231240384</v>
          </cell>
          <cell r="B593" t="str">
            <v>US2-UV TEST BATCH</v>
          </cell>
          <cell r="C593">
            <v>0</v>
          </cell>
          <cell r="D593">
            <v>0</v>
          </cell>
          <cell r="E593" t="str">
            <v>SHE</v>
          </cell>
          <cell r="F593">
            <v>0</v>
          </cell>
          <cell r="G593" t="str">
            <v>R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1</v>
          </cell>
          <cell r="AB593" t="str">
            <v>R</v>
          </cell>
          <cell r="AC593">
            <v>0</v>
          </cell>
          <cell r="AD593">
            <v>0</v>
          </cell>
          <cell r="AE593">
            <v>0</v>
          </cell>
          <cell r="AF593" t="str">
            <v>BEST FURNITURE COMPANY LIMITED</v>
          </cell>
          <cell r="AG593" t="str">
            <v>ASHLEY FURNITURE INDUSTRIES LLC</v>
          </cell>
          <cell r="AH593" t="str">
            <v>REGULAR</v>
          </cell>
          <cell r="AI593">
            <v>45050</v>
          </cell>
          <cell r="AJ593"/>
          <cell r="AK593"/>
          <cell r="AL593">
            <v>45056</v>
          </cell>
          <cell r="AM593">
            <v>45056</v>
          </cell>
          <cell r="AN593"/>
          <cell r="AO593">
            <v>45057</v>
          </cell>
          <cell r="AP593" t="str">
            <v>ACTIVE</v>
          </cell>
        </row>
        <row r="594">
          <cell r="A594">
            <v>96231240392</v>
          </cell>
          <cell r="B594" t="str">
            <v>US2-UV TEST BATCH</v>
          </cell>
          <cell r="C594">
            <v>0</v>
          </cell>
          <cell r="D594">
            <v>0</v>
          </cell>
          <cell r="E594" t="str">
            <v>SHE</v>
          </cell>
          <cell r="F594">
            <v>0</v>
          </cell>
          <cell r="G594" t="str">
            <v>R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1</v>
          </cell>
          <cell r="AB594" t="str">
            <v>R</v>
          </cell>
          <cell r="AC594">
            <v>0</v>
          </cell>
          <cell r="AD594">
            <v>0</v>
          </cell>
          <cell r="AE594">
            <v>0</v>
          </cell>
          <cell r="AF594" t="str">
            <v>BEST FURNITURE COMPANY LIMITED</v>
          </cell>
          <cell r="AG594" t="str">
            <v>ASHLEY FURNITURE INDUSTRIES LLC</v>
          </cell>
          <cell r="AH594" t="str">
            <v>REGULAR</v>
          </cell>
          <cell r="AI594">
            <v>45050</v>
          </cell>
          <cell r="AJ594"/>
          <cell r="AK594"/>
          <cell r="AL594">
            <v>45056</v>
          </cell>
          <cell r="AM594">
            <v>45056</v>
          </cell>
          <cell r="AN594"/>
          <cell r="AO594">
            <v>45057</v>
          </cell>
          <cell r="AP594" t="str">
            <v>ACTIVE</v>
          </cell>
        </row>
        <row r="595">
          <cell r="A595">
            <v>96231240404</v>
          </cell>
          <cell r="B595" t="str">
            <v>JP</v>
          </cell>
          <cell r="C595">
            <v>0</v>
          </cell>
          <cell r="D595">
            <v>0</v>
          </cell>
          <cell r="E595" t="str">
            <v>VAN</v>
          </cell>
          <cell r="F595" t="str">
            <v>FIRST MAKING 0509-AN</v>
          </cell>
          <cell r="G595">
            <v>0</v>
          </cell>
          <cell r="H595">
            <v>0</v>
          </cell>
          <cell r="I595">
            <v>0</v>
          </cell>
          <cell r="K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 t="str">
            <v>Q</v>
          </cell>
          <cell r="W595" t="str">
            <v>V</v>
          </cell>
          <cell r="X595">
            <v>0</v>
          </cell>
          <cell r="Y595">
            <v>0</v>
          </cell>
          <cell r="Z595">
            <v>0</v>
          </cell>
          <cell r="AA595">
            <v>2</v>
          </cell>
          <cell r="AB595" t="str">
            <v>H, J, Q, V</v>
          </cell>
          <cell r="AC595">
            <v>0</v>
          </cell>
          <cell r="AD595" t="str">
            <v>YES</v>
          </cell>
          <cell r="AE595">
            <v>0</v>
          </cell>
          <cell r="AF595" t="str">
            <v>DELTA ENTERPRISE CORP. D/B/A DELTA CHILDREN'S PRODUCTS</v>
          </cell>
          <cell r="AG595" t="str">
            <v>DELTA ENTERPRISE CORP. D/B/A DELTA CHILDREN'S PRODUCTS</v>
          </cell>
          <cell r="AH595" t="str">
            <v>REGULAR</v>
          </cell>
          <cell r="AI595">
            <v>45050</v>
          </cell>
          <cell r="AJ595"/>
          <cell r="AK595"/>
          <cell r="AL595">
            <v>45056</v>
          </cell>
          <cell r="AM595">
            <v>45056</v>
          </cell>
          <cell r="AN595"/>
          <cell r="AO595">
            <v>45057</v>
          </cell>
          <cell r="AP595" t="str">
            <v>ACTIVE</v>
          </cell>
        </row>
        <row r="596">
          <cell r="A596">
            <v>96231240406</v>
          </cell>
          <cell r="B596" t="str">
            <v>US2-UV TEST BATCH</v>
          </cell>
          <cell r="C596">
            <v>0</v>
          </cell>
          <cell r="D596">
            <v>0</v>
          </cell>
          <cell r="E596" t="str">
            <v>SHE</v>
          </cell>
          <cell r="F596">
            <v>0</v>
          </cell>
          <cell r="G596" t="str">
            <v>R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1</v>
          </cell>
          <cell r="AB596" t="str">
            <v>R</v>
          </cell>
          <cell r="AC596">
            <v>0</v>
          </cell>
          <cell r="AD596">
            <v>0</v>
          </cell>
          <cell r="AE596">
            <v>0</v>
          </cell>
          <cell r="AF596" t="str">
            <v>MOC HOANG LAM COMPANY LIMITED</v>
          </cell>
          <cell r="AG596" t="str">
            <v>ASHLEY FURNITURE INDUSTRIES LLC</v>
          </cell>
          <cell r="AH596" t="str">
            <v>REGULAR</v>
          </cell>
          <cell r="AI596">
            <v>45050</v>
          </cell>
          <cell r="AJ596"/>
          <cell r="AK596"/>
          <cell r="AL596">
            <v>45056</v>
          </cell>
          <cell r="AM596">
            <v>45056</v>
          </cell>
          <cell r="AN596"/>
          <cell r="AO596">
            <v>45057</v>
          </cell>
          <cell r="AP596" t="str">
            <v>ACTIVE</v>
          </cell>
        </row>
        <row r="597">
          <cell r="A597">
            <v>96231240407</v>
          </cell>
          <cell r="B597" t="str">
            <v>JP-REFER SAMPLE 96231240404</v>
          </cell>
          <cell r="C597">
            <v>0</v>
          </cell>
          <cell r="D597">
            <v>0</v>
          </cell>
          <cell r="E597" t="str">
            <v>VAN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 t="str">
            <v>Q</v>
          </cell>
          <cell r="W597" t="str">
            <v>V</v>
          </cell>
          <cell r="X597">
            <v>0</v>
          </cell>
          <cell r="Y597">
            <v>0</v>
          </cell>
          <cell r="Z597">
            <v>0</v>
          </cell>
          <cell r="AA597">
            <v>2</v>
          </cell>
          <cell r="AB597" t="str">
            <v>Q, V</v>
          </cell>
          <cell r="AC597">
            <v>0</v>
          </cell>
          <cell r="AD597" t="str">
            <v>YES</v>
          </cell>
          <cell r="AE597">
            <v>0</v>
          </cell>
          <cell r="AF597" t="str">
            <v>DELTA ENTERPRISE CORP. D/B/A DELTA CHILDREN'S PRODUCTS</v>
          </cell>
          <cell r="AG597" t="str">
            <v>DELTA ENTERPRISE CORP. D/B/A DELTA CHILDREN'S PRODUCTS</v>
          </cell>
          <cell r="AH597" t="str">
            <v>REGULAR</v>
          </cell>
          <cell r="AI597">
            <v>45050</v>
          </cell>
          <cell r="AJ597"/>
          <cell r="AK597"/>
          <cell r="AL597">
            <v>45056</v>
          </cell>
          <cell r="AM597">
            <v>45056</v>
          </cell>
          <cell r="AN597"/>
          <cell r="AO597">
            <v>45057</v>
          </cell>
          <cell r="AP597" t="str">
            <v>ACTIVE</v>
          </cell>
        </row>
        <row r="598">
          <cell r="A598">
            <v>96231240408</v>
          </cell>
          <cell r="B598" t="str">
            <v>US2-UV TEST BATCH</v>
          </cell>
          <cell r="C598">
            <v>0</v>
          </cell>
          <cell r="D598">
            <v>0</v>
          </cell>
          <cell r="E598" t="str">
            <v>SHE</v>
          </cell>
          <cell r="F598">
            <v>0</v>
          </cell>
          <cell r="G598" t="str">
            <v>R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1</v>
          </cell>
          <cell r="AB598" t="str">
            <v>R</v>
          </cell>
          <cell r="AC598">
            <v>0</v>
          </cell>
          <cell r="AD598">
            <v>0</v>
          </cell>
          <cell r="AE598">
            <v>0</v>
          </cell>
          <cell r="AF598" t="str">
            <v>MOC HOANG LAM COMPANY LIMITED</v>
          </cell>
          <cell r="AG598" t="str">
            <v>ASHLEY FURNITURE INDUSTRIES LLC</v>
          </cell>
          <cell r="AH598" t="str">
            <v>REGULAR</v>
          </cell>
          <cell r="AI598">
            <v>45050</v>
          </cell>
          <cell r="AJ598"/>
          <cell r="AK598"/>
          <cell r="AL598">
            <v>45056</v>
          </cell>
          <cell r="AM598">
            <v>45056</v>
          </cell>
          <cell r="AN598"/>
          <cell r="AO598">
            <v>45057</v>
          </cell>
          <cell r="AP598" t="str">
            <v>ACTIVE</v>
          </cell>
        </row>
        <row r="599">
          <cell r="A599">
            <v>96231240409</v>
          </cell>
          <cell r="B599" t="str">
            <v>JP-REFER SAMPLE 96231240404</v>
          </cell>
          <cell r="C599">
            <v>0</v>
          </cell>
          <cell r="D599">
            <v>0</v>
          </cell>
          <cell r="E599" t="str">
            <v>VAN</v>
          </cell>
          <cell r="F599" t="str">
            <v>FIRST MAKING 0508-SL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 t="str">
            <v>F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1</v>
          </cell>
          <cell r="AB599" t="str">
            <v>F</v>
          </cell>
          <cell r="AC599">
            <v>0</v>
          </cell>
          <cell r="AD599" t="str">
            <v>YES</v>
          </cell>
          <cell r="AE599">
            <v>0</v>
          </cell>
          <cell r="AF599" t="str">
            <v>DELTA ENTERPRISE CORP. D/B/A DELTA CHILDREN'S PRODUCTS</v>
          </cell>
          <cell r="AG599" t="str">
            <v>DELTA ENTERPRISE CORP. D/B/A DELTA CHILDREN'S PRODUCTS</v>
          </cell>
          <cell r="AH599" t="str">
            <v>REGULAR</v>
          </cell>
          <cell r="AI599">
            <v>45050</v>
          </cell>
          <cell r="AJ599"/>
          <cell r="AK599"/>
          <cell r="AL599">
            <v>45056</v>
          </cell>
          <cell r="AM599">
            <v>45056</v>
          </cell>
          <cell r="AN599"/>
          <cell r="AO599">
            <v>45057</v>
          </cell>
          <cell r="AP599" t="str">
            <v>ACTIVE</v>
          </cell>
        </row>
        <row r="600">
          <cell r="A600">
            <v>96231240410</v>
          </cell>
          <cell r="B600" t="str">
            <v>US2-UV TEST BATCH</v>
          </cell>
          <cell r="C600">
            <v>0</v>
          </cell>
          <cell r="D600">
            <v>0</v>
          </cell>
          <cell r="E600" t="str">
            <v>SHE</v>
          </cell>
          <cell r="F600">
            <v>0</v>
          </cell>
          <cell r="G600" t="str">
            <v>R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1</v>
          </cell>
          <cell r="AB600" t="str">
            <v>R</v>
          </cell>
          <cell r="AC600">
            <v>0</v>
          </cell>
          <cell r="AD600">
            <v>0</v>
          </cell>
          <cell r="AE600">
            <v>0</v>
          </cell>
          <cell r="AF600" t="str">
            <v>MOC HOANG LAM COMPANY LIMITED</v>
          </cell>
          <cell r="AG600" t="str">
            <v>ASHLEY FURNITURE INDUSTRIES LLC</v>
          </cell>
          <cell r="AH600" t="str">
            <v>REGULAR</v>
          </cell>
          <cell r="AI600">
            <v>45050</v>
          </cell>
          <cell r="AJ600"/>
          <cell r="AK600"/>
          <cell r="AL600">
            <v>45056</v>
          </cell>
          <cell r="AM600">
            <v>45056</v>
          </cell>
          <cell r="AN600"/>
          <cell r="AO600">
            <v>45057</v>
          </cell>
          <cell r="AP600" t="str">
            <v>ACTIVE</v>
          </cell>
        </row>
        <row r="601">
          <cell r="A601">
            <v>96231240412</v>
          </cell>
          <cell r="B601" t="str">
            <v>US2-UV TEST BATCH</v>
          </cell>
          <cell r="C601">
            <v>0</v>
          </cell>
          <cell r="D601">
            <v>0</v>
          </cell>
          <cell r="E601" t="str">
            <v>SHE</v>
          </cell>
          <cell r="F601">
            <v>0</v>
          </cell>
          <cell r="G601" t="str">
            <v>R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1</v>
          </cell>
          <cell r="AB601" t="str">
            <v>R</v>
          </cell>
          <cell r="AC601">
            <v>0</v>
          </cell>
          <cell r="AD601">
            <v>0</v>
          </cell>
          <cell r="AE601">
            <v>0</v>
          </cell>
          <cell r="AF601" t="str">
            <v>MOC HOANG LAM COMPANY LIMITED</v>
          </cell>
          <cell r="AG601" t="str">
            <v>ASHLEY FURNITURE INDUSTRIES LLC</v>
          </cell>
          <cell r="AH601" t="str">
            <v>REGULAR</v>
          </cell>
          <cell r="AI601">
            <v>45050</v>
          </cell>
          <cell r="AJ601"/>
          <cell r="AK601"/>
          <cell r="AL601">
            <v>45056</v>
          </cell>
          <cell r="AM601">
            <v>45056</v>
          </cell>
          <cell r="AN601"/>
          <cell r="AO601">
            <v>45057</v>
          </cell>
          <cell r="AP601" t="str">
            <v>ACTIVE</v>
          </cell>
        </row>
        <row r="602">
          <cell r="A602">
            <v>96231240413</v>
          </cell>
          <cell r="B602" t="str">
            <v>US2-UV TEST BATCH</v>
          </cell>
          <cell r="C602">
            <v>0</v>
          </cell>
          <cell r="D602">
            <v>0</v>
          </cell>
          <cell r="E602" t="str">
            <v>SHE</v>
          </cell>
          <cell r="F602">
            <v>0</v>
          </cell>
          <cell r="G602" t="str">
            <v>R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1</v>
          </cell>
          <cell r="AB602" t="str">
            <v>R</v>
          </cell>
          <cell r="AC602">
            <v>0</v>
          </cell>
          <cell r="AD602">
            <v>0</v>
          </cell>
          <cell r="AE602">
            <v>0</v>
          </cell>
          <cell r="AF602" t="str">
            <v>MOC HOANG LAM COMPANY LIMITED</v>
          </cell>
          <cell r="AG602" t="str">
            <v>ASHLEY FURNITURE INDUSTRIES LLC</v>
          </cell>
          <cell r="AH602" t="str">
            <v>REGULAR</v>
          </cell>
          <cell r="AI602">
            <v>45050</v>
          </cell>
          <cell r="AJ602"/>
          <cell r="AK602"/>
          <cell r="AL602">
            <v>45056</v>
          </cell>
          <cell r="AM602">
            <v>45056</v>
          </cell>
          <cell r="AN602"/>
          <cell r="AO602">
            <v>45057</v>
          </cell>
          <cell r="AP602" t="str">
            <v>ACTIVE</v>
          </cell>
        </row>
        <row r="603">
          <cell r="A603">
            <v>96231240415</v>
          </cell>
          <cell r="B603" t="str">
            <v>US2-UV TEST BATCH</v>
          </cell>
          <cell r="C603">
            <v>0</v>
          </cell>
          <cell r="D603">
            <v>0</v>
          </cell>
          <cell r="E603" t="str">
            <v>SHE</v>
          </cell>
          <cell r="F603">
            <v>0</v>
          </cell>
          <cell r="G603" t="str">
            <v>R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1</v>
          </cell>
          <cell r="AB603" t="str">
            <v>R</v>
          </cell>
          <cell r="AC603">
            <v>0</v>
          </cell>
          <cell r="AD603">
            <v>0</v>
          </cell>
          <cell r="AE603">
            <v>0</v>
          </cell>
          <cell r="AF603" t="str">
            <v>MOC HOANG LAM COMPANY LIMITED</v>
          </cell>
          <cell r="AG603" t="str">
            <v>ASHLEY FURNITURE INDUSTRIES LLC</v>
          </cell>
          <cell r="AH603" t="str">
            <v>REGULAR</v>
          </cell>
          <cell r="AI603">
            <v>45050</v>
          </cell>
          <cell r="AJ603"/>
          <cell r="AK603"/>
          <cell r="AL603">
            <v>45056</v>
          </cell>
          <cell r="AM603">
            <v>45056</v>
          </cell>
          <cell r="AN603"/>
          <cell r="AO603">
            <v>45057</v>
          </cell>
          <cell r="AP603" t="str">
            <v>ACTIVE</v>
          </cell>
        </row>
        <row r="604">
          <cell r="A604">
            <v>96231240416</v>
          </cell>
          <cell r="B604" t="str">
            <v>US2-UV TEST BATCH</v>
          </cell>
          <cell r="C604">
            <v>0</v>
          </cell>
          <cell r="D604">
            <v>0</v>
          </cell>
          <cell r="E604" t="str">
            <v>SHE</v>
          </cell>
          <cell r="F604">
            <v>0</v>
          </cell>
          <cell r="G604" t="str">
            <v>R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1</v>
          </cell>
          <cell r="AB604" t="str">
            <v>R</v>
          </cell>
          <cell r="AC604">
            <v>0</v>
          </cell>
          <cell r="AD604" t="str">
            <v>YES</v>
          </cell>
          <cell r="AE604">
            <v>0</v>
          </cell>
          <cell r="AF604" t="str">
            <v>GRAND WOOD (VIETNAM) CO LTD</v>
          </cell>
          <cell r="AG604" t="str">
            <v>ASHLEY FURNITURE INDUSTRIES LLC</v>
          </cell>
          <cell r="AH604" t="str">
            <v>REGULAR</v>
          </cell>
          <cell r="AI604">
            <v>45050</v>
          </cell>
          <cell r="AJ604"/>
          <cell r="AK604"/>
          <cell r="AL604">
            <v>45056</v>
          </cell>
          <cell r="AM604">
            <v>45056</v>
          </cell>
          <cell r="AN604"/>
          <cell r="AO604">
            <v>45057</v>
          </cell>
          <cell r="AP604" t="str">
            <v>ACTIVE</v>
          </cell>
        </row>
        <row r="605">
          <cell r="A605">
            <v>96231240421</v>
          </cell>
          <cell r="B605" t="str">
            <v>US2-UV TEST BATCH</v>
          </cell>
          <cell r="C605">
            <v>0</v>
          </cell>
          <cell r="D605">
            <v>0</v>
          </cell>
          <cell r="E605" t="str">
            <v>SHE</v>
          </cell>
          <cell r="F605">
            <v>0</v>
          </cell>
          <cell r="G605" t="str">
            <v>R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1</v>
          </cell>
          <cell r="AB605" t="str">
            <v>R</v>
          </cell>
          <cell r="AC605">
            <v>0</v>
          </cell>
          <cell r="AD605" t="str">
            <v>YES</v>
          </cell>
          <cell r="AE605">
            <v>0</v>
          </cell>
          <cell r="AF605" t="str">
            <v>GRAND WOOD (VIETNAM) CO LTD</v>
          </cell>
          <cell r="AG605" t="str">
            <v>ASHLEY FURNITURE INDUSTRIES LLC</v>
          </cell>
          <cell r="AH605" t="str">
            <v>REGULAR</v>
          </cell>
          <cell r="AI605">
            <v>45050</v>
          </cell>
          <cell r="AJ605"/>
          <cell r="AK605"/>
          <cell r="AL605">
            <v>45056</v>
          </cell>
          <cell r="AM605">
            <v>45056</v>
          </cell>
          <cell r="AN605"/>
          <cell r="AO605">
            <v>45057</v>
          </cell>
          <cell r="AP605" t="str">
            <v>ACTIVE</v>
          </cell>
        </row>
        <row r="606">
          <cell r="A606">
            <v>96231240438</v>
          </cell>
          <cell r="B606" t="str">
            <v>TY</v>
          </cell>
          <cell r="C606">
            <v>0</v>
          </cell>
          <cell r="D606">
            <v>0</v>
          </cell>
          <cell r="E606" t="str">
            <v>ELV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 t="str">
            <v>H</v>
          </cell>
          <cell r="K606" t="str">
            <v>T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 t="str">
            <v>W</v>
          </cell>
          <cell r="Q606">
            <v>0</v>
          </cell>
          <cell r="R606" t="str">
            <v>L</v>
          </cell>
          <cell r="S606">
            <v>0</v>
          </cell>
          <cell r="T606">
            <v>0</v>
          </cell>
          <cell r="U606" t="str">
            <v>A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5</v>
          </cell>
          <cell r="AB606" t="str">
            <v>H, T, W, F, L, A, Q, V</v>
          </cell>
          <cell r="AC606">
            <v>0</v>
          </cell>
          <cell r="AD606" t="str">
            <v>YES</v>
          </cell>
          <cell r="AE606">
            <v>0</v>
          </cell>
          <cell r="AF606" t="str">
            <v>DREAM INTERNATIONAL LIMITED</v>
          </cell>
          <cell r="AG606" t="str">
            <v>HONG KONG INTERNATIONAL THEME PARKS LTD</v>
          </cell>
          <cell r="AH606" t="str">
            <v>REGULAR</v>
          </cell>
          <cell r="AI606">
            <v>45050</v>
          </cell>
          <cell r="AJ606"/>
          <cell r="AK606"/>
          <cell r="AL606">
            <v>45056</v>
          </cell>
          <cell r="AM606">
            <v>45056</v>
          </cell>
          <cell r="AN606">
            <v>45057</v>
          </cell>
          <cell r="AO606">
            <v>45056</v>
          </cell>
          <cell r="AP606" t="str">
            <v>MUST</v>
          </cell>
        </row>
        <row r="607">
          <cell r="A607">
            <v>96231240439</v>
          </cell>
          <cell r="B607" t="str">
            <v>JP</v>
          </cell>
          <cell r="C607">
            <v>0</v>
          </cell>
          <cell r="D607">
            <v>0</v>
          </cell>
          <cell r="E607" t="str">
            <v>ELV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 t="str">
            <v>H</v>
          </cell>
          <cell r="K607">
            <v>0</v>
          </cell>
          <cell r="L607" t="str">
            <v>J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 t="str">
            <v>Q</v>
          </cell>
          <cell r="W607" t="str">
            <v>V</v>
          </cell>
          <cell r="X607">
            <v>0</v>
          </cell>
          <cell r="Y607">
            <v>0</v>
          </cell>
          <cell r="Z607">
            <v>0</v>
          </cell>
          <cell r="AA607">
            <v>4</v>
          </cell>
          <cell r="AB607" t="str">
            <v>H, J, Q, V</v>
          </cell>
          <cell r="AC607">
            <v>0</v>
          </cell>
          <cell r="AD607" t="str">
            <v>YES</v>
          </cell>
          <cell r="AE607">
            <v>0</v>
          </cell>
          <cell r="AF607" t="str">
            <v>DREAM ON ME INC</v>
          </cell>
          <cell r="AG607" t="str">
            <v>DREAM ON ME INC</v>
          </cell>
          <cell r="AH607" t="str">
            <v>REGULAR</v>
          </cell>
          <cell r="AI607">
            <v>45050</v>
          </cell>
          <cell r="AJ607"/>
          <cell r="AK607"/>
          <cell r="AL607">
            <v>45056</v>
          </cell>
          <cell r="AM607">
            <v>45056</v>
          </cell>
          <cell r="AN607">
            <v>45058</v>
          </cell>
          <cell r="AO607">
            <v>45057</v>
          </cell>
          <cell r="AP607" t="str">
            <v>ACTIVE</v>
          </cell>
        </row>
        <row r="608">
          <cell r="A608">
            <v>96231240440</v>
          </cell>
          <cell r="B608" t="str">
            <v>JP</v>
          </cell>
          <cell r="C608">
            <v>0</v>
          </cell>
          <cell r="D608">
            <v>0</v>
          </cell>
          <cell r="E608" t="str">
            <v>ELV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 t="str">
            <v>H</v>
          </cell>
          <cell r="K608">
            <v>0</v>
          </cell>
          <cell r="L608" t="str">
            <v>J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 t="str">
            <v>Q</v>
          </cell>
          <cell r="W608" t="str">
            <v>V</v>
          </cell>
          <cell r="X608">
            <v>0</v>
          </cell>
          <cell r="Y608">
            <v>0</v>
          </cell>
          <cell r="Z608">
            <v>0</v>
          </cell>
          <cell r="AA608">
            <v>4</v>
          </cell>
          <cell r="AB608" t="str">
            <v>H, J, Q, V</v>
          </cell>
          <cell r="AC608">
            <v>0</v>
          </cell>
          <cell r="AD608" t="str">
            <v>YES</v>
          </cell>
          <cell r="AE608">
            <v>0</v>
          </cell>
          <cell r="AF608" t="str">
            <v>DREAM ON ME INC</v>
          </cell>
          <cell r="AG608" t="str">
            <v>DREAM ON ME INC</v>
          </cell>
          <cell r="AH608" t="str">
            <v>REGULAR</v>
          </cell>
          <cell r="AI608">
            <v>45050</v>
          </cell>
          <cell r="AJ608"/>
          <cell r="AK608"/>
          <cell r="AL608">
            <v>45056</v>
          </cell>
          <cell r="AM608">
            <v>45056</v>
          </cell>
          <cell r="AN608">
            <v>45058</v>
          </cell>
          <cell r="AO608">
            <v>45057</v>
          </cell>
          <cell r="AP608" t="str">
            <v>ACTIVE</v>
          </cell>
        </row>
        <row r="609">
          <cell r="A609">
            <v>96231240447</v>
          </cell>
          <cell r="B609" t="str">
            <v>USD</v>
          </cell>
          <cell r="C609">
            <v>0</v>
          </cell>
          <cell r="D609">
            <v>0</v>
          </cell>
          <cell r="E609" t="str">
            <v>VAN</v>
          </cell>
          <cell r="F609" t="str">
            <v>MAKING 0509</v>
          </cell>
          <cell r="G609">
            <v>0</v>
          </cell>
          <cell r="H609">
            <v>0</v>
          </cell>
          <cell r="I609"/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Z</v>
          </cell>
          <cell r="AC609">
            <v>0</v>
          </cell>
          <cell r="AD609">
            <v>0</v>
          </cell>
          <cell r="AE609">
            <v>0</v>
          </cell>
          <cell r="AF609" t="str">
            <v>THUMA INC</v>
          </cell>
          <cell r="AG609" t="str">
            <v>THUMA INC</v>
          </cell>
          <cell r="AH609" t="str">
            <v>REGULAR</v>
          </cell>
          <cell r="AI609">
            <v>45050</v>
          </cell>
          <cell r="AJ609"/>
          <cell r="AK609"/>
          <cell r="AL609">
            <v>45056</v>
          </cell>
          <cell r="AM609">
            <v>45056</v>
          </cell>
          <cell r="AN609"/>
          <cell r="AO609">
            <v>45057</v>
          </cell>
          <cell r="AP609" t="str">
            <v>ACTIVE</v>
          </cell>
        </row>
        <row r="610">
          <cell r="A610">
            <v>96231240450</v>
          </cell>
          <cell r="B610" t="str">
            <v>US1-POPT</v>
          </cell>
          <cell r="C610">
            <v>0</v>
          </cell>
          <cell r="D610">
            <v>0</v>
          </cell>
          <cell r="E610" t="str">
            <v>MIN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 t="str">
            <v>N/A</v>
          </cell>
          <cell r="AG610" t="str">
            <v>THE HOME DEPOT INC</v>
          </cell>
          <cell r="AH610" t="str">
            <v>REGULAR</v>
          </cell>
          <cell r="AI610">
            <v>45050</v>
          </cell>
          <cell r="AJ610">
            <v>45050</v>
          </cell>
          <cell r="AK610"/>
          <cell r="AL610">
            <v>45050</v>
          </cell>
          <cell r="AM610">
            <v>45050</v>
          </cell>
          <cell r="AN610"/>
          <cell r="AO610">
            <v>45050</v>
          </cell>
          <cell r="AP610" t="str">
            <v>ON HOLD</v>
          </cell>
        </row>
        <row r="611">
          <cell r="A611">
            <v>96231240451</v>
          </cell>
          <cell r="B611" t="str">
            <v>US2</v>
          </cell>
          <cell r="C611">
            <v>0</v>
          </cell>
          <cell r="D611" t="str">
            <v>DUC</v>
          </cell>
          <cell r="E611" t="str">
            <v>VAN</v>
          </cell>
          <cell r="F611" t="str">
            <v>DONE 0509
MAKING 0508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R</v>
          </cell>
          <cell r="AC611">
            <v>0</v>
          </cell>
          <cell r="AD611">
            <v>0</v>
          </cell>
          <cell r="AE611">
            <v>0</v>
          </cell>
          <cell r="AF611" t="str">
            <v>SAI GON RIVER FACTORY VIETNAM</v>
          </cell>
          <cell r="AG611" t="str">
            <v>SAI GON RIVER FACTORY VIETNAM</v>
          </cell>
          <cell r="AH611" t="str">
            <v>REGULAR</v>
          </cell>
          <cell r="AI611">
            <v>45051</v>
          </cell>
          <cell r="AJ611"/>
          <cell r="AK611"/>
          <cell r="AL611">
            <v>45057</v>
          </cell>
          <cell r="AM611">
            <v>45057</v>
          </cell>
          <cell r="AN611"/>
          <cell r="AO611">
            <v>45058</v>
          </cell>
          <cell r="AP611" t="str">
            <v>ACTIVE</v>
          </cell>
        </row>
        <row r="612">
          <cell r="A612">
            <v>96231240459</v>
          </cell>
          <cell r="B612" t="str">
            <v>TY</v>
          </cell>
          <cell r="C612">
            <v>0</v>
          </cell>
          <cell r="D612">
            <v>0</v>
          </cell>
          <cell r="E612" t="str">
            <v>ELV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 t="str">
            <v>T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 t="str">
            <v>W</v>
          </cell>
          <cell r="Q612">
            <v>0</v>
          </cell>
          <cell r="R612" t="str">
            <v>L</v>
          </cell>
          <cell r="S612">
            <v>0</v>
          </cell>
          <cell r="T612">
            <v>0</v>
          </cell>
          <cell r="U612" t="str">
            <v>A</v>
          </cell>
          <cell r="V612" t="str">
            <v>Q</v>
          </cell>
          <cell r="W612" t="str">
            <v>V</v>
          </cell>
          <cell r="X612">
            <v>0</v>
          </cell>
          <cell r="Y612">
            <v>0</v>
          </cell>
          <cell r="Z612">
            <v>0</v>
          </cell>
          <cell r="AA612">
            <v>6</v>
          </cell>
          <cell r="AB612" t="str">
            <v>T, W, F, L, A, Q, V</v>
          </cell>
          <cell r="AC612">
            <v>0</v>
          </cell>
          <cell r="AD612" t="str">
            <v>YES</v>
          </cell>
          <cell r="AE612" t="str">
            <v xml:space="preserve">0509: Send PI to vendor </v>
          </cell>
          <cell r="AF612" t="str">
            <v>DREAM INTERNATIONAL LIMITED</v>
          </cell>
          <cell r="AG612" t="str">
            <v>EURO DISNEY ASSOCIES S.A.S</v>
          </cell>
          <cell r="AH612" t="str">
            <v>REGULAR</v>
          </cell>
          <cell r="AI612">
            <v>45051</v>
          </cell>
          <cell r="AJ612"/>
          <cell r="AK612"/>
          <cell r="AL612">
            <v>45057</v>
          </cell>
          <cell r="AM612">
            <v>45057</v>
          </cell>
          <cell r="AN612">
            <v>45058</v>
          </cell>
          <cell r="AO612">
            <v>45057</v>
          </cell>
          <cell r="AP612" t="str">
            <v>ON HOLD</v>
          </cell>
        </row>
        <row r="613">
          <cell r="A613">
            <v>96231240511</v>
          </cell>
          <cell r="B613" t="str">
            <v>EE-QTY</v>
          </cell>
          <cell r="C613">
            <v>0</v>
          </cell>
          <cell r="D613">
            <v>0</v>
          </cell>
          <cell r="E613" t="str">
            <v>LYNN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EE REPORT</v>
          </cell>
          <cell r="AC613">
            <v>0</v>
          </cell>
          <cell r="AD613">
            <v>0</v>
          </cell>
          <cell r="AE613">
            <v>0</v>
          </cell>
          <cell r="AF613" t="str">
            <v>LIBRA PACIFIC CO LTD (TAIWAN).</v>
          </cell>
          <cell r="AG613" t="str">
            <v>SAM'S CLUB</v>
          </cell>
          <cell r="AH613" t="str">
            <v>REGULAR</v>
          </cell>
          <cell r="AI613">
            <v>45051</v>
          </cell>
          <cell r="AJ613">
            <v>45054</v>
          </cell>
          <cell r="AK613"/>
          <cell r="AL613">
            <v>45050</v>
          </cell>
          <cell r="AM613">
            <v>45050</v>
          </cell>
          <cell r="AN613"/>
          <cell r="AO613">
            <v>45050</v>
          </cell>
          <cell r="AP613" t="str">
            <v>ON HOLD</v>
          </cell>
        </row>
        <row r="614">
          <cell r="A614">
            <v>96231250015</v>
          </cell>
          <cell r="B614" t="str">
            <v>JP</v>
          </cell>
          <cell r="C614">
            <v>0</v>
          </cell>
          <cell r="D614">
            <v>0</v>
          </cell>
          <cell r="E614" t="str">
            <v>VAN</v>
          </cell>
          <cell r="F614" t="str">
            <v>FIRST MAKING 0508-AN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 t="str">
            <v>Q</v>
          </cell>
          <cell r="W614" t="str">
            <v>V</v>
          </cell>
          <cell r="X614">
            <v>0</v>
          </cell>
          <cell r="Y614">
            <v>0</v>
          </cell>
          <cell r="Z614">
            <v>0</v>
          </cell>
          <cell r="AA614">
            <v>2</v>
          </cell>
          <cell r="AB614" t="str">
            <v>Q, V</v>
          </cell>
          <cell r="AC614">
            <v>0</v>
          </cell>
          <cell r="AD614" t="str">
            <v>YES</v>
          </cell>
          <cell r="AE614">
            <v>0</v>
          </cell>
          <cell r="AF614" t="str">
            <v>MILLION DOLLAR BABY</v>
          </cell>
          <cell r="AG614" t="str">
            <v>MILLION DOLLAR BABY</v>
          </cell>
          <cell r="AH614" t="str">
            <v>REGULAR</v>
          </cell>
          <cell r="AI614">
            <v>45051</v>
          </cell>
          <cell r="AJ614"/>
          <cell r="AK614"/>
          <cell r="AL614">
            <v>45057</v>
          </cell>
          <cell r="AM614">
            <v>45057</v>
          </cell>
          <cell r="AN614"/>
          <cell r="AO614">
            <v>45058</v>
          </cell>
          <cell r="AP614" t="str">
            <v>ACTIVE</v>
          </cell>
        </row>
        <row r="615">
          <cell r="A615">
            <v>96231250016</v>
          </cell>
          <cell r="B615" t="str">
            <v>TY</v>
          </cell>
          <cell r="C615">
            <v>0</v>
          </cell>
          <cell r="D615">
            <v>0</v>
          </cell>
          <cell r="E615" t="str">
            <v>ELV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 t="str">
            <v>T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 t="str">
            <v>W</v>
          </cell>
          <cell r="Q615" t="str">
            <v>F</v>
          </cell>
          <cell r="R615" t="str">
            <v>L</v>
          </cell>
          <cell r="S615">
            <v>0</v>
          </cell>
          <cell r="T615">
            <v>0</v>
          </cell>
          <cell r="U615" t="str">
            <v>A</v>
          </cell>
          <cell r="V615" t="str">
            <v>Q</v>
          </cell>
          <cell r="W615" t="str">
            <v>V</v>
          </cell>
          <cell r="X615">
            <v>0</v>
          </cell>
          <cell r="Y615">
            <v>0</v>
          </cell>
          <cell r="Z615">
            <v>0</v>
          </cell>
          <cell r="AA615">
            <v>7</v>
          </cell>
          <cell r="AB615" t="str">
            <v>T, W, F, L, A, Q, V</v>
          </cell>
          <cell r="AC615">
            <v>0</v>
          </cell>
          <cell r="AD615" t="str">
            <v>YES</v>
          </cell>
          <cell r="AE615">
            <v>0</v>
          </cell>
          <cell r="AF615" t="str">
            <v>DREAM INTERNATIONAL LIMITED</v>
          </cell>
          <cell r="AG615" t="str">
            <v>EURO DISNEY ASSOCIES S.A.S</v>
          </cell>
          <cell r="AH615" t="str">
            <v>REGULAR</v>
          </cell>
          <cell r="AI615">
            <v>45051</v>
          </cell>
          <cell r="AJ615"/>
          <cell r="AK615"/>
          <cell r="AL615">
            <v>45057</v>
          </cell>
          <cell r="AM615">
            <v>45057</v>
          </cell>
          <cell r="AN615">
            <v>45058</v>
          </cell>
          <cell r="AO615">
            <v>45057</v>
          </cell>
          <cell r="AP615" t="str">
            <v>ACTIVE</v>
          </cell>
        </row>
        <row r="616">
          <cell r="A616">
            <v>96231250049</v>
          </cell>
          <cell r="B616" t="str">
            <v>US2</v>
          </cell>
          <cell r="C616">
            <v>0</v>
          </cell>
          <cell r="D616">
            <v>0</v>
          </cell>
          <cell r="E616" t="str">
            <v>SHE</v>
          </cell>
          <cell r="F616">
            <v>0</v>
          </cell>
          <cell r="G616">
            <v>0</v>
          </cell>
          <cell r="H616" t="str">
            <v>E</v>
          </cell>
          <cell r="I616">
            <v>0</v>
          </cell>
          <cell r="J616" t="str">
            <v>H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2</v>
          </cell>
          <cell r="AB616" t="str">
            <v>H, E</v>
          </cell>
          <cell r="AC616">
            <v>0</v>
          </cell>
          <cell r="AD616">
            <v>0</v>
          </cell>
          <cell r="AE616">
            <v>0</v>
          </cell>
          <cell r="AF616" t="str">
            <v>CUONG THINH CO LTD</v>
          </cell>
          <cell r="AG616" t="str">
            <v>CUONG THINH CO LTD</v>
          </cell>
          <cell r="AH616" t="str">
            <v>REGULAR</v>
          </cell>
          <cell r="AI616">
            <v>45051</v>
          </cell>
          <cell r="AJ616">
            <v>45051</v>
          </cell>
          <cell r="AK616">
            <v>45051</v>
          </cell>
          <cell r="AL616">
            <v>45057</v>
          </cell>
          <cell r="AM616">
            <v>45057</v>
          </cell>
          <cell r="AN616">
            <v>45057</v>
          </cell>
          <cell r="AO616">
            <v>45058</v>
          </cell>
          <cell r="AP616" t="str">
            <v>OFF HOLD</v>
          </cell>
        </row>
        <row r="617">
          <cell r="A617">
            <v>96231250057</v>
          </cell>
          <cell r="B617" t="str">
            <v>CD</v>
          </cell>
          <cell r="C617">
            <v>0</v>
          </cell>
          <cell r="D617">
            <v>0</v>
          </cell>
          <cell r="E617" t="str">
            <v>MIN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 t="str">
            <v>NO</v>
          </cell>
          <cell r="AE617">
            <v>0</v>
          </cell>
          <cell r="AF617" t="str">
            <v>MARCORP MARKETING CONSULTANTS (PTY) LTD</v>
          </cell>
          <cell r="AG617" t="str">
            <v>WAL-MART.COM USA, LLC</v>
          </cell>
          <cell r="AH617" t="str">
            <v>REGULAR</v>
          </cell>
          <cell r="AI617">
            <v>45051</v>
          </cell>
          <cell r="AJ617">
            <v>45051</v>
          </cell>
          <cell r="AK617"/>
          <cell r="AL617">
            <v>45051</v>
          </cell>
          <cell r="AM617">
            <v>45051</v>
          </cell>
          <cell r="AN617"/>
          <cell r="AO617">
            <v>45051</v>
          </cell>
          <cell r="AP617" t="str">
            <v>ON HOLD</v>
          </cell>
        </row>
        <row r="618">
          <cell r="A618">
            <v>96231250077</v>
          </cell>
          <cell r="B618" t="str">
            <v>CD</v>
          </cell>
          <cell r="C618">
            <v>0</v>
          </cell>
          <cell r="D618">
            <v>0</v>
          </cell>
          <cell r="E618" t="str">
            <v>FLO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 t="str">
            <v>H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 t="str">
            <v>M</v>
          </cell>
          <cell r="T618">
            <v>0</v>
          </cell>
          <cell r="U618">
            <v>0</v>
          </cell>
          <cell r="V618" t="str">
            <v>Q</v>
          </cell>
          <cell r="W618" t="str">
            <v>V</v>
          </cell>
          <cell r="X618">
            <v>0</v>
          </cell>
          <cell r="Y618">
            <v>0</v>
          </cell>
          <cell r="Z618">
            <v>0</v>
          </cell>
          <cell r="AA618">
            <v>4</v>
          </cell>
          <cell r="AB618" t="str">
            <v>H, M, Q, V</v>
          </cell>
          <cell r="AC618">
            <v>0</v>
          </cell>
          <cell r="AD618">
            <v>0</v>
          </cell>
          <cell r="AE618" t="str">
            <v>05/06: clarify test</v>
          </cell>
          <cell r="AF618" t="str">
            <v>CASABLANCA JOINT STOCK COMPANY</v>
          </cell>
          <cell r="AG618" t="str">
            <v>BASS PRO SHOPS</v>
          </cell>
          <cell r="AH618" t="str">
            <v>REGULAR</v>
          </cell>
          <cell r="AI618">
            <v>45051</v>
          </cell>
          <cell r="AJ618">
            <v>45052</v>
          </cell>
          <cell r="AK618"/>
          <cell r="AL618">
            <v>45055</v>
          </cell>
          <cell r="AM618">
            <v>45055</v>
          </cell>
          <cell r="AN618"/>
          <cell r="AO618">
            <v>45056</v>
          </cell>
          <cell r="AP618" t="str">
            <v>ON HOLD</v>
          </cell>
        </row>
        <row r="619">
          <cell r="A619">
            <v>96231250086</v>
          </cell>
          <cell r="B619" t="str">
            <v>CD</v>
          </cell>
          <cell r="C619">
            <v>0</v>
          </cell>
          <cell r="D619">
            <v>0</v>
          </cell>
          <cell r="E619" t="str">
            <v>SHE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 t="str">
            <v>H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 t="str">
            <v>Q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2</v>
          </cell>
          <cell r="AB619" t="str">
            <v>H, Q</v>
          </cell>
          <cell r="AC619">
            <v>0</v>
          </cell>
          <cell r="AD619">
            <v>0</v>
          </cell>
          <cell r="AE619">
            <v>0</v>
          </cell>
          <cell r="AF619" t="str">
            <v>SEQUIN LLC</v>
          </cell>
          <cell r="AG619" t="str">
            <v>TARGET CORPORATION</v>
          </cell>
          <cell r="AH619" t="str">
            <v>REGULAR</v>
          </cell>
          <cell r="AI619">
            <v>45051</v>
          </cell>
          <cell r="AJ619"/>
          <cell r="AK619"/>
          <cell r="AL619">
            <v>45055</v>
          </cell>
          <cell r="AM619">
            <v>45055</v>
          </cell>
          <cell r="AN619">
            <v>45059</v>
          </cell>
          <cell r="AO619">
            <v>45056</v>
          </cell>
          <cell r="AP619" t="str">
            <v>MUST</v>
          </cell>
        </row>
        <row r="620">
          <cell r="A620">
            <v>96231250094</v>
          </cell>
          <cell r="B620" t="str">
            <v>TY-53231010032</v>
          </cell>
          <cell r="C620">
            <v>0</v>
          </cell>
          <cell r="D620">
            <v>0</v>
          </cell>
          <cell r="E620" t="str">
            <v>VAN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 t="str">
            <v>T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1</v>
          </cell>
          <cell r="AB620" t="str">
            <v>T</v>
          </cell>
          <cell r="AC620">
            <v>0</v>
          </cell>
          <cell r="AD620">
            <v>0</v>
          </cell>
          <cell r="AE620" t="str">
            <v>5/9: no CS pend</v>
          </cell>
          <cell r="AF620" t="str">
            <v>BUREAU VERITAS SINGAPORE (PTE) LTD - CPS</v>
          </cell>
          <cell r="AG620" t="str">
            <v>BUREAU VERITAS SINGAPORE (PTE) LTD - CPS</v>
          </cell>
          <cell r="AH620" t="str">
            <v>REGULAR</v>
          </cell>
          <cell r="AI620">
            <v>45051</v>
          </cell>
          <cell r="AJ620"/>
          <cell r="AK620"/>
          <cell r="AL620">
            <v>45057</v>
          </cell>
          <cell r="AM620">
            <v>45057</v>
          </cell>
          <cell r="AN620"/>
          <cell r="AO620">
            <v>45058</v>
          </cell>
          <cell r="AP620" t="str">
            <v>ACTIVE</v>
          </cell>
        </row>
        <row r="621">
          <cell r="A621">
            <v>96231250129</v>
          </cell>
          <cell r="B621" t="str">
            <v>US2</v>
          </cell>
          <cell r="C621">
            <v>0</v>
          </cell>
          <cell r="D621">
            <v>0</v>
          </cell>
          <cell r="E621" t="str">
            <v>VAN</v>
          </cell>
          <cell r="F621" t="str">
            <v>FIRST MAKING 0508-SL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 t="str">
            <v>F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1</v>
          </cell>
          <cell r="AB621" t="str">
            <v>R, F</v>
          </cell>
          <cell r="AC621">
            <v>0</v>
          </cell>
          <cell r="AD621">
            <v>0</v>
          </cell>
          <cell r="AE621">
            <v>0</v>
          </cell>
          <cell r="AF621" t="str">
            <v>VINH PHAT FURNITURE COMPANY LIMITED</v>
          </cell>
          <cell r="AG621" t="str">
            <v>MARMAXX GROUP</v>
          </cell>
          <cell r="AH621" t="str">
            <v>REGULAR</v>
          </cell>
          <cell r="AI621">
            <v>45051</v>
          </cell>
          <cell r="AJ621"/>
          <cell r="AK621"/>
          <cell r="AL621">
            <v>45057</v>
          </cell>
          <cell r="AM621">
            <v>45057</v>
          </cell>
          <cell r="AN621"/>
          <cell r="AO621">
            <v>45058</v>
          </cell>
          <cell r="AP621" t="str">
            <v>ACTIVE</v>
          </cell>
        </row>
        <row r="622">
          <cell r="A622">
            <v>96231250162</v>
          </cell>
          <cell r="B622" t="str">
            <v>US1</v>
          </cell>
          <cell r="C622">
            <v>0</v>
          </cell>
          <cell r="D622">
            <v>0</v>
          </cell>
          <cell r="E622" t="str">
            <v>MIN</v>
          </cell>
          <cell r="F622">
            <v>0</v>
          </cell>
          <cell r="G622" t="str">
            <v>R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1</v>
          </cell>
          <cell r="AB622" t="str">
            <v>R</v>
          </cell>
          <cell r="AC622">
            <v>0</v>
          </cell>
          <cell r="AD622">
            <v>0</v>
          </cell>
          <cell r="AE622">
            <v>0</v>
          </cell>
          <cell r="AF622" t="str">
            <v>ALL STRONG INDUSTRY (USA), INC</v>
          </cell>
          <cell r="AG622" t="str">
            <v>ALL STRONG INDUSTRY (USA), INC</v>
          </cell>
          <cell r="AH622" t="str">
            <v>REGULAR</v>
          </cell>
          <cell r="AI622">
            <v>45051</v>
          </cell>
          <cell r="AJ622"/>
          <cell r="AK622"/>
          <cell r="AL622">
            <v>45057</v>
          </cell>
          <cell r="AM622">
            <v>45057</v>
          </cell>
          <cell r="AN622"/>
          <cell r="AO622">
            <v>45058</v>
          </cell>
          <cell r="AP622" t="str">
            <v>ACTIVE</v>
          </cell>
        </row>
        <row r="623">
          <cell r="A623">
            <v>96231250163</v>
          </cell>
          <cell r="B623" t="str">
            <v>US2-UV TEST BATCH</v>
          </cell>
          <cell r="C623">
            <v>0</v>
          </cell>
          <cell r="D623">
            <v>0</v>
          </cell>
          <cell r="E623" t="str">
            <v>SHE</v>
          </cell>
          <cell r="F623">
            <v>0</v>
          </cell>
          <cell r="G623" t="str">
            <v>R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1</v>
          </cell>
          <cell r="AB623" t="str">
            <v>R</v>
          </cell>
          <cell r="AC623">
            <v>0</v>
          </cell>
          <cell r="AD623">
            <v>0</v>
          </cell>
          <cell r="AE623">
            <v>0</v>
          </cell>
          <cell r="AF623" t="str">
            <v>GLORY OCEANIC (VIETNAM) CO LTD</v>
          </cell>
          <cell r="AG623" t="str">
            <v>ASHLEY FURNITURE INDUSTRIES LLC</v>
          </cell>
          <cell r="AH623" t="str">
            <v>REGULAR</v>
          </cell>
          <cell r="AI623">
            <v>45051</v>
          </cell>
          <cell r="AJ623"/>
          <cell r="AK623"/>
          <cell r="AL623">
            <v>45057</v>
          </cell>
          <cell r="AM623">
            <v>45057</v>
          </cell>
          <cell r="AN623"/>
          <cell r="AO623">
            <v>45058</v>
          </cell>
          <cell r="AP623" t="str">
            <v>ACTIVE</v>
          </cell>
        </row>
        <row r="624">
          <cell r="A624">
            <v>96231250164</v>
          </cell>
          <cell r="B624" t="str">
            <v>US1</v>
          </cell>
          <cell r="C624">
            <v>0</v>
          </cell>
          <cell r="D624">
            <v>0</v>
          </cell>
          <cell r="E624" t="str">
            <v>MIN</v>
          </cell>
          <cell r="F624">
            <v>0</v>
          </cell>
          <cell r="G624" t="str">
            <v>R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1</v>
          </cell>
          <cell r="AB624" t="str">
            <v>R</v>
          </cell>
          <cell r="AC624">
            <v>0</v>
          </cell>
          <cell r="AD624">
            <v>0</v>
          </cell>
          <cell r="AE624">
            <v>0</v>
          </cell>
          <cell r="AF624" t="str">
            <v>ALL STRONG INDUSTRY (USA), INC</v>
          </cell>
          <cell r="AG624" t="str">
            <v>ALL STRONG INDUSTRY (USA), INC</v>
          </cell>
          <cell r="AH624" t="str">
            <v>REGULAR</v>
          </cell>
          <cell r="AI624">
            <v>45051</v>
          </cell>
          <cell r="AJ624"/>
          <cell r="AK624"/>
          <cell r="AL624">
            <v>45057</v>
          </cell>
          <cell r="AM624">
            <v>45057</v>
          </cell>
          <cell r="AN624"/>
          <cell r="AO624">
            <v>45058</v>
          </cell>
          <cell r="AP624" t="str">
            <v>ACTIVE</v>
          </cell>
        </row>
        <row r="625">
          <cell r="A625">
            <v>96231250165</v>
          </cell>
          <cell r="B625" t="str">
            <v>US1</v>
          </cell>
          <cell r="C625">
            <v>0</v>
          </cell>
          <cell r="D625">
            <v>0</v>
          </cell>
          <cell r="E625" t="str">
            <v>MIN</v>
          </cell>
          <cell r="F625">
            <v>0</v>
          </cell>
          <cell r="G625" t="str">
            <v>R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1</v>
          </cell>
          <cell r="AB625" t="str">
            <v>R</v>
          </cell>
          <cell r="AC625">
            <v>0</v>
          </cell>
          <cell r="AD625">
            <v>0</v>
          </cell>
          <cell r="AE625">
            <v>0</v>
          </cell>
          <cell r="AF625" t="str">
            <v>ALL STRONG INDUSTRY (USA), INC</v>
          </cell>
          <cell r="AG625" t="str">
            <v>ALL STRONG INDUSTRY (USA), INC</v>
          </cell>
          <cell r="AH625" t="str">
            <v>REGULAR</v>
          </cell>
          <cell r="AI625">
            <v>45051</v>
          </cell>
          <cell r="AJ625"/>
          <cell r="AK625"/>
          <cell r="AL625">
            <v>45057</v>
          </cell>
          <cell r="AM625">
            <v>45057</v>
          </cell>
          <cell r="AN625"/>
          <cell r="AO625">
            <v>45058</v>
          </cell>
          <cell r="AP625" t="str">
            <v>ACTIVE</v>
          </cell>
        </row>
        <row r="626">
          <cell r="A626">
            <v>96231250173</v>
          </cell>
          <cell r="B626" t="str">
            <v>TY</v>
          </cell>
          <cell r="C626">
            <v>0</v>
          </cell>
          <cell r="D626">
            <v>0</v>
          </cell>
          <cell r="E626" t="str">
            <v>SHE</v>
          </cell>
          <cell r="F626" t="str">
            <v>FIRST MAKING 0509-AN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 t="str">
            <v>Q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1</v>
          </cell>
          <cell r="AB626" t="str">
            <v>Q</v>
          </cell>
          <cell r="AC626">
            <v>0</v>
          </cell>
          <cell r="AD626">
            <v>0</v>
          </cell>
          <cell r="AE626" t="str">
            <v>5/5: locked account, OVERDUE PAYMENT</v>
          </cell>
          <cell r="AF626" t="str">
            <v>COTEC PLASTIC COMPANY LTD</v>
          </cell>
          <cell r="AG626" t="str">
            <v>COTEC PLASTIC COMPANY LTD</v>
          </cell>
          <cell r="AH626" t="str">
            <v>REGULAR</v>
          </cell>
          <cell r="AI626">
            <v>45051</v>
          </cell>
          <cell r="AJ626">
            <v>45051</v>
          </cell>
          <cell r="AK626">
            <v>45054</v>
          </cell>
          <cell r="AL626">
            <v>45058</v>
          </cell>
          <cell r="AM626">
            <v>45058</v>
          </cell>
          <cell r="AN626"/>
          <cell r="AO626">
            <v>45059</v>
          </cell>
          <cell r="AP626" t="str">
            <v>OFF HOLD</v>
          </cell>
        </row>
        <row r="627">
          <cell r="A627">
            <v>96231250175</v>
          </cell>
          <cell r="B627" t="str">
            <v>US2-UV TEST BATCH</v>
          </cell>
          <cell r="C627">
            <v>0</v>
          </cell>
          <cell r="D627">
            <v>0</v>
          </cell>
          <cell r="E627" t="str">
            <v>SHE</v>
          </cell>
          <cell r="F627">
            <v>0</v>
          </cell>
          <cell r="G627" t="str">
            <v>R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1</v>
          </cell>
          <cell r="AB627" t="str">
            <v>R</v>
          </cell>
          <cell r="AC627">
            <v>0</v>
          </cell>
          <cell r="AD627">
            <v>0</v>
          </cell>
          <cell r="AE627">
            <v>0</v>
          </cell>
          <cell r="AF627" t="str">
            <v>GLORY OCEANIC (VIETNAM) CO LTD</v>
          </cell>
          <cell r="AG627" t="str">
            <v>ASHLEY FURNITURE INDUSTRIES LLC</v>
          </cell>
          <cell r="AH627" t="str">
            <v>REGULAR</v>
          </cell>
          <cell r="AI627">
            <v>45051</v>
          </cell>
          <cell r="AJ627"/>
          <cell r="AK627"/>
          <cell r="AL627">
            <v>45057</v>
          </cell>
          <cell r="AM627">
            <v>45057</v>
          </cell>
          <cell r="AN627"/>
          <cell r="AO627">
            <v>45058</v>
          </cell>
          <cell r="AP627" t="str">
            <v>ACTIVE</v>
          </cell>
        </row>
        <row r="628">
          <cell r="A628">
            <v>96231250195</v>
          </cell>
          <cell r="B628" t="str">
            <v>US2</v>
          </cell>
          <cell r="C628">
            <v>0</v>
          </cell>
          <cell r="D628">
            <v>0</v>
          </cell>
          <cell r="E628" t="str">
            <v>SHE</v>
          </cell>
          <cell r="F628">
            <v>0</v>
          </cell>
          <cell r="G628" t="str">
            <v>R</v>
          </cell>
          <cell r="H628">
            <v>0</v>
          </cell>
          <cell r="I628">
            <v>0</v>
          </cell>
          <cell r="J628" t="str">
            <v>H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 t="str">
            <v>Q</v>
          </cell>
          <cell r="W628" t="str">
            <v>V</v>
          </cell>
          <cell r="X628">
            <v>0</v>
          </cell>
          <cell r="Y628">
            <v>0</v>
          </cell>
          <cell r="Z628">
            <v>0</v>
          </cell>
          <cell r="AA628">
            <v>4</v>
          </cell>
          <cell r="AB628" t="str">
            <v>H, R, Q, V</v>
          </cell>
          <cell r="AC628">
            <v>0</v>
          </cell>
          <cell r="AD628">
            <v>0</v>
          </cell>
          <cell r="AE628" t="str">
            <v>5/8: wait confirm pi, 5/8: off, 5/6: wait label, carton</v>
          </cell>
          <cell r="AF628" t="str">
            <v>VINH DAT FINE ARTS CO LTD</v>
          </cell>
          <cell r="AG628" t="str">
            <v>HOBBY LOBBY STORES, INC.</v>
          </cell>
          <cell r="AH628" t="str">
            <v>REGULAR</v>
          </cell>
          <cell r="AI628">
            <v>45051</v>
          </cell>
          <cell r="AJ628">
            <v>45052</v>
          </cell>
          <cell r="AK628"/>
          <cell r="AL628">
            <v>45057</v>
          </cell>
          <cell r="AM628">
            <v>45057</v>
          </cell>
          <cell r="AN628"/>
          <cell r="AO628">
            <v>45058</v>
          </cell>
          <cell r="AP628" t="str">
            <v>ON HOLD</v>
          </cell>
        </row>
        <row r="629">
          <cell r="A629">
            <v>96231250209</v>
          </cell>
          <cell r="B629" t="str">
            <v>EU-RF RESULT96231100483</v>
          </cell>
          <cell r="C629">
            <v>0</v>
          </cell>
          <cell r="D629">
            <v>0</v>
          </cell>
          <cell r="E629" t="str">
            <v>SHE</v>
          </cell>
          <cell r="F629" t="str">
            <v>MAKING 0509</v>
          </cell>
          <cell r="G629">
            <v>0</v>
          </cell>
          <cell r="H629"/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/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F</v>
          </cell>
          <cell r="AC629">
            <v>0</v>
          </cell>
          <cell r="AD629" t="str">
            <v>YES</v>
          </cell>
          <cell r="AE629">
            <v>0</v>
          </cell>
          <cell r="AF629" t="str">
            <v>GARDENLINE INTERNATIONAL PTY LTD</v>
          </cell>
          <cell r="AG629" t="str">
            <v>GARDENLINE INTERNATIONAL PTY LTD</v>
          </cell>
          <cell r="AH629" t="str">
            <v>REGULAR</v>
          </cell>
          <cell r="AI629">
            <v>45051</v>
          </cell>
          <cell r="AJ629"/>
          <cell r="AK629"/>
          <cell r="AL629">
            <v>45057</v>
          </cell>
          <cell r="AM629">
            <v>45057</v>
          </cell>
          <cell r="AN629"/>
          <cell r="AO629">
            <v>45058</v>
          </cell>
          <cell r="AP629" t="str">
            <v>ACTIVE</v>
          </cell>
        </row>
        <row r="630">
          <cell r="A630">
            <v>96231250215</v>
          </cell>
          <cell r="B630" t="str">
            <v>AN</v>
          </cell>
          <cell r="C630">
            <v>0</v>
          </cell>
          <cell r="D630">
            <v>0</v>
          </cell>
          <cell r="E630" t="str">
            <v>VAN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 HANDLE</v>
          </cell>
          <cell r="AC630">
            <v>0</v>
          </cell>
          <cell r="AD630">
            <v>0</v>
          </cell>
          <cell r="AE630">
            <v>0</v>
          </cell>
          <cell r="AF630" t="str">
            <v>TRUONG GIANG CO LTD</v>
          </cell>
          <cell r="AG630" t="str">
            <v>TRUONG GIANG CO LTD</v>
          </cell>
          <cell r="AH630" t="str">
            <v>REGULAR</v>
          </cell>
          <cell r="AI630">
            <v>45051</v>
          </cell>
          <cell r="AJ630"/>
          <cell r="AK630"/>
          <cell r="AL630">
            <v>45056</v>
          </cell>
          <cell r="AM630">
            <v>45056</v>
          </cell>
          <cell r="AN630"/>
          <cell r="AO630">
            <v>45057</v>
          </cell>
          <cell r="AP630" t="str">
            <v>AN HANDLE</v>
          </cell>
        </row>
        <row r="631">
          <cell r="A631">
            <v>96231250254</v>
          </cell>
          <cell r="B631" t="str">
            <v>USD</v>
          </cell>
          <cell r="C631" t="str">
            <v>done</v>
          </cell>
          <cell r="D631" t="str">
            <v>DUC</v>
          </cell>
          <cell r="E631" t="str">
            <v>TAN</v>
          </cell>
          <cell r="F631" t="str">
            <v>DONE 0508
MAKING 0508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Z</v>
          </cell>
          <cell r="AC631">
            <v>0</v>
          </cell>
          <cell r="AD631">
            <v>0</v>
          </cell>
          <cell r="AE631">
            <v>0</v>
          </cell>
          <cell r="AF631" t="str">
            <v>AMTRAN VIETNAM TECHNOLOGY CO LTD</v>
          </cell>
          <cell r="AG631" t="str">
            <v>GLOBAL SELLERS PROGRAM</v>
          </cell>
          <cell r="AH631" t="str">
            <v>REGULAR</v>
          </cell>
          <cell r="AI631">
            <v>45051</v>
          </cell>
          <cell r="AJ631"/>
          <cell r="AK631"/>
          <cell r="AL631">
            <v>45057</v>
          </cell>
          <cell r="AM631">
            <v>45057</v>
          </cell>
          <cell r="AN631"/>
          <cell r="AO631">
            <v>45058</v>
          </cell>
          <cell r="AP631" t="str">
            <v>ACTIVE</v>
          </cell>
        </row>
        <row r="632">
          <cell r="A632">
            <v>96231250255</v>
          </cell>
          <cell r="B632" t="str">
            <v>USD</v>
          </cell>
          <cell r="C632" t="str">
            <v>done</v>
          </cell>
          <cell r="D632" t="str">
            <v>NGHIA</v>
          </cell>
          <cell r="E632" t="str">
            <v>FLO</v>
          </cell>
          <cell r="F632" t="str">
            <v>DONE 0508
MAKING 0506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Z</v>
          </cell>
          <cell r="AC632">
            <v>0</v>
          </cell>
          <cell r="AD632" t="str">
            <v>YES</v>
          </cell>
          <cell r="AE632">
            <v>0</v>
          </cell>
          <cell r="AF632" t="str">
            <v>LIVING STYLE (SINGAPORE) PTE LIMITED</v>
          </cell>
          <cell r="AG632" t="str">
            <v>LIVING STYLE (SINGAPORE) PTE LIMITED</v>
          </cell>
          <cell r="AH632" t="str">
            <v>REGULAR</v>
          </cell>
          <cell r="AI632">
            <v>45051</v>
          </cell>
          <cell r="AJ632"/>
          <cell r="AK632"/>
          <cell r="AL632">
            <v>45057</v>
          </cell>
          <cell r="AM632">
            <v>45057</v>
          </cell>
          <cell r="AN632"/>
          <cell r="AO632">
            <v>45058</v>
          </cell>
          <cell r="AP632" t="str">
            <v>ACTIVE</v>
          </cell>
        </row>
        <row r="633">
          <cell r="A633">
            <v>96231250256</v>
          </cell>
          <cell r="B633" t="str">
            <v>AN</v>
          </cell>
          <cell r="C633">
            <v>0</v>
          </cell>
          <cell r="D633">
            <v>0</v>
          </cell>
          <cell r="E633" t="str">
            <v>FLO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  <cell r="S633">
            <v>0</v>
          </cell>
          <cell r="T633">
            <v>0</v>
          </cell>
          <cell r="U633" t="str">
            <v>A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0</v>
          </cell>
          <cell r="AA633">
            <v>1</v>
          </cell>
          <cell r="AB633" t="str">
            <v>AN HANDLE</v>
          </cell>
          <cell r="AC633">
            <v>0</v>
          </cell>
          <cell r="AD633" t="str">
            <v>YES</v>
          </cell>
          <cell r="AE633">
            <v>0</v>
          </cell>
          <cell r="AF633" t="str">
            <v>LIVING STYLE (SINGAPORE) PTE LIMITED</v>
          </cell>
          <cell r="AG633" t="str">
            <v>LIVING STYLE (SINGAPORE) PTE LIMITED</v>
          </cell>
          <cell r="AH633" t="str">
            <v>REGULAR</v>
          </cell>
          <cell r="AI633">
            <v>45051</v>
          </cell>
          <cell r="AJ633">
            <v>45051</v>
          </cell>
          <cell r="AK633">
            <v>45054</v>
          </cell>
          <cell r="AL633">
            <v>45068</v>
          </cell>
          <cell r="AM633">
            <v>45068</v>
          </cell>
          <cell r="AN633"/>
          <cell r="AO633">
            <v>45069</v>
          </cell>
          <cell r="AP633" t="str">
            <v>AN HANDLE</v>
          </cell>
        </row>
        <row r="634">
          <cell r="A634">
            <v>96231250257</v>
          </cell>
          <cell r="B634" t="str">
            <v>US2</v>
          </cell>
          <cell r="C634">
            <v>0</v>
          </cell>
          <cell r="D634">
            <v>0</v>
          </cell>
          <cell r="E634" t="str">
            <v>FLO</v>
          </cell>
          <cell r="F634">
            <v>0</v>
          </cell>
          <cell r="G634" t="str">
            <v>R</v>
          </cell>
          <cell r="H634">
            <v>0</v>
          </cell>
          <cell r="I634">
            <v>0</v>
          </cell>
          <cell r="J634" t="str">
            <v>H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 t="str">
            <v>P</v>
          </cell>
          <cell r="P634">
            <v>0</v>
          </cell>
          <cell r="Q634" t="str">
            <v>F</v>
          </cell>
          <cell r="R634">
            <v>0</v>
          </cell>
          <cell r="S634">
            <v>0</v>
          </cell>
          <cell r="T634" t="str">
            <v>Y</v>
          </cell>
          <cell r="U634">
            <v>0</v>
          </cell>
          <cell r="V634" t="str">
            <v>Q</v>
          </cell>
          <cell r="W634" t="str">
            <v>V</v>
          </cell>
          <cell r="X634" t="str">
            <v>X</v>
          </cell>
          <cell r="Y634">
            <v>0</v>
          </cell>
          <cell r="Z634">
            <v>0</v>
          </cell>
          <cell r="AA634">
            <v>8</v>
          </cell>
          <cell r="AB634" t="str">
            <v>H, R, P, F, Y, Q, V, X</v>
          </cell>
          <cell r="AC634">
            <v>0</v>
          </cell>
          <cell r="AD634" t="str">
            <v>YES</v>
          </cell>
          <cell r="AE634">
            <v>0</v>
          </cell>
          <cell r="AF634" t="str">
            <v>LIVING STYLE (SINGAPORE) PTE LIMITED</v>
          </cell>
          <cell r="AG634" t="str">
            <v>LIVING STYLE (SINGAPORE) PTE LIMITED</v>
          </cell>
          <cell r="AH634" t="str">
            <v>REGULAR</v>
          </cell>
          <cell r="AI634">
            <v>45051</v>
          </cell>
          <cell r="AJ634"/>
          <cell r="AK634"/>
          <cell r="AL634">
            <v>45071</v>
          </cell>
          <cell r="AM634">
            <v>45071</v>
          </cell>
          <cell r="AN634"/>
          <cell r="AO634">
            <v>45072</v>
          </cell>
          <cell r="AP634" t="str">
            <v>ACTIVE</v>
          </cell>
        </row>
        <row r="635">
          <cell r="A635">
            <v>96231250258</v>
          </cell>
          <cell r="B635" t="str">
            <v>US1-USD</v>
          </cell>
          <cell r="C635">
            <v>0</v>
          </cell>
          <cell r="D635">
            <v>0</v>
          </cell>
          <cell r="E635" t="str">
            <v>MIN</v>
          </cell>
          <cell r="F635" t="str">
            <v>FIRST MAKING 0506-US1</v>
          </cell>
          <cell r="G635" t="str">
            <v>R</v>
          </cell>
          <cell r="H635">
            <v>0</v>
          </cell>
          <cell r="I635">
            <v>0</v>
          </cell>
          <cell r="J635" t="str">
            <v>H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 t="str">
            <v>P</v>
          </cell>
          <cell r="P635">
            <v>0</v>
          </cell>
          <cell r="Q635" t="str">
            <v>F</v>
          </cell>
          <cell r="R635" t="str">
            <v>L</v>
          </cell>
          <cell r="S635">
            <v>0</v>
          </cell>
          <cell r="T635">
            <v>0</v>
          </cell>
          <cell r="U635" t="str">
            <v>A</v>
          </cell>
          <cell r="V635" t="str">
            <v>Q</v>
          </cell>
          <cell r="W635" t="str">
            <v>V</v>
          </cell>
          <cell r="X635">
            <v>0</v>
          </cell>
          <cell r="Y635">
            <v>0</v>
          </cell>
          <cell r="Z635">
            <v>0</v>
          </cell>
          <cell r="AA635">
            <v>8</v>
          </cell>
          <cell r="AB635" t="str">
            <v>H, R, Z, P, F, L, A, Q, V</v>
          </cell>
          <cell r="AC635">
            <v>0</v>
          </cell>
          <cell r="AD635" t="str">
            <v>YES</v>
          </cell>
          <cell r="AE635" t="str">
            <v>0508: ask docs</v>
          </cell>
          <cell r="AF635" t="str">
            <v>LIVING STYLE (SINGAPORE) PTE LIMITED</v>
          </cell>
          <cell r="AG635" t="str">
            <v>COSTCO WHOLESALE CORPORATION</v>
          </cell>
          <cell r="AH635" t="str">
            <v>REGULAR</v>
          </cell>
          <cell r="AI635">
            <v>45051</v>
          </cell>
          <cell r="AJ635"/>
          <cell r="AK635"/>
          <cell r="AL635">
            <v>45057</v>
          </cell>
          <cell r="AM635">
            <v>45057</v>
          </cell>
          <cell r="AN635">
            <v>45062</v>
          </cell>
          <cell r="AO635">
            <v>45058</v>
          </cell>
          <cell r="AP635" t="str">
            <v>ACTIVE</v>
          </cell>
        </row>
        <row r="636">
          <cell r="A636">
            <v>96231250259</v>
          </cell>
          <cell r="B636" t="str">
            <v>JP-RF SP 96231020559</v>
          </cell>
          <cell r="C636">
            <v>0</v>
          </cell>
          <cell r="D636">
            <v>0</v>
          </cell>
          <cell r="E636" t="str">
            <v>MIN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 t="str">
            <v>H</v>
          </cell>
          <cell r="K636" t="str">
            <v>T</v>
          </cell>
          <cell r="L636" t="str">
            <v>J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 t="str">
            <v>Y</v>
          </cell>
          <cell r="U636">
            <v>0</v>
          </cell>
          <cell r="V636" t="str">
            <v>Q</v>
          </cell>
          <cell r="W636" t="str">
            <v>V</v>
          </cell>
          <cell r="X636">
            <v>0</v>
          </cell>
          <cell r="Y636">
            <v>0</v>
          </cell>
          <cell r="Z636">
            <v>0</v>
          </cell>
          <cell r="AA636">
            <v>6</v>
          </cell>
          <cell r="AB636" t="str">
            <v>H, T, J, Y, Q, V</v>
          </cell>
          <cell r="AC636">
            <v>0</v>
          </cell>
          <cell r="AD636" t="str">
            <v>YES</v>
          </cell>
          <cell r="AE636">
            <v>0</v>
          </cell>
          <cell r="AF636" t="str">
            <v>DOREL HOME PRODUCTS (CANADA)</v>
          </cell>
          <cell r="AG636" t="str">
            <v>WAL-MART.COM USA, LLC</v>
          </cell>
          <cell r="AH636" t="str">
            <v>REGULAR</v>
          </cell>
          <cell r="AI636">
            <v>45051</v>
          </cell>
          <cell r="AJ636"/>
          <cell r="AK636"/>
          <cell r="AL636">
            <v>45056</v>
          </cell>
          <cell r="AM636">
            <v>45056</v>
          </cell>
          <cell r="AN636">
            <v>45059</v>
          </cell>
          <cell r="AO636">
            <v>45057</v>
          </cell>
          <cell r="AP636" t="str">
            <v>ACTIVE</v>
          </cell>
        </row>
        <row r="637">
          <cell r="A637">
            <v>96231250265</v>
          </cell>
          <cell r="B637" t="str">
            <v>JP-RF SP 96231250015</v>
          </cell>
          <cell r="C637">
            <v>0</v>
          </cell>
          <cell r="D637">
            <v>0</v>
          </cell>
          <cell r="E637" t="str">
            <v>VAN</v>
          </cell>
          <cell r="F637" t="str">
            <v>FIRST MAKING 0508-AN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 t="str">
            <v>Q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1</v>
          </cell>
          <cell r="AB637" t="str">
            <v>Q</v>
          </cell>
          <cell r="AC637">
            <v>0</v>
          </cell>
          <cell r="AD637" t="str">
            <v>YES</v>
          </cell>
          <cell r="AE637">
            <v>0</v>
          </cell>
          <cell r="AF637" t="str">
            <v>MILLION DOLLAR BABY</v>
          </cell>
          <cell r="AG637" t="str">
            <v>MILLION DOLLAR BABY</v>
          </cell>
          <cell r="AH637" t="str">
            <v>REGULAR</v>
          </cell>
          <cell r="AI637">
            <v>45051</v>
          </cell>
          <cell r="AJ637"/>
          <cell r="AK637"/>
          <cell r="AL637">
            <v>45057</v>
          </cell>
          <cell r="AM637">
            <v>45057</v>
          </cell>
          <cell r="AN637"/>
          <cell r="AO637">
            <v>45058</v>
          </cell>
          <cell r="AP637" t="str">
            <v>ACTIVE</v>
          </cell>
        </row>
        <row r="638">
          <cell r="A638">
            <v>96231250290</v>
          </cell>
          <cell r="B638" t="str">
            <v>US2</v>
          </cell>
          <cell r="C638">
            <v>0</v>
          </cell>
          <cell r="D638">
            <v>0</v>
          </cell>
          <cell r="E638" t="str">
            <v>FLO</v>
          </cell>
          <cell r="F638">
            <v>0</v>
          </cell>
          <cell r="G638" t="str">
            <v>R</v>
          </cell>
          <cell r="H638">
            <v>0</v>
          </cell>
          <cell r="I638">
            <v>0</v>
          </cell>
          <cell r="J638" t="str">
            <v>H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2</v>
          </cell>
          <cell r="AB638" t="str">
            <v>H, R</v>
          </cell>
          <cell r="AC638">
            <v>0</v>
          </cell>
          <cell r="AD638">
            <v>0</v>
          </cell>
          <cell r="AE638" t="str">
            <v>05/06: no CS pending</v>
          </cell>
          <cell r="AF638" t="str">
            <v>VIET LIEN CHEMICAL CO LTD</v>
          </cell>
          <cell r="AG638" t="str">
            <v>VIET LIEN CHEMICAL CO LTD</v>
          </cell>
          <cell r="AH638" t="str">
            <v>REGULAR</v>
          </cell>
          <cell r="AI638">
            <v>45051</v>
          </cell>
          <cell r="AJ638"/>
          <cell r="AK638"/>
          <cell r="AL638">
            <v>45057</v>
          </cell>
          <cell r="AM638">
            <v>45057</v>
          </cell>
          <cell r="AN638"/>
          <cell r="AO638">
            <v>45058</v>
          </cell>
          <cell r="AP638" t="str">
            <v>ACTIVE</v>
          </cell>
        </row>
        <row r="639">
          <cell r="A639">
            <v>96231250305</v>
          </cell>
          <cell r="B639" t="str">
            <v>US2</v>
          </cell>
          <cell r="C639">
            <v>0</v>
          </cell>
          <cell r="D639">
            <v>0</v>
          </cell>
          <cell r="E639" t="str">
            <v>VAN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 t="str">
            <v>H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 t="str">
            <v>Q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2</v>
          </cell>
          <cell r="AB639" t="str">
            <v>H, Q</v>
          </cell>
          <cell r="AC639">
            <v>0</v>
          </cell>
          <cell r="AD639">
            <v>0</v>
          </cell>
          <cell r="AE639">
            <v>0</v>
          </cell>
          <cell r="AF639" t="str">
            <v>ALLINGHAM HOLDINGS LTD (HONGKONG)</v>
          </cell>
          <cell r="AG639" t="str">
            <v>ALLINGHAM HOLDINGS LTD (HONGKONG)</v>
          </cell>
          <cell r="AH639" t="str">
            <v>REGULAR</v>
          </cell>
          <cell r="AI639">
            <v>45051</v>
          </cell>
          <cell r="AJ639"/>
          <cell r="AK639"/>
          <cell r="AL639">
            <v>45057</v>
          </cell>
          <cell r="AM639">
            <v>45057</v>
          </cell>
          <cell r="AN639"/>
          <cell r="AO639">
            <v>45058</v>
          </cell>
          <cell r="AP639" t="str">
            <v>ACTIVE</v>
          </cell>
        </row>
        <row r="640">
          <cell r="A640">
            <v>96231250307</v>
          </cell>
          <cell r="B640" t="str">
            <v>AN</v>
          </cell>
          <cell r="C640">
            <v>0</v>
          </cell>
          <cell r="D640">
            <v>0</v>
          </cell>
          <cell r="E640" t="str">
            <v>FLO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 HANDLE</v>
          </cell>
          <cell r="AC640">
            <v>0</v>
          </cell>
          <cell r="AD640">
            <v>0</v>
          </cell>
          <cell r="AE640" t="str">
            <v>05/06: no CS pending</v>
          </cell>
          <cell r="AF640" t="str">
            <v>HONG THINH PAINT COMPANY LIMITED</v>
          </cell>
          <cell r="AG640" t="str">
            <v>HONG THINH PAINT COMPANY LIMITED</v>
          </cell>
          <cell r="AH640" t="str">
            <v>REGULAR</v>
          </cell>
          <cell r="AI640">
            <v>45051</v>
          </cell>
          <cell r="AJ640"/>
          <cell r="AK640"/>
          <cell r="AL640">
            <v>45056</v>
          </cell>
          <cell r="AM640">
            <v>45056</v>
          </cell>
          <cell r="AN640"/>
          <cell r="AO640">
            <v>45057</v>
          </cell>
          <cell r="AP640" t="str">
            <v>AN HANDLE</v>
          </cell>
        </row>
        <row r="641">
          <cell r="A641">
            <v>96231250326</v>
          </cell>
          <cell r="B641" t="str">
            <v>US1-AS</v>
          </cell>
          <cell r="C641">
            <v>0</v>
          </cell>
          <cell r="D641">
            <v>0</v>
          </cell>
          <cell r="E641" t="str">
            <v>TAN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 t="str">
            <v>H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1</v>
          </cell>
          <cell r="AB641" t="str">
            <v>H</v>
          </cell>
          <cell r="AC641">
            <v>0</v>
          </cell>
          <cell r="AD641">
            <v>0</v>
          </cell>
          <cell r="AE641">
            <v>0</v>
          </cell>
          <cell r="AF641" t="str">
            <v>PJ CHONBURI PARAWOOD CO.,LTD.</v>
          </cell>
          <cell r="AG641" t="str">
            <v>AMAZON.COM SERVICES LLC (HPB)</v>
          </cell>
          <cell r="AH641" t="str">
            <v>REGULAR</v>
          </cell>
          <cell r="AI641">
            <v>45051</v>
          </cell>
          <cell r="AJ641"/>
          <cell r="AK641"/>
          <cell r="AL641">
            <v>45057</v>
          </cell>
          <cell r="AM641">
            <v>45057</v>
          </cell>
          <cell r="AN641"/>
          <cell r="AO641">
            <v>45058</v>
          </cell>
          <cell r="AP641" t="str">
            <v>ACTIVE</v>
          </cell>
        </row>
        <row r="642">
          <cell r="A642">
            <v>96231250328</v>
          </cell>
          <cell r="B642" t="str">
            <v>USD</v>
          </cell>
          <cell r="C642">
            <v>0</v>
          </cell>
          <cell r="D642">
            <v>0</v>
          </cell>
          <cell r="E642" t="str">
            <v>TAN</v>
          </cell>
          <cell r="F642">
            <v>0</v>
          </cell>
          <cell r="G642">
            <v>0</v>
          </cell>
          <cell r="H642">
            <v>0</v>
          </cell>
          <cell r="I642" t="str">
            <v>Z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  <cell r="AA642">
            <v>1</v>
          </cell>
          <cell r="AB642" t="str">
            <v>Z</v>
          </cell>
          <cell r="AC642">
            <v>0</v>
          </cell>
          <cell r="AD642">
            <v>0</v>
          </cell>
          <cell r="AE642">
            <v>0</v>
          </cell>
          <cell r="AF642" t="str">
            <v>PJ CHONBURI PARAWOOD CO.,LTD.</v>
          </cell>
          <cell r="AG642" t="str">
            <v>AMAZON.COM SERVICES LLC (HPB)</v>
          </cell>
          <cell r="AH642" t="str">
            <v>REGULAR</v>
          </cell>
          <cell r="AI642">
            <v>45051</v>
          </cell>
          <cell r="AJ642"/>
          <cell r="AK642"/>
          <cell r="AL642">
            <v>45057</v>
          </cell>
          <cell r="AM642">
            <v>45057</v>
          </cell>
          <cell r="AN642"/>
          <cell r="AO642">
            <v>45058</v>
          </cell>
          <cell r="AP642" t="str">
            <v>ACTIVE</v>
          </cell>
        </row>
        <row r="643">
          <cell r="A643">
            <v>96231250372</v>
          </cell>
          <cell r="B643" t="str">
            <v>TY</v>
          </cell>
          <cell r="C643">
            <v>0</v>
          </cell>
          <cell r="D643">
            <v>0</v>
          </cell>
          <cell r="E643" t="str">
            <v>ELV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 t="str">
            <v>H</v>
          </cell>
          <cell r="K643" t="str">
            <v>T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 t="str">
            <v>W</v>
          </cell>
          <cell r="Q643" t="str">
            <v>F</v>
          </cell>
          <cell r="R643" t="str">
            <v>L</v>
          </cell>
          <cell r="S643">
            <v>0</v>
          </cell>
          <cell r="T643">
            <v>0</v>
          </cell>
          <cell r="U643" t="str">
            <v>A</v>
          </cell>
          <cell r="V643" t="str">
            <v>Q</v>
          </cell>
          <cell r="W643" t="str">
            <v>V</v>
          </cell>
          <cell r="X643">
            <v>0</v>
          </cell>
          <cell r="Y643">
            <v>0</v>
          </cell>
          <cell r="Z643">
            <v>0</v>
          </cell>
          <cell r="AA643">
            <v>8</v>
          </cell>
          <cell r="AB643" t="str">
            <v>H, T, W, F, L, A, Q, V</v>
          </cell>
          <cell r="AC643">
            <v>0</v>
          </cell>
          <cell r="AD643" t="str">
            <v>YES</v>
          </cell>
          <cell r="AE643">
            <v>0</v>
          </cell>
          <cell r="AF643" t="str">
            <v>DREAM INTERNATIONAL LIMITED</v>
          </cell>
          <cell r="AG643" t="str">
            <v>THE DISNEY STORE, INC (CA)</v>
          </cell>
          <cell r="AH643" t="str">
            <v>REGULAR</v>
          </cell>
          <cell r="AI643">
            <v>45051</v>
          </cell>
          <cell r="AJ643"/>
          <cell r="AK643"/>
          <cell r="AL643">
            <v>45057</v>
          </cell>
          <cell r="AM643">
            <v>45057</v>
          </cell>
          <cell r="AN643">
            <v>45058</v>
          </cell>
          <cell r="AO643">
            <v>45057</v>
          </cell>
          <cell r="AP643" t="str">
            <v>ACTIVE</v>
          </cell>
        </row>
        <row r="644">
          <cell r="A644">
            <v>96231250385</v>
          </cell>
          <cell r="B644" t="str">
            <v>TY-RF SP 96231250372</v>
          </cell>
          <cell r="C644">
            <v>0</v>
          </cell>
          <cell r="D644">
            <v>0</v>
          </cell>
          <cell r="E644" t="str">
            <v>ELV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 t="str">
            <v>H</v>
          </cell>
          <cell r="K644" t="str">
            <v>T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 t="str">
            <v>F</v>
          </cell>
          <cell r="R644" t="str">
            <v>L</v>
          </cell>
          <cell r="S644">
            <v>0</v>
          </cell>
          <cell r="T644">
            <v>0</v>
          </cell>
          <cell r="U644">
            <v>0</v>
          </cell>
          <cell r="V644" t="str">
            <v>Q</v>
          </cell>
          <cell r="W644">
            <v>0</v>
          </cell>
          <cell r="X644">
            <v>0</v>
          </cell>
          <cell r="Y644">
            <v>0</v>
          </cell>
          <cell r="Z644">
            <v>0</v>
          </cell>
          <cell r="AA644">
            <v>5</v>
          </cell>
          <cell r="AB644" t="str">
            <v>H, T, F, L, Q, V</v>
          </cell>
          <cell r="AC644">
            <v>0</v>
          </cell>
          <cell r="AD644" t="str">
            <v>YES</v>
          </cell>
          <cell r="AE644">
            <v>0</v>
          </cell>
          <cell r="AF644" t="str">
            <v>DREAM INTERNATIONAL LIMITED</v>
          </cell>
          <cell r="AG644" t="str">
            <v>THE DISNEY STORE, INC (CA)</v>
          </cell>
          <cell r="AH644" t="str">
            <v>REGULAR</v>
          </cell>
          <cell r="AI644">
            <v>45051</v>
          </cell>
          <cell r="AJ644"/>
          <cell r="AK644"/>
          <cell r="AL644">
            <v>45057</v>
          </cell>
          <cell r="AM644">
            <v>45057</v>
          </cell>
          <cell r="AN644">
            <v>45058</v>
          </cell>
          <cell r="AO644">
            <v>45057</v>
          </cell>
          <cell r="AP644" t="str">
            <v>ACTIVE</v>
          </cell>
        </row>
        <row r="645">
          <cell r="A645">
            <v>96231250390</v>
          </cell>
          <cell r="B645" t="str">
            <v>TY</v>
          </cell>
          <cell r="C645">
            <v>0</v>
          </cell>
          <cell r="D645">
            <v>0</v>
          </cell>
          <cell r="E645" t="str">
            <v>ELV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 t="str">
            <v>H</v>
          </cell>
          <cell r="K645" t="str">
            <v>T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 t="str">
            <v>W</v>
          </cell>
          <cell r="Q645" t="str">
            <v>F</v>
          </cell>
          <cell r="R645" t="str">
            <v>L</v>
          </cell>
          <cell r="S645">
            <v>0</v>
          </cell>
          <cell r="T645">
            <v>0</v>
          </cell>
          <cell r="U645" t="str">
            <v>A</v>
          </cell>
          <cell r="V645" t="str">
            <v>Q</v>
          </cell>
          <cell r="W645" t="str">
            <v>V</v>
          </cell>
          <cell r="X645">
            <v>0</v>
          </cell>
          <cell r="Y645">
            <v>0</v>
          </cell>
          <cell r="Z645">
            <v>0</v>
          </cell>
          <cell r="AA645">
            <v>8</v>
          </cell>
          <cell r="AB645" t="str">
            <v>H, T, W, F, L, A, Q, V</v>
          </cell>
          <cell r="AC645">
            <v>0</v>
          </cell>
          <cell r="AD645" t="str">
            <v>YES</v>
          </cell>
          <cell r="AE645">
            <v>0</v>
          </cell>
          <cell r="AF645" t="str">
            <v>DREAM INTERNATIONAL LIMITED</v>
          </cell>
          <cell r="AG645" t="str">
            <v>THE DISNEY STORE, INC (CA)</v>
          </cell>
          <cell r="AH645" t="str">
            <v>REGULAR</v>
          </cell>
          <cell r="AI645">
            <v>45051</v>
          </cell>
          <cell r="AJ645"/>
          <cell r="AK645"/>
          <cell r="AL645">
            <v>45057</v>
          </cell>
          <cell r="AM645">
            <v>45057</v>
          </cell>
          <cell r="AN645">
            <v>45058</v>
          </cell>
          <cell r="AO645">
            <v>45057</v>
          </cell>
          <cell r="AP645" t="str">
            <v>ACTIVE</v>
          </cell>
        </row>
        <row r="646">
          <cell r="A646">
            <v>96231250392</v>
          </cell>
          <cell r="B646" t="str">
            <v>TY-RF SP 96231250390</v>
          </cell>
          <cell r="C646">
            <v>0</v>
          </cell>
          <cell r="D646">
            <v>0</v>
          </cell>
          <cell r="E646" t="str">
            <v>ELV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 t="str">
            <v>H</v>
          </cell>
          <cell r="K646" t="str">
            <v>T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 t="str">
            <v>F</v>
          </cell>
          <cell r="R646" t="str">
            <v>L</v>
          </cell>
          <cell r="S646">
            <v>0</v>
          </cell>
          <cell r="T646">
            <v>0</v>
          </cell>
          <cell r="U646">
            <v>0</v>
          </cell>
          <cell r="V646" t="str">
            <v>Q</v>
          </cell>
          <cell r="W646">
            <v>0</v>
          </cell>
          <cell r="X646">
            <v>0</v>
          </cell>
          <cell r="Y646">
            <v>0</v>
          </cell>
          <cell r="Z646">
            <v>0</v>
          </cell>
          <cell r="AA646">
            <v>5</v>
          </cell>
          <cell r="AB646" t="str">
            <v>H, T, F, L, Q, V</v>
          </cell>
          <cell r="AC646">
            <v>0</v>
          </cell>
          <cell r="AD646" t="str">
            <v>YES</v>
          </cell>
          <cell r="AE646">
            <v>0</v>
          </cell>
          <cell r="AF646" t="str">
            <v>DREAM INTERNATIONAL LIMITED</v>
          </cell>
          <cell r="AG646" t="str">
            <v>THE DISNEY STORE, INC (CA)</v>
          </cell>
          <cell r="AH646" t="str">
            <v>REGULAR</v>
          </cell>
          <cell r="AI646">
            <v>45051</v>
          </cell>
          <cell r="AJ646"/>
          <cell r="AK646"/>
          <cell r="AL646">
            <v>45057</v>
          </cell>
          <cell r="AM646">
            <v>45057</v>
          </cell>
          <cell r="AN646">
            <v>45058</v>
          </cell>
          <cell r="AO646">
            <v>45057</v>
          </cell>
          <cell r="AP646" t="str">
            <v>ACTIVE</v>
          </cell>
        </row>
        <row r="647">
          <cell r="A647">
            <v>96231250426</v>
          </cell>
          <cell r="B647" t="str">
            <v>US2-AS</v>
          </cell>
          <cell r="C647">
            <v>0</v>
          </cell>
          <cell r="D647">
            <v>0</v>
          </cell>
          <cell r="E647" t="str">
            <v>VAN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 t="str">
            <v>H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0</v>
          </cell>
          <cell r="AA647">
            <v>1</v>
          </cell>
          <cell r="AB647" t="str">
            <v>H</v>
          </cell>
          <cell r="AC647">
            <v>0</v>
          </cell>
          <cell r="AD647" t="str">
            <v>YES</v>
          </cell>
          <cell r="AE647">
            <v>0</v>
          </cell>
          <cell r="AF647" t="str">
            <v>DIMENSIONS FURNITURE INC</v>
          </cell>
          <cell r="AG647" t="str">
            <v>DIMENSIONS FURNITURE INC</v>
          </cell>
          <cell r="AH647" t="str">
            <v>REGULAR</v>
          </cell>
          <cell r="AI647">
            <v>45051</v>
          </cell>
          <cell r="AJ647"/>
          <cell r="AK647"/>
          <cell r="AL647">
            <v>45057</v>
          </cell>
          <cell r="AM647">
            <v>45057</v>
          </cell>
          <cell r="AN647"/>
          <cell r="AO647">
            <v>45058</v>
          </cell>
          <cell r="AP647" t="str">
            <v>ACTIVE</v>
          </cell>
        </row>
        <row r="648">
          <cell r="A648">
            <v>96231250428</v>
          </cell>
          <cell r="B648" t="str">
            <v>US2-AS</v>
          </cell>
          <cell r="C648">
            <v>0</v>
          </cell>
          <cell r="D648">
            <v>0</v>
          </cell>
          <cell r="E648" t="str">
            <v>VAN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 t="str">
            <v>H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0</v>
          </cell>
          <cell r="AA648">
            <v>1</v>
          </cell>
          <cell r="AB648" t="str">
            <v>H</v>
          </cell>
          <cell r="AC648">
            <v>0</v>
          </cell>
          <cell r="AD648" t="str">
            <v>YES</v>
          </cell>
          <cell r="AE648">
            <v>0</v>
          </cell>
          <cell r="AF648" t="str">
            <v>DIMENSIONS FURNITURE INC</v>
          </cell>
          <cell r="AG648" t="str">
            <v>DIMENSIONS FURNITURE INC</v>
          </cell>
          <cell r="AH648" t="str">
            <v>REGULAR</v>
          </cell>
          <cell r="AI648">
            <v>45051</v>
          </cell>
          <cell r="AJ648"/>
          <cell r="AK648"/>
          <cell r="AL648">
            <v>45057</v>
          </cell>
          <cell r="AM648">
            <v>45057</v>
          </cell>
          <cell r="AN648"/>
          <cell r="AO648">
            <v>45058</v>
          </cell>
          <cell r="AP648" t="str">
            <v>ACTIVE</v>
          </cell>
        </row>
        <row r="649">
          <cell r="A649">
            <v>96231250435</v>
          </cell>
          <cell r="B649" t="str">
            <v>US1-AS</v>
          </cell>
          <cell r="C649">
            <v>0</v>
          </cell>
          <cell r="D649">
            <v>0</v>
          </cell>
          <cell r="E649" t="str">
            <v>MIN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 t="str">
            <v>H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 t="str">
            <v>P</v>
          </cell>
          <cell r="P649">
            <v>0</v>
          </cell>
          <cell r="Q649" t="str">
            <v>F</v>
          </cell>
          <cell r="R649">
            <v>0</v>
          </cell>
          <cell r="S649" t="str">
            <v>M</v>
          </cell>
          <cell r="T649">
            <v>0</v>
          </cell>
          <cell r="U649">
            <v>0</v>
          </cell>
          <cell r="V649" t="str">
            <v>Q</v>
          </cell>
          <cell r="W649" t="str">
            <v>V</v>
          </cell>
          <cell r="X649">
            <v>0</v>
          </cell>
          <cell r="Y649">
            <v>0</v>
          </cell>
          <cell r="Z649">
            <v>0</v>
          </cell>
          <cell r="AA649">
            <v>6</v>
          </cell>
          <cell r="AB649" t="str">
            <v>H, P, F, M, Q, V</v>
          </cell>
          <cell r="AC649">
            <v>0</v>
          </cell>
          <cell r="AD649" t="str">
            <v>YES</v>
          </cell>
          <cell r="AE649">
            <v>0</v>
          </cell>
          <cell r="AF649" t="str">
            <v>DOREL JUVENILE CANADA</v>
          </cell>
          <cell r="AG649" t="str">
            <v>WAL-MART CANADA</v>
          </cell>
          <cell r="AH649" t="str">
            <v>REGULAR</v>
          </cell>
          <cell r="AI649">
            <v>45051</v>
          </cell>
          <cell r="AJ649"/>
          <cell r="AK649"/>
          <cell r="AL649">
            <v>45056</v>
          </cell>
          <cell r="AM649">
            <v>45056</v>
          </cell>
          <cell r="AN649">
            <v>45058</v>
          </cell>
          <cell r="AO649">
            <v>45057</v>
          </cell>
          <cell r="AP649" t="str">
            <v>ACTIVE</v>
          </cell>
        </row>
        <row r="650">
          <cell r="A650">
            <v>96231250436</v>
          </cell>
          <cell r="B650" t="str">
            <v>CD</v>
          </cell>
          <cell r="C650">
            <v>0</v>
          </cell>
          <cell r="D650">
            <v>0</v>
          </cell>
          <cell r="E650" t="str">
            <v>MIN</v>
          </cell>
          <cell r="F650" t="str">
            <v>MAKING 0509</v>
          </cell>
          <cell r="G650">
            <v>0</v>
          </cell>
          <cell r="H650">
            <v>0</v>
          </cell>
          <cell r="I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H, P, W, F, L, Y, Q, V</v>
          </cell>
          <cell r="AC650">
            <v>0</v>
          </cell>
          <cell r="AD650" t="str">
            <v>NO</v>
          </cell>
          <cell r="AE650" t="str">
            <v>0509: no CS pend</v>
          </cell>
          <cell r="AF650" t="str">
            <v>VIETNAM GLITTER COMPANY LIMITED</v>
          </cell>
          <cell r="AG650" t="str">
            <v>WALMART USA</v>
          </cell>
          <cell r="AH650" t="str">
            <v>URGENT</v>
          </cell>
          <cell r="AI650">
            <v>45052</v>
          </cell>
          <cell r="AJ650"/>
          <cell r="AK650"/>
          <cell r="AL650">
            <v>45055</v>
          </cell>
          <cell r="AM650">
            <v>45055</v>
          </cell>
          <cell r="AN650">
            <v>45057</v>
          </cell>
          <cell r="AO650">
            <v>45055</v>
          </cell>
          <cell r="AP650" t="str">
            <v>LATECS</v>
          </cell>
        </row>
        <row r="651">
          <cell r="A651">
            <v>96231250445</v>
          </cell>
          <cell r="B651" t="str">
            <v>JP</v>
          </cell>
          <cell r="C651">
            <v>0</v>
          </cell>
          <cell r="D651">
            <v>0</v>
          </cell>
          <cell r="E651" t="str">
            <v>VAN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 t="str">
            <v>H</v>
          </cell>
          <cell r="K651">
            <v>0</v>
          </cell>
          <cell r="L651" t="str">
            <v>J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0</v>
          </cell>
          <cell r="AA651">
            <v>2</v>
          </cell>
          <cell r="AB651" t="str">
            <v>H, J</v>
          </cell>
          <cell r="AC651">
            <v>0</v>
          </cell>
          <cell r="AD651" t="str">
            <v>YES</v>
          </cell>
          <cell r="AE651">
            <v>0</v>
          </cell>
          <cell r="AF651" t="str">
            <v>DELTA ENTERPRISE CORP. D/B/A DELTA CHILDREN'S PRODUCTS</v>
          </cell>
          <cell r="AG651" t="str">
            <v>DELTA ENTERPRISE CORP. D/B/A DELTA CHILDREN'S PRODUCTS</v>
          </cell>
          <cell r="AH651" t="str">
            <v>REGULAR</v>
          </cell>
          <cell r="AI651">
            <v>45051</v>
          </cell>
          <cell r="AJ651"/>
          <cell r="AK651"/>
          <cell r="AL651">
            <v>45057</v>
          </cell>
          <cell r="AM651">
            <v>45057</v>
          </cell>
          <cell r="AN651"/>
          <cell r="AO651">
            <v>45058</v>
          </cell>
          <cell r="AP651" t="str">
            <v>ACTIVE</v>
          </cell>
        </row>
        <row r="652">
          <cell r="A652">
            <v>96231250446</v>
          </cell>
          <cell r="B652" t="str">
            <v>AN</v>
          </cell>
          <cell r="C652">
            <v>0</v>
          </cell>
          <cell r="D652">
            <v>0</v>
          </cell>
          <cell r="E652" t="str">
            <v>VAN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 HANDLE</v>
          </cell>
          <cell r="AC652">
            <v>0</v>
          </cell>
          <cell r="AD652" t="str">
            <v>YES</v>
          </cell>
          <cell r="AE652">
            <v>0</v>
          </cell>
          <cell r="AF652" t="str">
            <v>NS MILLENNIUM VIETNAM CO LTD</v>
          </cell>
          <cell r="AG652" t="str">
            <v>NS MILLENNIUM VIETNAM CO LTD</v>
          </cell>
          <cell r="AH652" t="str">
            <v>REGULAR</v>
          </cell>
          <cell r="AI652">
            <v>45051</v>
          </cell>
          <cell r="AJ652"/>
          <cell r="AK652"/>
          <cell r="AL652">
            <v>45055</v>
          </cell>
          <cell r="AM652">
            <v>45055</v>
          </cell>
          <cell r="AN652"/>
          <cell r="AO652">
            <v>45056</v>
          </cell>
          <cell r="AP652" t="str">
            <v>AN HANDLE</v>
          </cell>
        </row>
        <row r="653">
          <cell r="A653">
            <v>96231250463</v>
          </cell>
          <cell r="B653" t="str">
            <v>US2</v>
          </cell>
          <cell r="C653">
            <v>0</v>
          </cell>
          <cell r="D653">
            <v>0</v>
          </cell>
          <cell r="E653" t="str">
            <v>ELV</v>
          </cell>
          <cell r="F653">
            <v>0</v>
          </cell>
          <cell r="G653" t="str">
            <v>R</v>
          </cell>
          <cell r="H653">
            <v>0</v>
          </cell>
          <cell r="I653">
            <v>0</v>
          </cell>
          <cell r="J653" t="str">
            <v>H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 t="str">
            <v>L</v>
          </cell>
          <cell r="S653">
            <v>0</v>
          </cell>
          <cell r="T653">
            <v>0</v>
          </cell>
          <cell r="U653" t="str">
            <v>A</v>
          </cell>
          <cell r="V653" t="str">
            <v>Q</v>
          </cell>
          <cell r="W653" t="str">
            <v>V</v>
          </cell>
          <cell r="X653">
            <v>0</v>
          </cell>
          <cell r="Y653">
            <v>0</v>
          </cell>
          <cell r="Z653">
            <v>0</v>
          </cell>
          <cell r="AA653">
            <v>6</v>
          </cell>
          <cell r="AB653" t="str">
            <v>H, R, L, A, Q, V</v>
          </cell>
          <cell r="AC653">
            <v>0</v>
          </cell>
          <cell r="AD653">
            <v>0</v>
          </cell>
          <cell r="AE653">
            <v>0</v>
          </cell>
          <cell r="AF653" t="str">
            <v>FOOKYIK (VIETNAM) FURNITURE COMPANY LIMITED</v>
          </cell>
          <cell r="AG653" t="str">
            <v>WILLIAMS-SONOMA INC</v>
          </cell>
          <cell r="AH653" t="str">
            <v>REGULAR</v>
          </cell>
          <cell r="AI653">
            <v>45052</v>
          </cell>
          <cell r="AJ653">
            <v>45052</v>
          </cell>
          <cell r="AK653">
            <v>45054</v>
          </cell>
          <cell r="AL653">
            <v>45073</v>
          </cell>
          <cell r="AM653">
            <v>45073</v>
          </cell>
          <cell r="AN653"/>
          <cell r="AO653">
            <v>45075</v>
          </cell>
          <cell r="AP653" t="str">
            <v>ON HOLD</v>
          </cell>
        </row>
        <row r="654">
          <cell r="A654">
            <v>96231250467</v>
          </cell>
          <cell r="B654" t="str">
            <v>CD</v>
          </cell>
          <cell r="C654">
            <v>0</v>
          </cell>
          <cell r="D654">
            <v>0</v>
          </cell>
          <cell r="E654" t="str">
            <v>VAN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 t="str">
            <v>C</v>
          </cell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0</v>
          </cell>
          <cell r="AA654">
            <v>1</v>
          </cell>
          <cell r="AB654" t="str">
            <v>C</v>
          </cell>
          <cell r="AC654">
            <v>0</v>
          </cell>
          <cell r="AD654">
            <v>0</v>
          </cell>
          <cell r="AE654">
            <v>0</v>
          </cell>
          <cell r="AF654" t="str">
            <v>SHENZHEN FULAIMING HOME LTD</v>
          </cell>
          <cell r="AG654" t="str">
            <v>SHENZHEN FULAIMING HOME LTD</v>
          </cell>
          <cell r="AH654" t="str">
            <v>REGULAR</v>
          </cell>
          <cell r="AI654">
            <v>45051</v>
          </cell>
          <cell r="AJ654"/>
          <cell r="AK654"/>
          <cell r="AL654">
            <v>45057</v>
          </cell>
          <cell r="AM654">
            <v>45057</v>
          </cell>
          <cell r="AN654"/>
          <cell r="AO654">
            <v>45058</v>
          </cell>
          <cell r="AP654" t="str">
            <v>ACTIVE</v>
          </cell>
        </row>
        <row r="655">
          <cell r="A655">
            <v>96231250468</v>
          </cell>
          <cell r="B655" t="str">
            <v>USD</v>
          </cell>
          <cell r="C655" t="str">
            <v>done</v>
          </cell>
          <cell r="D655" t="str">
            <v>VAN</v>
          </cell>
          <cell r="E655" t="str">
            <v>VAN</v>
          </cell>
          <cell r="F655" t="str">
            <v xml:space="preserve">done 0508
making 0508
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H, Z</v>
          </cell>
          <cell r="AC655">
            <v>0</v>
          </cell>
          <cell r="AD655">
            <v>0</v>
          </cell>
          <cell r="AE655">
            <v>0</v>
          </cell>
          <cell r="AF655" t="str">
            <v>ESSENTIAL HOME FURNITURE COMPANY LIMITED</v>
          </cell>
          <cell r="AG655" t="str">
            <v>CINMAR-FRONTGATE</v>
          </cell>
          <cell r="AH655" t="str">
            <v>REGULAR</v>
          </cell>
          <cell r="AI655">
            <v>45052</v>
          </cell>
          <cell r="AJ655"/>
          <cell r="AK655"/>
          <cell r="AL655">
            <v>45058</v>
          </cell>
          <cell r="AM655">
            <v>45058</v>
          </cell>
          <cell r="AN655"/>
          <cell r="AO655">
            <v>45059</v>
          </cell>
          <cell r="AP655" t="str">
            <v>ACTIVE</v>
          </cell>
        </row>
        <row r="656">
          <cell r="A656">
            <v>96231250472</v>
          </cell>
          <cell r="B656" t="str">
            <v>USD</v>
          </cell>
          <cell r="C656" t="str">
            <v>done</v>
          </cell>
          <cell r="D656" t="str">
            <v>DUC</v>
          </cell>
          <cell r="E656" t="str">
            <v>VAN</v>
          </cell>
          <cell r="F656" t="str">
            <v>DONE 0508
MAKING 0508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H, Z</v>
          </cell>
          <cell r="AC656">
            <v>0</v>
          </cell>
          <cell r="AD656">
            <v>0</v>
          </cell>
          <cell r="AE656">
            <v>0</v>
          </cell>
          <cell r="AF656" t="str">
            <v>ESSENTIAL HOME FURNITURE COMPANY LIMITED</v>
          </cell>
          <cell r="AG656" t="str">
            <v>CINMAR-FRONTGATE</v>
          </cell>
          <cell r="AH656" t="str">
            <v>REGULAR</v>
          </cell>
          <cell r="AI656">
            <v>45052</v>
          </cell>
          <cell r="AJ656"/>
          <cell r="AK656"/>
          <cell r="AL656">
            <v>45058</v>
          </cell>
          <cell r="AM656">
            <v>45058</v>
          </cell>
          <cell r="AN656"/>
          <cell r="AO656">
            <v>45059</v>
          </cell>
          <cell r="AP656" t="str">
            <v>ACTIVE</v>
          </cell>
        </row>
        <row r="657">
          <cell r="A657">
            <v>96231250473</v>
          </cell>
          <cell r="B657" t="str">
            <v>US2</v>
          </cell>
          <cell r="C657">
            <v>0</v>
          </cell>
          <cell r="D657">
            <v>0</v>
          </cell>
          <cell r="E657" t="str">
            <v>VAN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 t="str">
            <v>H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0</v>
          </cell>
          <cell r="AA657">
            <v>1</v>
          </cell>
          <cell r="AB657" t="str">
            <v>H</v>
          </cell>
          <cell r="AC657">
            <v>0</v>
          </cell>
          <cell r="AD657">
            <v>0</v>
          </cell>
          <cell r="AE657">
            <v>0</v>
          </cell>
          <cell r="AF657" t="str">
            <v>OFFICE STAR PRODUCTS</v>
          </cell>
          <cell r="AG657" t="str">
            <v>OFFICE STAR PRODUCTS</v>
          </cell>
          <cell r="AH657" t="str">
            <v>REGULAR</v>
          </cell>
          <cell r="AI657">
            <v>45052</v>
          </cell>
          <cell r="AJ657"/>
          <cell r="AK657"/>
          <cell r="AL657">
            <v>45058</v>
          </cell>
          <cell r="AM657">
            <v>45058</v>
          </cell>
          <cell r="AN657"/>
          <cell r="AO657">
            <v>45059</v>
          </cell>
          <cell r="AP657" t="str">
            <v>ACTIVE</v>
          </cell>
        </row>
        <row r="658">
          <cell r="A658">
            <v>96231250475</v>
          </cell>
          <cell r="B658" t="str">
            <v>TY</v>
          </cell>
          <cell r="C658">
            <v>0</v>
          </cell>
          <cell r="D658">
            <v>0</v>
          </cell>
          <cell r="E658" t="str">
            <v>FLO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 t="str">
            <v>H</v>
          </cell>
          <cell r="K658" t="str">
            <v>T</v>
          </cell>
          <cell r="L658" t="str">
            <v>J</v>
          </cell>
          <cell r="M658">
            <v>0</v>
          </cell>
          <cell r="N658">
            <v>0</v>
          </cell>
          <cell r="O658">
            <v>0</v>
          </cell>
          <cell r="P658" t="str">
            <v>W</v>
          </cell>
          <cell r="Q658">
            <v>0</v>
          </cell>
          <cell r="R658" t="str">
            <v>L</v>
          </cell>
          <cell r="S658" t="str">
            <v>M</v>
          </cell>
          <cell r="T658">
            <v>0</v>
          </cell>
          <cell r="U658">
            <v>0</v>
          </cell>
          <cell r="V658" t="str">
            <v>Q</v>
          </cell>
          <cell r="W658" t="str">
            <v>V</v>
          </cell>
          <cell r="X658">
            <v>0</v>
          </cell>
          <cell r="Y658" t="str">
            <v>B</v>
          </cell>
          <cell r="Z658">
            <v>0</v>
          </cell>
          <cell r="AA658">
            <v>9</v>
          </cell>
          <cell r="AB658" t="str">
            <v>H, T, J, W, L, M, Q, V, B</v>
          </cell>
          <cell r="AC658">
            <v>0</v>
          </cell>
          <cell r="AD658">
            <v>0</v>
          </cell>
          <cell r="AE658">
            <v>0</v>
          </cell>
          <cell r="AF658" t="str">
            <v>GLOBAL ALLIANCE MANUFACTURING LLC</v>
          </cell>
          <cell r="AG658" t="str">
            <v>BASS PRO SHOPS</v>
          </cell>
          <cell r="AH658" t="str">
            <v>REGULAR</v>
          </cell>
          <cell r="AI658">
            <v>45052</v>
          </cell>
          <cell r="AJ658"/>
          <cell r="AK658"/>
          <cell r="AL658">
            <v>45056</v>
          </cell>
          <cell r="AM658">
            <v>45056</v>
          </cell>
          <cell r="AN658">
            <v>45061</v>
          </cell>
          <cell r="AO658">
            <v>45057</v>
          </cell>
          <cell r="AP658" t="str">
            <v>ACTIVE</v>
          </cell>
        </row>
        <row r="659">
          <cell r="A659">
            <v>96231250477</v>
          </cell>
          <cell r="B659" t="str">
            <v>EU</v>
          </cell>
          <cell r="C659">
            <v>0</v>
          </cell>
          <cell r="D659">
            <v>0</v>
          </cell>
          <cell r="E659" t="str">
            <v>SHE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 t="str">
            <v>P</v>
          </cell>
          <cell r="P659">
            <v>0</v>
          </cell>
          <cell r="Q659" t="str">
            <v>F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0</v>
          </cell>
          <cell r="AA659">
            <v>2</v>
          </cell>
          <cell r="AB659" t="str">
            <v>P, F</v>
          </cell>
          <cell r="AC659">
            <v>0</v>
          </cell>
          <cell r="AD659" t="str">
            <v>YES</v>
          </cell>
          <cell r="AE659">
            <v>0</v>
          </cell>
          <cell r="AF659" t="str">
            <v>GARDENLINE INTERNATIONAL PTY LTD</v>
          </cell>
          <cell r="AG659" t="str">
            <v>GARDENLINE INTERNATIONAL PTY LTD</v>
          </cell>
          <cell r="AH659" t="str">
            <v>REGULAR</v>
          </cell>
          <cell r="AI659">
            <v>45052</v>
          </cell>
          <cell r="AJ659"/>
          <cell r="AK659"/>
          <cell r="AL659">
            <v>45071</v>
          </cell>
          <cell r="AM659">
            <v>45071</v>
          </cell>
          <cell r="AN659"/>
          <cell r="AO659">
            <v>45072</v>
          </cell>
          <cell r="AP659" t="str">
            <v>ACTIVE</v>
          </cell>
        </row>
        <row r="660">
          <cell r="A660">
            <v>96231250486</v>
          </cell>
          <cell r="B660" t="str">
            <v>CD</v>
          </cell>
          <cell r="C660">
            <v>0</v>
          </cell>
          <cell r="D660">
            <v>0</v>
          </cell>
          <cell r="E660" t="str">
            <v>ELV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 t="str">
            <v>H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 t="str">
            <v>P</v>
          </cell>
          <cell r="P660">
            <v>0</v>
          </cell>
          <cell r="Q660">
            <v>0</v>
          </cell>
          <cell r="R660" t="str">
            <v>L</v>
          </cell>
          <cell r="S660" t="str">
            <v xml:space="preserve"> </v>
          </cell>
          <cell r="T660">
            <v>0</v>
          </cell>
          <cell r="U660">
            <v>0</v>
          </cell>
          <cell r="V660"/>
          <cell r="W660">
            <v>0</v>
          </cell>
          <cell r="X660">
            <v>0</v>
          </cell>
          <cell r="Y660">
            <v>0</v>
          </cell>
          <cell r="Z660">
            <v>0</v>
          </cell>
          <cell r="AA660">
            <v>4</v>
          </cell>
          <cell r="AB660" t="str">
            <v>H, P, L, Q, V</v>
          </cell>
          <cell r="AC660">
            <v>0</v>
          </cell>
          <cell r="AD660">
            <v>0</v>
          </cell>
          <cell r="AE660">
            <v>0</v>
          </cell>
          <cell r="AF660" t="str">
            <v>BKS CO LTD</v>
          </cell>
          <cell r="AG660" t="str">
            <v>GREENBRIER INTERNATIONAL INC</v>
          </cell>
          <cell r="AH660" t="str">
            <v>URGENT</v>
          </cell>
          <cell r="AI660">
            <v>45052</v>
          </cell>
          <cell r="AJ660"/>
          <cell r="AK660"/>
          <cell r="AL660">
            <v>45055</v>
          </cell>
          <cell r="AM660">
            <v>45055</v>
          </cell>
          <cell r="AN660">
            <v>45057</v>
          </cell>
          <cell r="AO660">
            <v>45056</v>
          </cell>
          <cell r="AP660" t="str">
            <v>MUST</v>
          </cell>
        </row>
        <row r="661">
          <cell r="A661">
            <v>96231250488</v>
          </cell>
          <cell r="B661" t="str">
            <v>TY</v>
          </cell>
          <cell r="C661">
            <v>0</v>
          </cell>
          <cell r="D661" t="str">
            <v>VAN</v>
          </cell>
          <cell r="E661" t="str">
            <v>ELV</v>
          </cell>
          <cell r="F661" t="str">
            <v>done 0508MAKING 0508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T, L</v>
          </cell>
          <cell r="AC661">
            <v>0</v>
          </cell>
          <cell r="AD661" t="str">
            <v>YES</v>
          </cell>
          <cell r="AE661">
            <v>0</v>
          </cell>
          <cell r="AF661" t="str">
            <v>DREAM INTERNATIONAL LIMITED</v>
          </cell>
          <cell r="AG661" t="str">
            <v>DISNEY PRODUCT INTEGRITY FLORIDA</v>
          </cell>
          <cell r="AH661" t="str">
            <v>REGULAR</v>
          </cell>
          <cell r="AI661">
            <v>45052</v>
          </cell>
          <cell r="AJ661"/>
          <cell r="AK661"/>
          <cell r="AL661">
            <v>45057</v>
          </cell>
          <cell r="AM661">
            <v>45057</v>
          </cell>
          <cell r="AN661">
            <v>45057</v>
          </cell>
          <cell r="AO661">
            <v>45058</v>
          </cell>
          <cell r="AP661" t="str">
            <v>ACTIVE</v>
          </cell>
        </row>
        <row r="662">
          <cell r="A662">
            <v>96231250489</v>
          </cell>
          <cell r="B662" t="str">
            <v>CD</v>
          </cell>
          <cell r="C662">
            <v>0</v>
          </cell>
          <cell r="D662">
            <v>0</v>
          </cell>
          <cell r="E662" t="str">
            <v>ELV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 t="str">
            <v>H</v>
          </cell>
          <cell r="K662">
            <v>0</v>
          </cell>
          <cell r="L662">
            <v>0</v>
          </cell>
          <cell r="M662" t="str">
            <v>C</v>
          </cell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 t="str">
            <v>L</v>
          </cell>
          <cell r="S662" t="str">
            <v>M</v>
          </cell>
          <cell r="T662">
            <v>0</v>
          </cell>
          <cell r="U662">
            <v>0</v>
          </cell>
          <cell r="V662" t="str">
            <v>Q</v>
          </cell>
          <cell r="W662">
            <v>0</v>
          </cell>
          <cell r="X662">
            <v>0</v>
          </cell>
          <cell r="Y662">
            <v>0</v>
          </cell>
          <cell r="Z662">
            <v>0</v>
          </cell>
          <cell r="AA662">
            <v>5</v>
          </cell>
          <cell r="AB662" t="str">
            <v>H, C, L, M, Q</v>
          </cell>
          <cell r="AC662">
            <v>0</v>
          </cell>
          <cell r="AD662">
            <v>0</v>
          </cell>
          <cell r="AE662">
            <v>0</v>
          </cell>
          <cell r="AF662" t="str">
            <v>BKS CO LTD</v>
          </cell>
          <cell r="AG662" t="str">
            <v>GREENBRIER INTERNATIONAL INC</v>
          </cell>
          <cell r="AH662" t="str">
            <v>URGENT</v>
          </cell>
          <cell r="AI662">
            <v>45052</v>
          </cell>
          <cell r="AJ662"/>
          <cell r="AK662"/>
          <cell r="AL662">
            <v>45055</v>
          </cell>
          <cell r="AM662">
            <v>45055</v>
          </cell>
          <cell r="AN662">
            <v>45057</v>
          </cell>
          <cell r="AO662">
            <v>45056</v>
          </cell>
          <cell r="AP662" t="str">
            <v>MUST</v>
          </cell>
        </row>
        <row r="663">
          <cell r="A663">
            <v>96231250492</v>
          </cell>
          <cell r="B663" t="str">
            <v>CD</v>
          </cell>
          <cell r="C663">
            <v>0</v>
          </cell>
          <cell r="D663">
            <v>0</v>
          </cell>
          <cell r="E663" t="str">
            <v>ELV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 t="str">
            <v>H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 t="str">
            <v>L</v>
          </cell>
          <cell r="S663" t="str">
            <v>M</v>
          </cell>
          <cell r="T663">
            <v>0</v>
          </cell>
          <cell r="U663">
            <v>0</v>
          </cell>
          <cell r="V663" t="str">
            <v>Q</v>
          </cell>
          <cell r="W663">
            <v>0</v>
          </cell>
          <cell r="X663">
            <v>0</v>
          </cell>
          <cell r="Y663">
            <v>0</v>
          </cell>
          <cell r="Z663">
            <v>0</v>
          </cell>
          <cell r="AA663">
            <v>4</v>
          </cell>
          <cell r="AB663" t="str">
            <v>H, L, M, Q</v>
          </cell>
          <cell r="AC663">
            <v>0</v>
          </cell>
          <cell r="AD663">
            <v>0</v>
          </cell>
          <cell r="AE663">
            <v>0</v>
          </cell>
          <cell r="AF663" t="str">
            <v>BKS CO LTD</v>
          </cell>
          <cell r="AG663" t="str">
            <v>GREENBRIER INTERNATIONAL INC</v>
          </cell>
          <cell r="AH663" t="str">
            <v>URGENT</v>
          </cell>
          <cell r="AI663">
            <v>45052</v>
          </cell>
          <cell r="AJ663"/>
          <cell r="AK663"/>
          <cell r="AL663">
            <v>45055</v>
          </cell>
          <cell r="AM663">
            <v>45055</v>
          </cell>
          <cell r="AN663">
            <v>45057</v>
          </cell>
          <cell r="AO663">
            <v>45056</v>
          </cell>
          <cell r="AP663" t="str">
            <v>MUST</v>
          </cell>
        </row>
        <row r="664">
          <cell r="A664">
            <v>96231250493</v>
          </cell>
          <cell r="B664" t="str">
            <v>US1-RF CSE 96230860427</v>
          </cell>
          <cell r="C664">
            <v>0</v>
          </cell>
          <cell r="D664">
            <v>0</v>
          </cell>
          <cell r="E664" t="str">
            <v>VAN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 t="str">
            <v>V</v>
          </cell>
          <cell r="X664">
            <v>0</v>
          </cell>
          <cell r="Y664">
            <v>0</v>
          </cell>
          <cell r="Z664">
            <v>0</v>
          </cell>
          <cell r="AA664">
            <v>1</v>
          </cell>
          <cell r="AB664" t="str">
            <v>V</v>
          </cell>
          <cell r="AC664">
            <v>0</v>
          </cell>
          <cell r="AD664">
            <v>0</v>
          </cell>
          <cell r="AE664">
            <v>0</v>
          </cell>
          <cell r="AF664" t="str">
            <v>SIGNATURE HOME FURNISHINGS CO LTD</v>
          </cell>
          <cell r="AG664" t="str">
            <v>SIGNATURE HOME FURNISHINGS CO LTD</v>
          </cell>
          <cell r="AH664" t="str">
            <v>REGULAR</v>
          </cell>
          <cell r="AI664">
            <v>45052</v>
          </cell>
          <cell r="AJ664"/>
          <cell r="AK664"/>
          <cell r="AL664">
            <v>45057</v>
          </cell>
          <cell r="AM664">
            <v>45057</v>
          </cell>
          <cell r="AN664"/>
          <cell r="AO664">
            <v>45058</v>
          </cell>
          <cell r="AP664" t="str">
            <v>ACTIVE</v>
          </cell>
        </row>
        <row r="665">
          <cell r="A665">
            <v>96231260009</v>
          </cell>
          <cell r="B665" t="str">
            <v>TY</v>
          </cell>
          <cell r="C665">
            <v>0</v>
          </cell>
          <cell r="D665">
            <v>0</v>
          </cell>
          <cell r="E665" t="str">
            <v>TAN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 t="str">
            <v>T</v>
          </cell>
          <cell r="L665">
            <v>0</v>
          </cell>
          <cell r="M665">
            <v>0</v>
          </cell>
          <cell r="N665">
            <v>0</v>
          </cell>
          <cell r="O665" t="str">
            <v>P</v>
          </cell>
          <cell r="P665">
            <v>0</v>
          </cell>
          <cell r="Q665">
            <v>0</v>
          </cell>
          <cell r="R665" t="str">
            <v>L</v>
          </cell>
          <cell r="S665">
            <v>0</v>
          </cell>
          <cell r="T665">
            <v>0</v>
          </cell>
          <cell r="U665" t="str">
            <v>A</v>
          </cell>
          <cell r="V665">
            <v>0</v>
          </cell>
          <cell r="W665">
            <v>0</v>
          </cell>
          <cell r="X665" t="str">
            <v>X</v>
          </cell>
          <cell r="Y665" t="str">
            <v>B</v>
          </cell>
          <cell r="Z665">
            <v>0</v>
          </cell>
          <cell r="AA665">
            <v>6</v>
          </cell>
          <cell r="AB665" t="str">
            <v>T, P, L, A, Q, V, X, B</v>
          </cell>
          <cell r="AC665">
            <v>0</v>
          </cell>
          <cell r="AD665">
            <v>0</v>
          </cell>
          <cell r="AE665">
            <v>0</v>
          </cell>
          <cell r="AF665" t="str">
            <v>WAGON INTERNATIONAL CO LTD (TAIWAN)</v>
          </cell>
          <cell r="AG665" t="str">
            <v>THE DISNEY STORE, INC (CA)</v>
          </cell>
          <cell r="AH665" t="str">
            <v>REGULAR</v>
          </cell>
          <cell r="AI665">
            <v>45052</v>
          </cell>
          <cell r="AJ665"/>
          <cell r="AK665"/>
          <cell r="AL665">
            <v>45057</v>
          </cell>
          <cell r="AM665">
            <v>45057</v>
          </cell>
          <cell r="AN665">
            <v>45059</v>
          </cell>
          <cell r="AO665">
            <v>45058</v>
          </cell>
          <cell r="AP665" t="str">
            <v>ACTIVE</v>
          </cell>
        </row>
        <row r="666">
          <cell r="A666">
            <v>96231260018</v>
          </cell>
          <cell r="B666" t="str">
            <v>TY-RF SP 96231260009</v>
          </cell>
          <cell r="C666">
            <v>0</v>
          </cell>
          <cell r="D666">
            <v>0</v>
          </cell>
          <cell r="E666" t="str">
            <v>TAN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 t="str">
            <v>H</v>
          </cell>
          <cell r="K666" t="str">
            <v>T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 t="str">
            <v>L</v>
          </cell>
          <cell r="S666">
            <v>0</v>
          </cell>
          <cell r="T666">
            <v>0</v>
          </cell>
          <cell r="U666" t="str">
            <v>A</v>
          </cell>
          <cell r="V666" t="str">
            <v>Q</v>
          </cell>
          <cell r="W666">
            <v>0</v>
          </cell>
          <cell r="X666" t="str">
            <v>X</v>
          </cell>
          <cell r="Y666" t="str">
            <v>B</v>
          </cell>
          <cell r="Z666">
            <v>0</v>
          </cell>
          <cell r="AA666">
            <v>7</v>
          </cell>
          <cell r="AB666" t="str">
            <v>H, T, L, A, Q, V, X, B</v>
          </cell>
          <cell r="AC666">
            <v>0</v>
          </cell>
          <cell r="AD666">
            <v>0</v>
          </cell>
          <cell r="AE666">
            <v>0</v>
          </cell>
          <cell r="AF666" t="str">
            <v>WAGON INTERNATIONAL CO LTD (TAIWAN)</v>
          </cell>
          <cell r="AG666" t="str">
            <v>THE DISNEY STORE, INC (CA)</v>
          </cell>
          <cell r="AH666" t="str">
            <v>REGULAR</v>
          </cell>
          <cell r="AI666">
            <v>45052</v>
          </cell>
          <cell r="AJ666"/>
          <cell r="AK666"/>
          <cell r="AL666">
            <v>45057</v>
          </cell>
          <cell r="AM666">
            <v>45057</v>
          </cell>
          <cell r="AN666">
            <v>45059</v>
          </cell>
          <cell r="AO666">
            <v>45058</v>
          </cell>
          <cell r="AP666" t="str">
            <v>ACTIVE</v>
          </cell>
        </row>
        <row r="667">
          <cell r="A667">
            <v>96231260021</v>
          </cell>
          <cell r="B667" t="str">
            <v>TY-RF SP 96231260009</v>
          </cell>
          <cell r="C667">
            <v>0</v>
          </cell>
          <cell r="D667">
            <v>0</v>
          </cell>
          <cell r="E667" t="str">
            <v>TAN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 t="str">
            <v>H</v>
          </cell>
          <cell r="K667" t="str">
            <v>T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 t="str">
            <v>L</v>
          </cell>
          <cell r="S667">
            <v>0</v>
          </cell>
          <cell r="T667">
            <v>0</v>
          </cell>
          <cell r="U667" t="str">
            <v>A</v>
          </cell>
          <cell r="V667" t="str">
            <v>Q</v>
          </cell>
          <cell r="W667">
            <v>0</v>
          </cell>
          <cell r="X667" t="str">
            <v>X</v>
          </cell>
          <cell r="Y667" t="str">
            <v>B</v>
          </cell>
          <cell r="Z667">
            <v>0</v>
          </cell>
          <cell r="AA667">
            <v>7</v>
          </cell>
          <cell r="AB667" t="str">
            <v>H, T, L, A, Q, V, X, B</v>
          </cell>
          <cell r="AC667">
            <v>0</v>
          </cell>
          <cell r="AD667">
            <v>0</v>
          </cell>
          <cell r="AE667">
            <v>0</v>
          </cell>
          <cell r="AF667" t="str">
            <v>WAGON INTERNATIONAL CO LTD (TAIWAN)</v>
          </cell>
          <cell r="AG667" t="str">
            <v>THE DISNEY STORE, INC (CA)</v>
          </cell>
          <cell r="AH667" t="str">
            <v>REGULAR</v>
          </cell>
          <cell r="AI667">
            <v>45052</v>
          </cell>
          <cell r="AJ667"/>
          <cell r="AK667"/>
          <cell r="AL667">
            <v>45057</v>
          </cell>
          <cell r="AM667">
            <v>45057</v>
          </cell>
          <cell r="AN667">
            <v>45059</v>
          </cell>
          <cell r="AO667">
            <v>45058</v>
          </cell>
          <cell r="AP667" t="str">
            <v>ACTIVE</v>
          </cell>
        </row>
        <row r="668">
          <cell r="A668">
            <v>96231260023</v>
          </cell>
          <cell r="B668" t="str">
            <v>TY-RF SP 96231260009</v>
          </cell>
          <cell r="C668">
            <v>0</v>
          </cell>
          <cell r="D668">
            <v>0</v>
          </cell>
          <cell r="E668" t="str">
            <v>TAN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 t="str">
            <v>H</v>
          </cell>
          <cell r="K668" t="str">
            <v>T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 t="str">
            <v>L</v>
          </cell>
          <cell r="S668">
            <v>0</v>
          </cell>
          <cell r="T668">
            <v>0</v>
          </cell>
          <cell r="U668" t="str">
            <v>A</v>
          </cell>
          <cell r="V668">
            <v>0</v>
          </cell>
          <cell r="W668">
            <v>0</v>
          </cell>
          <cell r="X668" t="str">
            <v>X</v>
          </cell>
          <cell r="Y668" t="str">
            <v>B</v>
          </cell>
          <cell r="Z668">
            <v>0</v>
          </cell>
          <cell r="AA668">
            <v>6</v>
          </cell>
          <cell r="AB668" t="str">
            <v>H, T, L, A, Q, V, X, B</v>
          </cell>
          <cell r="AC668">
            <v>0</v>
          </cell>
          <cell r="AD668">
            <v>0</v>
          </cell>
          <cell r="AE668">
            <v>0</v>
          </cell>
          <cell r="AF668" t="str">
            <v>WAGON INTERNATIONAL CO LTD (TAIWAN)</v>
          </cell>
          <cell r="AG668" t="str">
            <v>THE DISNEY STORE, INC (CA)</v>
          </cell>
          <cell r="AH668" t="str">
            <v>REGULAR</v>
          </cell>
          <cell r="AI668">
            <v>45052</v>
          </cell>
          <cell r="AJ668"/>
          <cell r="AK668"/>
          <cell r="AL668">
            <v>45057</v>
          </cell>
          <cell r="AM668">
            <v>45057</v>
          </cell>
          <cell r="AN668">
            <v>45059</v>
          </cell>
          <cell r="AO668">
            <v>45058</v>
          </cell>
          <cell r="AP668" t="str">
            <v>ACTIVE</v>
          </cell>
        </row>
        <row r="669">
          <cell r="A669">
            <v>96231260024</v>
          </cell>
          <cell r="B669" t="str">
            <v>TY-RF SP 96231260009</v>
          </cell>
          <cell r="C669">
            <v>0</v>
          </cell>
          <cell r="D669">
            <v>0</v>
          </cell>
          <cell r="E669" t="str">
            <v>TAN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 t="str">
            <v>H</v>
          </cell>
          <cell r="K669" t="str">
            <v>T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 t="str">
            <v>L</v>
          </cell>
          <cell r="S669">
            <v>0</v>
          </cell>
          <cell r="T669">
            <v>0</v>
          </cell>
          <cell r="U669" t="str">
            <v>A</v>
          </cell>
          <cell r="V669" t="str">
            <v>Q</v>
          </cell>
          <cell r="W669">
            <v>0</v>
          </cell>
          <cell r="X669" t="str">
            <v>X</v>
          </cell>
          <cell r="Y669" t="str">
            <v>B</v>
          </cell>
          <cell r="Z669">
            <v>0</v>
          </cell>
          <cell r="AA669">
            <v>7</v>
          </cell>
          <cell r="AB669" t="str">
            <v>H, T, L, A, Q, V, X, B</v>
          </cell>
          <cell r="AC669">
            <v>0</v>
          </cell>
          <cell r="AD669">
            <v>0</v>
          </cell>
          <cell r="AE669">
            <v>0</v>
          </cell>
          <cell r="AF669" t="str">
            <v>WAGON INTERNATIONAL CO LTD (TAIWAN)</v>
          </cell>
          <cell r="AG669" t="str">
            <v>THE DISNEY STORE, INC (CA)</v>
          </cell>
          <cell r="AH669" t="str">
            <v>REGULAR</v>
          </cell>
          <cell r="AI669">
            <v>45052</v>
          </cell>
          <cell r="AJ669"/>
          <cell r="AK669"/>
          <cell r="AL669">
            <v>45057</v>
          </cell>
          <cell r="AM669">
            <v>45057</v>
          </cell>
          <cell r="AN669">
            <v>45059</v>
          </cell>
          <cell r="AO669">
            <v>45058</v>
          </cell>
          <cell r="AP669" t="str">
            <v>ACTIVE</v>
          </cell>
        </row>
        <row r="670">
          <cell r="A670">
            <v>96231260033</v>
          </cell>
          <cell r="B670" t="str">
            <v>US1-AS</v>
          </cell>
          <cell r="C670">
            <v>0</v>
          </cell>
          <cell r="D670">
            <v>0</v>
          </cell>
          <cell r="E670" t="str">
            <v>VAN/SHE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 t="str">
            <v>H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 t="str">
            <v>Q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2</v>
          </cell>
          <cell r="AB670" t="str">
            <v>H, Q</v>
          </cell>
          <cell r="AC670">
            <v>0</v>
          </cell>
          <cell r="AD670" t="str">
            <v>YES</v>
          </cell>
          <cell r="AE670">
            <v>0</v>
          </cell>
          <cell r="AF670" t="str">
            <v>VIETNAM HOUSEWARES CORPORATION</v>
          </cell>
          <cell r="AG670" t="str">
            <v>TARGET CORPORATION</v>
          </cell>
          <cell r="AH670" t="str">
            <v>REGULAR</v>
          </cell>
          <cell r="AI670">
            <v>45052</v>
          </cell>
          <cell r="AJ670"/>
          <cell r="AK670"/>
          <cell r="AL670">
            <v>45057</v>
          </cell>
          <cell r="AM670">
            <v>45057</v>
          </cell>
          <cell r="AN670">
            <v>45061</v>
          </cell>
          <cell r="AO670">
            <v>45058</v>
          </cell>
          <cell r="AP670" t="str">
            <v>ACTIVE</v>
          </cell>
        </row>
        <row r="671">
          <cell r="A671">
            <v>96231260047</v>
          </cell>
          <cell r="B671" t="str">
            <v>US1-AS</v>
          </cell>
          <cell r="C671">
            <v>0</v>
          </cell>
          <cell r="D671">
            <v>0</v>
          </cell>
          <cell r="E671" t="str">
            <v>VAN/SHE</v>
          </cell>
          <cell r="F671">
            <v>0</v>
          </cell>
          <cell r="G671" t="str">
            <v>R</v>
          </cell>
          <cell r="H671">
            <v>0</v>
          </cell>
          <cell r="I671">
            <v>0</v>
          </cell>
          <cell r="J671" t="str">
            <v>H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 t="str">
            <v>F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 t="str">
            <v>Q</v>
          </cell>
          <cell r="W671">
            <v>0</v>
          </cell>
          <cell r="X671">
            <v>0</v>
          </cell>
          <cell r="Y671">
            <v>0</v>
          </cell>
          <cell r="Z671">
            <v>0</v>
          </cell>
          <cell r="AA671">
            <v>4</v>
          </cell>
          <cell r="AB671" t="str">
            <v>H, R, F, Q</v>
          </cell>
          <cell r="AC671">
            <v>0</v>
          </cell>
          <cell r="AD671" t="str">
            <v>YES</v>
          </cell>
          <cell r="AE671">
            <v>0</v>
          </cell>
          <cell r="AF671" t="str">
            <v>VIETNAM HOUSEWARES CORPORATION</v>
          </cell>
          <cell r="AG671" t="str">
            <v>TARGET CORPORATION</v>
          </cell>
          <cell r="AH671" t="str">
            <v>REGULAR</v>
          </cell>
          <cell r="AI671">
            <v>45052</v>
          </cell>
          <cell r="AJ671"/>
          <cell r="AK671"/>
          <cell r="AL671">
            <v>45057</v>
          </cell>
          <cell r="AM671">
            <v>45057</v>
          </cell>
          <cell r="AN671">
            <v>45061</v>
          </cell>
          <cell r="AO671">
            <v>45058</v>
          </cell>
          <cell r="AP671" t="str">
            <v>ACTIVE</v>
          </cell>
        </row>
        <row r="672">
          <cell r="A672">
            <v>96231260060</v>
          </cell>
          <cell r="B672" t="str">
            <v>US2</v>
          </cell>
          <cell r="C672">
            <v>0</v>
          </cell>
          <cell r="D672">
            <v>0</v>
          </cell>
          <cell r="E672" t="str">
            <v>SHE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 t="str">
            <v>5/8: hold as overdue payment</v>
          </cell>
          <cell r="AF672" t="str">
            <v>ALLINGHAM HOLDINGS LTD (HONGKONG)</v>
          </cell>
          <cell r="AG672" t="str">
            <v>ALLINGHAM HOLDINGS LTD (HONGKONG)</v>
          </cell>
          <cell r="AH672" t="str">
            <v>REGULAR</v>
          </cell>
          <cell r="AI672">
            <v>45052</v>
          </cell>
          <cell r="AJ672">
            <v>45052</v>
          </cell>
          <cell r="AK672"/>
          <cell r="AL672">
            <v>45052</v>
          </cell>
          <cell r="AM672">
            <v>45052</v>
          </cell>
          <cell r="AN672"/>
          <cell r="AO672">
            <v>45052</v>
          </cell>
          <cell r="AP672" t="str">
            <v>ON HOLD</v>
          </cell>
        </row>
        <row r="673">
          <cell r="A673">
            <v>96231260096</v>
          </cell>
          <cell r="B673" t="str">
            <v>US2</v>
          </cell>
          <cell r="C673">
            <v>0</v>
          </cell>
          <cell r="D673">
            <v>0</v>
          </cell>
          <cell r="E673" t="str">
            <v>FLO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 t="str">
            <v>H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0</v>
          </cell>
          <cell r="AA673">
            <v>1</v>
          </cell>
          <cell r="AB673" t="str">
            <v>H</v>
          </cell>
          <cell r="AC673">
            <v>0</v>
          </cell>
          <cell r="AD673">
            <v>0</v>
          </cell>
          <cell r="AE673">
            <v>0</v>
          </cell>
          <cell r="AF673" t="str">
            <v>HANG NGHIA FURNITURE COMPANY LIMITED</v>
          </cell>
          <cell r="AG673" t="str">
            <v>HANG NGHIA FURNITURE COMPANY LIMITED</v>
          </cell>
          <cell r="AH673" t="str">
            <v>REGULAR</v>
          </cell>
          <cell r="AI673">
            <v>45052</v>
          </cell>
          <cell r="AJ673">
            <v>45052</v>
          </cell>
          <cell r="AK673">
            <v>45054</v>
          </cell>
          <cell r="AL673">
            <v>45058</v>
          </cell>
          <cell r="AM673">
            <v>45058</v>
          </cell>
          <cell r="AN673"/>
          <cell r="AO673">
            <v>45059</v>
          </cell>
          <cell r="AP673" t="str">
            <v>OFF HOLD</v>
          </cell>
        </row>
        <row r="674">
          <cell r="A674">
            <v>96231260109</v>
          </cell>
          <cell r="B674" t="str">
            <v>AN</v>
          </cell>
          <cell r="C674">
            <v>0</v>
          </cell>
          <cell r="D674">
            <v>0</v>
          </cell>
          <cell r="E674" t="str">
            <v>SHE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 HANDLE</v>
          </cell>
          <cell r="AC674">
            <v>0</v>
          </cell>
          <cell r="AD674">
            <v>0</v>
          </cell>
          <cell r="AE674">
            <v>0</v>
          </cell>
          <cell r="AF674" t="str">
            <v>MING YOU FURNITURE CO LTD</v>
          </cell>
          <cell r="AG674" t="str">
            <v>ASHLEY FURNITURE INDUSTRIES LLC</v>
          </cell>
          <cell r="AH674" t="str">
            <v>REGULAR</v>
          </cell>
          <cell r="AI674">
            <v>45052</v>
          </cell>
          <cell r="AJ674"/>
          <cell r="AK674"/>
          <cell r="AL674">
            <v>45058</v>
          </cell>
          <cell r="AM674">
            <v>45058</v>
          </cell>
          <cell r="AN674"/>
          <cell r="AO674">
            <v>45059</v>
          </cell>
          <cell r="AP674" t="str">
            <v>AN HANDLE</v>
          </cell>
        </row>
        <row r="675">
          <cell r="A675">
            <v>96231260115</v>
          </cell>
          <cell r="B675" t="str">
            <v>TY</v>
          </cell>
          <cell r="C675">
            <v>0</v>
          </cell>
          <cell r="D675">
            <v>0</v>
          </cell>
          <cell r="E675" t="str">
            <v>HAN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 t="str">
            <v>T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 t="str">
            <v>Q</v>
          </cell>
          <cell r="W675" t="str">
            <v>V</v>
          </cell>
          <cell r="X675">
            <v>0</v>
          </cell>
          <cell r="Y675" t="str">
            <v>B</v>
          </cell>
          <cell r="Z675">
            <v>0</v>
          </cell>
          <cell r="AA675">
            <v>4</v>
          </cell>
          <cell r="AB675" t="str">
            <v>T, Q, V, B</v>
          </cell>
          <cell r="AC675">
            <v>0</v>
          </cell>
          <cell r="AD675" t="str">
            <v>YES</v>
          </cell>
          <cell r="AE675">
            <v>0</v>
          </cell>
          <cell r="AF675" t="str">
            <v>DREAM INTERNATIONAL LIMITED</v>
          </cell>
          <cell r="AG675" t="str">
            <v>SHANGHAI INTERNATIONAL THEME PARK COMPANY LTD</v>
          </cell>
          <cell r="AH675" t="str">
            <v>REGULAR</v>
          </cell>
          <cell r="AI675">
            <v>45052</v>
          </cell>
          <cell r="AJ675"/>
          <cell r="AK675"/>
          <cell r="AL675">
            <v>45056</v>
          </cell>
          <cell r="AM675">
            <v>45058</v>
          </cell>
          <cell r="AN675"/>
          <cell r="AO675">
            <v>45058</v>
          </cell>
          <cell r="AP675" t="str">
            <v>ACTIVE</v>
          </cell>
        </row>
        <row r="676">
          <cell r="A676">
            <v>96231260118</v>
          </cell>
          <cell r="B676" t="str">
            <v>AN</v>
          </cell>
          <cell r="C676">
            <v>0</v>
          </cell>
          <cell r="D676">
            <v>0</v>
          </cell>
          <cell r="E676" t="str">
            <v>SHE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 HANDLE</v>
          </cell>
          <cell r="AC676">
            <v>0</v>
          </cell>
          <cell r="AD676">
            <v>0</v>
          </cell>
          <cell r="AE676">
            <v>0</v>
          </cell>
          <cell r="AF676" t="str">
            <v>MING YOU FURNITURE CO LTD</v>
          </cell>
          <cell r="AG676" t="str">
            <v>ASHLEY FURNITURE INDUSTRIES LLC</v>
          </cell>
          <cell r="AH676" t="str">
            <v>REGULAR</v>
          </cell>
          <cell r="AI676">
            <v>45052</v>
          </cell>
          <cell r="AJ676"/>
          <cell r="AK676"/>
          <cell r="AL676">
            <v>45058</v>
          </cell>
          <cell r="AM676">
            <v>45058</v>
          </cell>
          <cell r="AN676"/>
          <cell r="AO676">
            <v>45059</v>
          </cell>
          <cell r="AP676" t="str">
            <v>AN HANDLE</v>
          </cell>
        </row>
        <row r="677">
          <cell r="A677">
            <v>96231260123</v>
          </cell>
          <cell r="B677" t="str">
            <v>AN</v>
          </cell>
          <cell r="C677">
            <v>0</v>
          </cell>
          <cell r="D677">
            <v>0</v>
          </cell>
          <cell r="E677" t="str">
            <v>SHE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 HANDLE</v>
          </cell>
          <cell r="AC677">
            <v>0</v>
          </cell>
          <cell r="AD677">
            <v>0</v>
          </cell>
          <cell r="AE677">
            <v>0</v>
          </cell>
          <cell r="AF677" t="str">
            <v>MING YOU FURNITURE CO LTD</v>
          </cell>
          <cell r="AG677" t="str">
            <v>ASHLEY FURNITURE INDUSTRIES LLC</v>
          </cell>
          <cell r="AH677" t="str">
            <v>REGULAR</v>
          </cell>
          <cell r="AI677">
            <v>45052</v>
          </cell>
          <cell r="AJ677"/>
          <cell r="AK677"/>
          <cell r="AL677">
            <v>45058</v>
          </cell>
          <cell r="AM677">
            <v>45058</v>
          </cell>
          <cell r="AN677"/>
          <cell r="AO677">
            <v>45059</v>
          </cell>
          <cell r="AP677" t="str">
            <v>AN HANDLE</v>
          </cell>
        </row>
        <row r="678">
          <cell r="A678">
            <v>96231260125</v>
          </cell>
          <cell r="B678" t="str">
            <v>AN</v>
          </cell>
          <cell r="C678">
            <v>0</v>
          </cell>
          <cell r="D678">
            <v>0</v>
          </cell>
          <cell r="E678" t="str">
            <v>SHE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 HANDLE</v>
          </cell>
          <cell r="AC678">
            <v>0</v>
          </cell>
          <cell r="AD678">
            <v>0</v>
          </cell>
          <cell r="AE678">
            <v>0</v>
          </cell>
          <cell r="AF678" t="str">
            <v>MING YOU FURNITURE CO LTD</v>
          </cell>
          <cell r="AG678" t="str">
            <v>ASHLEY FURNITURE INDUSTRIES LLC</v>
          </cell>
          <cell r="AH678" t="str">
            <v>REGULAR</v>
          </cell>
          <cell r="AI678">
            <v>45052</v>
          </cell>
          <cell r="AJ678"/>
          <cell r="AK678"/>
          <cell r="AL678">
            <v>45058</v>
          </cell>
          <cell r="AM678">
            <v>45058</v>
          </cell>
          <cell r="AN678"/>
          <cell r="AO678">
            <v>45059</v>
          </cell>
          <cell r="AP678" t="str">
            <v>AN HANDLE</v>
          </cell>
        </row>
        <row r="679">
          <cell r="A679">
            <v>96231260127</v>
          </cell>
          <cell r="B679" t="str">
            <v>US2</v>
          </cell>
          <cell r="C679">
            <v>0</v>
          </cell>
          <cell r="D679" t="str">
            <v>VAN</v>
          </cell>
          <cell r="E679" t="str">
            <v>SHE</v>
          </cell>
          <cell r="F679" t="str">
            <v>DONE 0509
MAKING 0509</v>
          </cell>
          <cell r="G679"/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  <cell r="Q679">
            <v>0</v>
          </cell>
          <cell r="R679">
            <v>0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R</v>
          </cell>
          <cell r="AC679">
            <v>0</v>
          </cell>
          <cell r="AD679">
            <v>0</v>
          </cell>
          <cell r="AE679">
            <v>0</v>
          </cell>
          <cell r="AF679" t="str">
            <v>MING YOU FURNITURE CO LTD</v>
          </cell>
          <cell r="AG679" t="str">
            <v>ASHLEY FURNITURE INDUSTRIES LLC</v>
          </cell>
          <cell r="AH679" t="str">
            <v>REGULAR</v>
          </cell>
          <cell r="AI679">
            <v>45052</v>
          </cell>
          <cell r="AJ679"/>
          <cell r="AK679"/>
          <cell r="AL679">
            <v>45058</v>
          </cell>
          <cell r="AM679">
            <v>45058</v>
          </cell>
          <cell r="AN679"/>
          <cell r="AO679">
            <v>45059</v>
          </cell>
          <cell r="AP679" t="str">
            <v>ACTIVE</v>
          </cell>
        </row>
        <row r="680">
          <cell r="A680">
            <v>96231260144</v>
          </cell>
          <cell r="B680" t="str">
            <v>TY</v>
          </cell>
          <cell r="C680">
            <v>0</v>
          </cell>
          <cell r="D680">
            <v>0</v>
          </cell>
          <cell r="E680" t="str">
            <v>HAN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 t="str">
            <v>T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 t="str">
            <v>W</v>
          </cell>
          <cell r="Q680" t="str">
            <v>F</v>
          </cell>
          <cell r="R680" t="str">
            <v>L</v>
          </cell>
          <cell r="S680" t="str">
            <v>M</v>
          </cell>
          <cell r="T680">
            <v>0</v>
          </cell>
          <cell r="U680">
            <v>0</v>
          </cell>
          <cell r="V680" t="str">
            <v>Q</v>
          </cell>
          <cell r="W680" t="str">
            <v>V</v>
          </cell>
          <cell r="X680" t="str">
            <v>X</v>
          </cell>
          <cell r="Y680">
            <v>0</v>
          </cell>
          <cell r="Z680">
            <v>0</v>
          </cell>
          <cell r="AA680">
            <v>8</v>
          </cell>
          <cell r="AB680" t="str">
            <v>T, W, F, L, M, A, Q, V, X</v>
          </cell>
          <cell r="AC680">
            <v>0</v>
          </cell>
          <cell r="AD680" t="str">
            <v>YES</v>
          </cell>
          <cell r="AE680">
            <v>0</v>
          </cell>
          <cell r="AF680" t="str">
            <v>DREAM INTERNATIONAL LIMITED</v>
          </cell>
          <cell r="AG680" t="str">
            <v>THE DISNEY STORE EUROPE</v>
          </cell>
          <cell r="AH680" t="str">
            <v>REGULAR</v>
          </cell>
          <cell r="AI680">
            <v>45052</v>
          </cell>
          <cell r="AJ680"/>
          <cell r="AK680"/>
          <cell r="AL680">
            <v>45057</v>
          </cell>
          <cell r="AM680">
            <v>45057</v>
          </cell>
          <cell r="AN680">
            <v>45059</v>
          </cell>
          <cell r="AO680">
            <v>45058</v>
          </cell>
          <cell r="AP680" t="str">
            <v>ACTIVE</v>
          </cell>
        </row>
        <row r="681">
          <cell r="A681">
            <v>96231260145</v>
          </cell>
          <cell r="B681" t="str">
            <v>TY</v>
          </cell>
          <cell r="C681">
            <v>0</v>
          </cell>
          <cell r="D681">
            <v>0</v>
          </cell>
          <cell r="E681" t="str">
            <v>ELV</v>
          </cell>
          <cell r="F681" t="str">
            <v>FIRST MAKING 0509-AN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 t="str">
            <v>V</v>
          </cell>
          <cell r="X681">
            <v>0</v>
          </cell>
          <cell r="Y681">
            <v>0</v>
          </cell>
          <cell r="Z681">
            <v>0</v>
          </cell>
          <cell r="AA681">
            <v>1</v>
          </cell>
          <cell r="AB681" t="str">
            <v>V</v>
          </cell>
          <cell r="AC681">
            <v>0</v>
          </cell>
          <cell r="AD681" t="str">
            <v>YES</v>
          </cell>
          <cell r="AE681">
            <v>0</v>
          </cell>
          <cell r="AF681" t="str">
            <v>DREAM PLASTIC CO LTD</v>
          </cell>
          <cell r="AG681" t="str">
            <v>DREAM PLASTIC CO LTD</v>
          </cell>
          <cell r="AH681" t="str">
            <v>REGULAR</v>
          </cell>
          <cell r="AI681">
            <v>45052</v>
          </cell>
          <cell r="AJ681">
            <v>45054</v>
          </cell>
          <cell r="AK681"/>
          <cell r="AL681">
            <v>45058</v>
          </cell>
          <cell r="AM681">
            <v>45058</v>
          </cell>
          <cell r="AN681"/>
          <cell r="AO681">
            <v>45059</v>
          </cell>
          <cell r="AP681" t="str">
            <v>ON HOLD</v>
          </cell>
        </row>
        <row r="682">
          <cell r="A682">
            <v>96231260148</v>
          </cell>
          <cell r="B682" t="str">
            <v>US1-AS</v>
          </cell>
          <cell r="C682">
            <v>0</v>
          </cell>
          <cell r="D682">
            <v>0</v>
          </cell>
          <cell r="E682" t="str">
            <v>MIN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 t="str">
            <v>H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 t="str">
            <v>P</v>
          </cell>
          <cell r="P682">
            <v>0</v>
          </cell>
          <cell r="Q682" t="str">
            <v>F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 t="str">
            <v>Q</v>
          </cell>
          <cell r="W682">
            <v>0</v>
          </cell>
          <cell r="X682">
            <v>0</v>
          </cell>
          <cell r="Y682">
            <v>0</v>
          </cell>
          <cell r="Z682">
            <v>0</v>
          </cell>
          <cell r="AA682">
            <v>4</v>
          </cell>
          <cell r="AB682" t="str">
            <v>H, P, F, Q</v>
          </cell>
          <cell r="AC682">
            <v>0</v>
          </cell>
          <cell r="AD682">
            <v>0</v>
          </cell>
          <cell r="AE682">
            <v>0</v>
          </cell>
          <cell r="AF682" t="str">
            <v>ABBYSON LIVING LLC</v>
          </cell>
          <cell r="AG682" t="str">
            <v>SAM'S CLUB</v>
          </cell>
          <cell r="AH682" t="str">
            <v>URGENT</v>
          </cell>
          <cell r="AI682">
            <v>45052</v>
          </cell>
          <cell r="AJ682">
            <v>45052</v>
          </cell>
          <cell r="AK682">
            <v>45054</v>
          </cell>
          <cell r="AL682">
            <v>45055</v>
          </cell>
          <cell r="AM682">
            <v>45055</v>
          </cell>
          <cell r="AN682">
            <v>45058</v>
          </cell>
          <cell r="AO682">
            <v>45056</v>
          </cell>
          <cell r="AP682" t="str">
            <v>MUST</v>
          </cell>
        </row>
        <row r="683">
          <cell r="A683">
            <v>96231260155</v>
          </cell>
          <cell r="B683" t="str">
            <v>AN</v>
          </cell>
          <cell r="C683">
            <v>0</v>
          </cell>
          <cell r="D683">
            <v>0</v>
          </cell>
          <cell r="E683" t="str">
            <v>SHE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 HANDLE</v>
          </cell>
          <cell r="AC683">
            <v>0</v>
          </cell>
          <cell r="AD683" t="str">
            <v>YES</v>
          </cell>
          <cell r="AE683">
            <v>0</v>
          </cell>
          <cell r="AF683" t="str">
            <v>ELEMENTS INTERNATIONAL GROUP LLC</v>
          </cell>
          <cell r="AG683" t="str">
            <v>ELEMENTS INTERNATIONAL GROUP LLC</v>
          </cell>
          <cell r="AH683" t="str">
            <v>URGENT</v>
          </cell>
          <cell r="AI683">
            <v>45052</v>
          </cell>
          <cell r="AJ683"/>
          <cell r="AK683"/>
          <cell r="AL683">
            <v>45054</v>
          </cell>
          <cell r="AM683">
            <v>45054</v>
          </cell>
          <cell r="AN683"/>
          <cell r="AO683">
            <v>45055</v>
          </cell>
          <cell r="AP683" t="str">
            <v>AN HANDLE</v>
          </cell>
        </row>
        <row r="684">
          <cell r="A684">
            <v>96231260162</v>
          </cell>
          <cell r="B684" t="str">
            <v>CD-RF SP 96230900240</v>
          </cell>
          <cell r="C684">
            <v>0</v>
          </cell>
          <cell r="D684">
            <v>0</v>
          </cell>
          <cell r="E684" t="str">
            <v>MIN/ELV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 t="str">
            <v>H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 t="str">
            <v>P</v>
          </cell>
          <cell r="P684">
            <v>0</v>
          </cell>
          <cell r="Q684" t="str">
            <v>F</v>
          </cell>
          <cell r="R684">
            <v>0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0</v>
          </cell>
          <cell r="AA684">
            <v>3</v>
          </cell>
          <cell r="AB684" t="str">
            <v>H, P, F</v>
          </cell>
          <cell r="AC684">
            <v>0</v>
          </cell>
          <cell r="AD684" t="str">
            <v>YES</v>
          </cell>
          <cell r="AE684">
            <v>0</v>
          </cell>
          <cell r="AF684" t="str">
            <v>SEDO CAMPING CO., LTD.</v>
          </cell>
          <cell r="AG684" t="str">
            <v>WAL-MART.COM USA, LLC</v>
          </cell>
          <cell r="AH684" t="str">
            <v>REGULAR</v>
          </cell>
          <cell r="AI684">
            <v>45052</v>
          </cell>
          <cell r="AJ684"/>
          <cell r="AK684"/>
          <cell r="AL684">
            <v>45057</v>
          </cell>
          <cell r="AM684">
            <v>45057</v>
          </cell>
          <cell r="AN684">
            <v>45059</v>
          </cell>
          <cell r="AO684">
            <v>45058</v>
          </cell>
          <cell r="AP684" t="str">
            <v>ACTIVE</v>
          </cell>
        </row>
        <row r="685">
          <cell r="A685">
            <v>96231260167</v>
          </cell>
          <cell r="B685" t="str">
            <v>JP-RF SP 96230760664</v>
          </cell>
          <cell r="C685">
            <v>0</v>
          </cell>
          <cell r="D685">
            <v>0</v>
          </cell>
          <cell r="E685" t="str">
            <v>VAN</v>
          </cell>
          <cell r="F685" t="str">
            <v>MAKING 0509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J, M, Q, V</v>
          </cell>
          <cell r="AC685">
            <v>0</v>
          </cell>
          <cell r="AD685" t="str">
            <v>YES</v>
          </cell>
          <cell r="AE685">
            <v>0</v>
          </cell>
          <cell r="AF685" t="str">
            <v>M DESIGN VILLAGE LLC</v>
          </cell>
          <cell r="AG685" t="str">
            <v>M DESIGN VILLAGE LLC</v>
          </cell>
          <cell r="AH685" t="str">
            <v>REGULAR</v>
          </cell>
          <cell r="AI685">
            <v>45052</v>
          </cell>
          <cell r="AJ685"/>
          <cell r="AK685"/>
          <cell r="AL685">
            <v>45058</v>
          </cell>
          <cell r="AM685">
            <v>45058</v>
          </cell>
          <cell r="AN685"/>
          <cell r="AO685">
            <v>45059</v>
          </cell>
          <cell r="AP685" t="str">
            <v>ACTIVE</v>
          </cell>
        </row>
        <row r="686">
          <cell r="A686">
            <v>96231260174</v>
          </cell>
          <cell r="B686" t="str">
            <v>TY</v>
          </cell>
          <cell r="C686">
            <v>0</v>
          </cell>
          <cell r="D686">
            <v>0</v>
          </cell>
          <cell r="E686" t="str">
            <v>TAN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 t="str">
            <v>H</v>
          </cell>
          <cell r="K686" t="str">
            <v>T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 t="str">
            <v>W</v>
          </cell>
          <cell r="Q686" t="str">
            <v>F</v>
          </cell>
          <cell r="R686" t="str">
            <v>L</v>
          </cell>
          <cell r="S686">
            <v>0</v>
          </cell>
          <cell r="T686">
            <v>0</v>
          </cell>
          <cell r="U686" t="str">
            <v>A</v>
          </cell>
          <cell r="V686" t="str">
            <v>Q</v>
          </cell>
          <cell r="W686" t="str">
            <v>V</v>
          </cell>
          <cell r="X686">
            <v>0</v>
          </cell>
          <cell r="Y686">
            <v>0</v>
          </cell>
          <cell r="Z686">
            <v>0</v>
          </cell>
          <cell r="AA686">
            <v>8</v>
          </cell>
          <cell r="AB686" t="str">
            <v>H, T, W, F, L, A, Q, V</v>
          </cell>
          <cell r="AC686">
            <v>0</v>
          </cell>
          <cell r="AD686" t="str">
            <v>YES</v>
          </cell>
          <cell r="AE686">
            <v>0</v>
          </cell>
          <cell r="AF686" t="str">
            <v>INNOFLOW KOREA COMPANY LIMITED</v>
          </cell>
          <cell r="AG686" t="str">
            <v>THE DISNEY STORE, INC (CA)</v>
          </cell>
          <cell r="AH686" t="str">
            <v>REGULAR</v>
          </cell>
          <cell r="AI686">
            <v>45052</v>
          </cell>
          <cell r="AJ686">
            <v>45054</v>
          </cell>
          <cell r="AK686"/>
          <cell r="AL686">
            <v>45057</v>
          </cell>
          <cell r="AM686">
            <v>45057</v>
          </cell>
          <cell r="AN686">
            <v>45059</v>
          </cell>
          <cell r="AO686">
            <v>45058</v>
          </cell>
          <cell r="AP686" t="str">
            <v>ON HOLD</v>
          </cell>
        </row>
        <row r="687">
          <cell r="A687">
            <v>96231260193</v>
          </cell>
          <cell r="B687" t="str">
            <v>TY-RP SP 96231260174</v>
          </cell>
          <cell r="C687">
            <v>0</v>
          </cell>
          <cell r="D687">
            <v>0</v>
          </cell>
          <cell r="E687" t="str">
            <v>TAN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 t="str">
            <v>T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  <cell r="Q687" t="str">
            <v>F</v>
          </cell>
          <cell r="R687" t="str">
            <v>L</v>
          </cell>
          <cell r="S687">
            <v>0</v>
          </cell>
          <cell r="T687">
            <v>0</v>
          </cell>
          <cell r="U687" t="str">
            <v>A</v>
          </cell>
          <cell r="V687" t="str">
            <v>Q</v>
          </cell>
          <cell r="W687" t="str">
            <v>V</v>
          </cell>
          <cell r="X687">
            <v>0</v>
          </cell>
          <cell r="Y687">
            <v>0</v>
          </cell>
          <cell r="Z687">
            <v>0</v>
          </cell>
          <cell r="AA687">
            <v>6</v>
          </cell>
          <cell r="AB687" t="str">
            <v>T, F, L, A, Q, V</v>
          </cell>
          <cell r="AC687">
            <v>0</v>
          </cell>
          <cell r="AD687" t="str">
            <v>YES</v>
          </cell>
          <cell r="AE687">
            <v>0</v>
          </cell>
          <cell r="AF687" t="str">
            <v>INNOFLOW KOREA COMPANY LIMITED</v>
          </cell>
          <cell r="AG687" t="str">
            <v>THE DISNEY STORE, INC (CA)</v>
          </cell>
          <cell r="AH687" t="str">
            <v>REGULAR</v>
          </cell>
          <cell r="AI687">
            <v>45052</v>
          </cell>
          <cell r="AJ687">
            <v>45054</v>
          </cell>
          <cell r="AK687"/>
          <cell r="AL687">
            <v>45057</v>
          </cell>
          <cell r="AM687">
            <v>45057</v>
          </cell>
          <cell r="AN687">
            <v>45059</v>
          </cell>
          <cell r="AO687">
            <v>45058</v>
          </cell>
          <cell r="AP687" t="str">
            <v>ON HOLD</v>
          </cell>
        </row>
        <row r="688">
          <cell r="A688">
            <v>96231260195</v>
          </cell>
          <cell r="B688" t="str">
            <v>TY-RP SP 96231260174</v>
          </cell>
          <cell r="C688">
            <v>0</v>
          </cell>
          <cell r="D688">
            <v>0</v>
          </cell>
          <cell r="E688" t="str">
            <v>TAN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 t="str">
            <v>T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 t="str">
            <v>F</v>
          </cell>
          <cell r="R688" t="str">
            <v>L</v>
          </cell>
          <cell r="S688">
            <v>0</v>
          </cell>
          <cell r="T688">
            <v>0</v>
          </cell>
          <cell r="U688">
            <v>0</v>
          </cell>
          <cell r="V688" t="str">
            <v>Q</v>
          </cell>
          <cell r="W688" t="str">
            <v>V</v>
          </cell>
          <cell r="X688">
            <v>0</v>
          </cell>
          <cell r="Y688">
            <v>0</v>
          </cell>
          <cell r="Z688">
            <v>0</v>
          </cell>
          <cell r="AA688">
            <v>5</v>
          </cell>
          <cell r="AB688" t="str">
            <v>T, F, L, Q, V</v>
          </cell>
          <cell r="AC688">
            <v>0</v>
          </cell>
          <cell r="AD688" t="str">
            <v>YES</v>
          </cell>
          <cell r="AE688">
            <v>0</v>
          </cell>
          <cell r="AF688" t="str">
            <v>INNOFLOW KOREA COMPANY LIMITED</v>
          </cell>
          <cell r="AG688" t="str">
            <v>THE DISNEY STORE, INC (CA)</v>
          </cell>
          <cell r="AH688" t="str">
            <v>REGULAR</v>
          </cell>
          <cell r="AI688">
            <v>45052</v>
          </cell>
          <cell r="AJ688">
            <v>45054</v>
          </cell>
          <cell r="AK688"/>
          <cell r="AL688">
            <v>45057</v>
          </cell>
          <cell r="AM688">
            <v>45057</v>
          </cell>
          <cell r="AN688">
            <v>45059</v>
          </cell>
          <cell r="AO688">
            <v>45058</v>
          </cell>
          <cell r="AP688" t="str">
            <v>ON HOLD</v>
          </cell>
        </row>
        <row r="689">
          <cell r="A689">
            <v>96231260197</v>
          </cell>
          <cell r="B689" t="str">
            <v>TY-RP SP 96231260174</v>
          </cell>
          <cell r="C689">
            <v>0</v>
          </cell>
          <cell r="D689">
            <v>0</v>
          </cell>
          <cell r="E689" t="str">
            <v>TAN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 t="str">
            <v>T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 t="str">
            <v>W</v>
          </cell>
          <cell r="Q689" t="str">
            <v>F</v>
          </cell>
          <cell r="R689" t="str">
            <v>L</v>
          </cell>
          <cell r="S689">
            <v>0</v>
          </cell>
          <cell r="T689">
            <v>0</v>
          </cell>
          <cell r="U689" t="str">
            <v>A</v>
          </cell>
          <cell r="V689" t="str">
            <v>Q</v>
          </cell>
          <cell r="W689" t="str">
            <v>V</v>
          </cell>
          <cell r="X689">
            <v>0</v>
          </cell>
          <cell r="Y689">
            <v>0</v>
          </cell>
          <cell r="Z689">
            <v>0</v>
          </cell>
          <cell r="AA689">
            <v>7</v>
          </cell>
          <cell r="AB689" t="str">
            <v>T, W, F, L, A, Q, V</v>
          </cell>
          <cell r="AC689">
            <v>0</v>
          </cell>
          <cell r="AD689" t="str">
            <v>YES</v>
          </cell>
          <cell r="AE689">
            <v>0</v>
          </cell>
          <cell r="AF689" t="str">
            <v>INNOFLOW KOREA COMPANY LIMITED</v>
          </cell>
          <cell r="AG689" t="str">
            <v>THE DISNEY STORE, INC (CA)</v>
          </cell>
          <cell r="AH689" t="str">
            <v>REGULAR</v>
          </cell>
          <cell r="AI689">
            <v>45052</v>
          </cell>
          <cell r="AJ689">
            <v>45054</v>
          </cell>
          <cell r="AK689"/>
          <cell r="AL689">
            <v>45057</v>
          </cell>
          <cell r="AM689">
            <v>45057</v>
          </cell>
          <cell r="AN689">
            <v>45059</v>
          </cell>
          <cell r="AO689">
            <v>45058</v>
          </cell>
          <cell r="AP689" t="str">
            <v>ON HOLD</v>
          </cell>
        </row>
        <row r="690">
          <cell r="A690">
            <v>96231260201</v>
          </cell>
          <cell r="B690" t="str">
            <v>TY-RP SP 96231260174</v>
          </cell>
          <cell r="C690">
            <v>0</v>
          </cell>
          <cell r="D690">
            <v>0</v>
          </cell>
          <cell r="E690" t="str">
            <v>TAN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 t="str">
            <v>T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 t="str">
            <v>W</v>
          </cell>
          <cell r="Q690" t="str">
            <v>F</v>
          </cell>
          <cell r="R690" t="str">
            <v>L</v>
          </cell>
          <cell r="S690">
            <v>0</v>
          </cell>
          <cell r="T690">
            <v>0</v>
          </cell>
          <cell r="U690" t="str">
            <v>A</v>
          </cell>
          <cell r="V690" t="str">
            <v>Q</v>
          </cell>
          <cell r="W690" t="str">
            <v>V</v>
          </cell>
          <cell r="X690">
            <v>0</v>
          </cell>
          <cell r="Y690">
            <v>0</v>
          </cell>
          <cell r="Z690">
            <v>0</v>
          </cell>
          <cell r="AA690">
            <v>7</v>
          </cell>
          <cell r="AB690" t="str">
            <v>T, W, F, L, A, Q, V</v>
          </cell>
          <cell r="AC690">
            <v>0</v>
          </cell>
          <cell r="AD690" t="str">
            <v>YES</v>
          </cell>
          <cell r="AE690">
            <v>0</v>
          </cell>
          <cell r="AF690" t="str">
            <v>INNOFLOW KOREA COMPANY LIMITED</v>
          </cell>
          <cell r="AG690" t="str">
            <v>THE DISNEY STORE, INC (CA)</v>
          </cell>
          <cell r="AH690" t="str">
            <v>REGULAR</v>
          </cell>
          <cell r="AI690">
            <v>45052</v>
          </cell>
          <cell r="AJ690">
            <v>45054</v>
          </cell>
          <cell r="AK690"/>
          <cell r="AL690">
            <v>45057</v>
          </cell>
          <cell r="AM690">
            <v>45057</v>
          </cell>
          <cell r="AN690">
            <v>45059</v>
          </cell>
          <cell r="AO690">
            <v>45058</v>
          </cell>
          <cell r="AP690" t="str">
            <v>ON HOLD</v>
          </cell>
        </row>
        <row r="691">
          <cell r="A691">
            <v>96231260202</v>
          </cell>
          <cell r="B691" t="str">
            <v>TY-RP SP 96231260174</v>
          </cell>
          <cell r="C691">
            <v>0</v>
          </cell>
          <cell r="D691">
            <v>0</v>
          </cell>
          <cell r="E691" t="str">
            <v>TAN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 t="str">
            <v>T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 t="str">
            <v>W</v>
          </cell>
          <cell r="Q691" t="str">
            <v>F</v>
          </cell>
          <cell r="R691" t="str">
            <v>L</v>
          </cell>
          <cell r="S691">
            <v>0</v>
          </cell>
          <cell r="T691">
            <v>0</v>
          </cell>
          <cell r="U691" t="str">
            <v>A</v>
          </cell>
          <cell r="V691" t="str">
            <v>Q</v>
          </cell>
          <cell r="W691" t="str">
            <v>V</v>
          </cell>
          <cell r="X691">
            <v>0</v>
          </cell>
          <cell r="Y691">
            <v>0</v>
          </cell>
          <cell r="Z691">
            <v>0</v>
          </cell>
          <cell r="AA691">
            <v>7</v>
          </cell>
          <cell r="AB691" t="str">
            <v>T, W, F, L, A, Q, V</v>
          </cell>
          <cell r="AC691">
            <v>0</v>
          </cell>
          <cell r="AD691" t="str">
            <v>YES</v>
          </cell>
          <cell r="AE691">
            <v>0</v>
          </cell>
          <cell r="AF691" t="str">
            <v>INNOFLOW KOREA COMPANY LIMITED</v>
          </cell>
          <cell r="AG691" t="str">
            <v>THE DISNEY STORE, INC (CA)</v>
          </cell>
          <cell r="AH691" t="str">
            <v>REGULAR</v>
          </cell>
          <cell r="AI691">
            <v>45052</v>
          </cell>
          <cell r="AJ691">
            <v>45054</v>
          </cell>
          <cell r="AK691"/>
          <cell r="AL691">
            <v>45057</v>
          </cell>
          <cell r="AM691">
            <v>45057</v>
          </cell>
          <cell r="AN691">
            <v>45059</v>
          </cell>
          <cell r="AO691">
            <v>45058</v>
          </cell>
          <cell r="AP691" t="str">
            <v>ON HOLD</v>
          </cell>
        </row>
        <row r="692">
          <cell r="A692">
            <v>96231260204</v>
          </cell>
          <cell r="B692" t="str">
            <v>TY-RP SP 96231260174</v>
          </cell>
          <cell r="C692">
            <v>0</v>
          </cell>
          <cell r="D692">
            <v>0</v>
          </cell>
          <cell r="E692" t="str">
            <v>TAN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 t="str">
            <v>T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 t="str">
            <v>V</v>
          </cell>
          <cell r="X692">
            <v>0</v>
          </cell>
          <cell r="Y692">
            <v>0</v>
          </cell>
          <cell r="Z692">
            <v>0</v>
          </cell>
          <cell r="AA692">
            <v>2</v>
          </cell>
          <cell r="AB692" t="str">
            <v>T, V</v>
          </cell>
          <cell r="AC692">
            <v>0</v>
          </cell>
          <cell r="AD692" t="str">
            <v>YES</v>
          </cell>
          <cell r="AE692">
            <v>0</v>
          </cell>
          <cell r="AF692" t="str">
            <v>INNOFLOW KOREA COMPANY LIMITED</v>
          </cell>
          <cell r="AG692" t="str">
            <v>THE DISNEY STORE, INC (CA)</v>
          </cell>
          <cell r="AH692" t="str">
            <v>REGULAR</v>
          </cell>
          <cell r="AI692">
            <v>45052</v>
          </cell>
          <cell r="AJ692">
            <v>45052</v>
          </cell>
          <cell r="AK692">
            <v>45054</v>
          </cell>
          <cell r="AL692">
            <v>45057</v>
          </cell>
          <cell r="AM692">
            <v>45057</v>
          </cell>
          <cell r="AN692"/>
          <cell r="AO692">
            <v>45058</v>
          </cell>
          <cell r="AP692" t="str">
            <v>OFF HOLD</v>
          </cell>
        </row>
        <row r="693">
          <cell r="A693">
            <v>96231260206</v>
          </cell>
          <cell r="B693" t="str">
            <v>TY-RP SP 96231260174</v>
          </cell>
          <cell r="C693">
            <v>0</v>
          </cell>
          <cell r="D693">
            <v>0</v>
          </cell>
          <cell r="E693" t="str">
            <v>TAN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 t="str">
            <v>T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 t="str">
            <v>F</v>
          </cell>
          <cell r="R693" t="str">
            <v>L</v>
          </cell>
          <cell r="S693" t="str">
            <v>M</v>
          </cell>
          <cell r="T693">
            <v>0</v>
          </cell>
          <cell r="U693" t="str">
            <v>A</v>
          </cell>
          <cell r="V693" t="str">
            <v>Q</v>
          </cell>
          <cell r="W693" t="str">
            <v>V</v>
          </cell>
          <cell r="X693" t="str">
            <v>X</v>
          </cell>
          <cell r="Y693">
            <v>0</v>
          </cell>
          <cell r="Z693">
            <v>0</v>
          </cell>
          <cell r="AA693">
            <v>8</v>
          </cell>
          <cell r="AB693" t="str">
            <v>T, F, L, M, A, Q, V, X</v>
          </cell>
          <cell r="AC693">
            <v>0</v>
          </cell>
          <cell r="AD693" t="str">
            <v>YES</v>
          </cell>
          <cell r="AE693">
            <v>0</v>
          </cell>
          <cell r="AF693" t="str">
            <v>INNOFLOW KOREA COMPANY LIMITED</v>
          </cell>
          <cell r="AG693" t="str">
            <v>THE DISNEY STORE, INC (CA)</v>
          </cell>
          <cell r="AH693" t="str">
            <v>REGULAR</v>
          </cell>
          <cell r="AI693">
            <v>45052</v>
          </cell>
          <cell r="AJ693">
            <v>45052</v>
          </cell>
          <cell r="AK693">
            <v>45054</v>
          </cell>
          <cell r="AL693">
            <v>45057</v>
          </cell>
          <cell r="AM693">
            <v>45057</v>
          </cell>
          <cell r="AN693"/>
          <cell r="AO693">
            <v>45058</v>
          </cell>
          <cell r="AP693" t="str">
            <v>OFF HOLD</v>
          </cell>
        </row>
        <row r="694">
          <cell r="A694">
            <v>96231260208</v>
          </cell>
          <cell r="B694" t="str">
            <v>TY-RP SP 96231260174</v>
          </cell>
          <cell r="C694">
            <v>0</v>
          </cell>
          <cell r="D694">
            <v>0</v>
          </cell>
          <cell r="E694" t="str">
            <v>TAN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 t="str">
            <v>T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 t="str">
            <v>F</v>
          </cell>
          <cell r="R694" t="str">
            <v>L</v>
          </cell>
          <cell r="S694">
            <v>0</v>
          </cell>
          <cell r="T694">
            <v>0</v>
          </cell>
          <cell r="U694">
            <v>0</v>
          </cell>
          <cell r="V694" t="str">
            <v>Q</v>
          </cell>
          <cell r="W694" t="str">
            <v>V</v>
          </cell>
          <cell r="X694">
            <v>0</v>
          </cell>
          <cell r="Y694" t="str">
            <v>B</v>
          </cell>
          <cell r="Z694">
            <v>0</v>
          </cell>
          <cell r="AA694">
            <v>6</v>
          </cell>
          <cell r="AB694" t="str">
            <v>T, F, L, Q, V, B</v>
          </cell>
          <cell r="AC694">
            <v>0</v>
          </cell>
          <cell r="AD694" t="str">
            <v>YES</v>
          </cell>
          <cell r="AE694">
            <v>0</v>
          </cell>
          <cell r="AF694" t="str">
            <v>INNOFLOW KOREA COMPANY LIMITED</v>
          </cell>
          <cell r="AG694" t="str">
            <v>THE DISNEY STORE, INC (CA)</v>
          </cell>
          <cell r="AH694" t="str">
            <v>REGULAR</v>
          </cell>
          <cell r="AI694">
            <v>45052</v>
          </cell>
          <cell r="AJ694">
            <v>45054</v>
          </cell>
          <cell r="AK694"/>
          <cell r="AL694">
            <v>45057</v>
          </cell>
          <cell r="AM694">
            <v>45057</v>
          </cell>
          <cell r="AN694">
            <v>45059</v>
          </cell>
          <cell r="AO694">
            <v>45058</v>
          </cell>
          <cell r="AP694" t="str">
            <v>ON HOLD</v>
          </cell>
        </row>
        <row r="695">
          <cell r="A695">
            <v>96231260210</v>
          </cell>
          <cell r="B695" t="str">
            <v>TY-RP SP 96231260174</v>
          </cell>
          <cell r="C695">
            <v>0</v>
          </cell>
          <cell r="D695">
            <v>0</v>
          </cell>
          <cell r="E695" t="str">
            <v>TAN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 t="str">
            <v>T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 t="str">
            <v>W</v>
          </cell>
          <cell r="Q695" t="str">
            <v>F</v>
          </cell>
          <cell r="R695" t="str">
            <v>L</v>
          </cell>
          <cell r="S695">
            <v>0</v>
          </cell>
          <cell r="T695">
            <v>0</v>
          </cell>
          <cell r="U695" t="str">
            <v>A</v>
          </cell>
          <cell r="V695" t="str">
            <v>Q</v>
          </cell>
          <cell r="W695" t="str">
            <v>V</v>
          </cell>
          <cell r="X695">
            <v>0</v>
          </cell>
          <cell r="Y695">
            <v>0</v>
          </cell>
          <cell r="Z695">
            <v>0</v>
          </cell>
          <cell r="AA695">
            <v>7</v>
          </cell>
          <cell r="AB695" t="str">
            <v>T, W, F, L, A, Q, V</v>
          </cell>
          <cell r="AC695">
            <v>0</v>
          </cell>
          <cell r="AD695" t="str">
            <v>YES</v>
          </cell>
          <cell r="AE695">
            <v>0</v>
          </cell>
          <cell r="AF695" t="str">
            <v>INNOFLOW KOREA COMPANY LIMITED</v>
          </cell>
          <cell r="AG695" t="str">
            <v>THE DISNEY STORE, INC (CA)</v>
          </cell>
          <cell r="AH695" t="str">
            <v>REGULAR</v>
          </cell>
          <cell r="AI695">
            <v>45052</v>
          </cell>
          <cell r="AJ695">
            <v>45054</v>
          </cell>
          <cell r="AK695"/>
          <cell r="AL695">
            <v>45057</v>
          </cell>
          <cell r="AM695">
            <v>45057</v>
          </cell>
          <cell r="AN695">
            <v>45059</v>
          </cell>
          <cell r="AO695">
            <v>45058</v>
          </cell>
          <cell r="AP695" t="str">
            <v>ON HOLD</v>
          </cell>
        </row>
        <row r="696">
          <cell r="A696">
            <v>96231260213</v>
          </cell>
          <cell r="B696" t="str">
            <v>TY-RP SP 96231260174</v>
          </cell>
          <cell r="C696">
            <v>0</v>
          </cell>
          <cell r="D696">
            <v>0</v>
          </cell>
          <cell r="E696" t="str">
            <v>TAN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 t="str">
            <v>H</v>
          </cell>
          <cell r="K696" t="str">
            <v>T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 t="str">
            <v>F</v>
          </cell>
          <cell r="R696" t="str">
            <v>L</v>
          </cell>
          <cell r="S696">
            <v>0</v>
          </cell>
          <cell r="T696">
            <v>0</v>
          </cell>
          <cell r="U696">
            <v>0</v>
          </cell>
          <cell r="V696" t="str">
            <v>Q</v>
          </cell>
          <cell r="W696" t="str">
            <v>V</v>
          </cell>
          <cell r="X696">
            <v>0</v>
          </cell>
          <cell r="Y696">
            <v>0</v>
          </cell>
          <cell r="Z696">
            <v>0</v>
          </cell>
          <cell r="AA696">
            <v>6</v>
          </cell>
          <cell r="AB696" t="str">
            <v>H, T, F, L, Q, V</v>
          </cell>
          <cell r="AC696">
            <v>0</v>
          </cell>
          <cell r="AD696" t="str">
            <v>YES</v>
          </cell>
          <cell r="AE696">
            <v>0</v>
          </cell>
          <cell r="AF696" t="str">
            <v>INNOFLOW KOREA COMPANY LIMITED</v>
          </cell>
          <cell r="AG696" t="str">
            <v>THE DISNEY STORE, INC (CA)</v>
          </cell>
          <cell r="AH696" t="str">
            <v>REGULAR</v>
          </cell>
          <cell r="AI696">
            <v>45052</v>
          </cell>
          <cell r="AJ696">
            <v>45054</v>
          </cell>
          <cell r="AK696"/>
          <cell r="AL696">
            <v>45057</v>
          </cell>
          <cell r="AM696">
            <v>45057</v>
          </cell>
          <cell r="AN696">
            <v>45059</v>
          </cell>
          <cell r="AO696">
            <v>45058</v>
          </cell>
          <cell r="AP696" t="str">
            <v>ON HOLD</v>
          </cell>
        </row>
        <row r="697">
          <cell r="A697">
            <v>96231260262</v>
          </cell>
          <cell r="B697" t="str">
            <v>USD</v>
          </cell>
          <cell r="C697">
            <v>0</v>
          </cell>
          <cell r="D697">
            <v>0</v>
          </cell>
          <cell r="E697" t="str">
            <v>MIN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>
            <v>0</v>
          </cell>
          <cell r="AC697">
            <v>0</v>
          </cell>
          <cell r="AD697" t="str">
            <v>YES</v>
          </cell>
          <cell r="AE697">
            <v>0</v>
          </cell>
          <cell r="AF697" t="str">
            <v>LIVING STYLE (SINGAPORE) PTE LIMITED</v>
          </cell>
          <cell r="AG697" t="str">
            <v>LIVING STYLE (SINGAPORE) PTE LIMITED</v>
          </cell>
          <cell r="AH697" t="str">
            <v>REGULAR</v>
          </cell>
          <cell r="AI697">
            <v>45052</v>
          </cell>
          <cell r="AJ697">
            <v>45052</v>
          </cell>
          <cell r="AK697"/>
          <cell r="AL697">
            <v>45052</v>
          </cell>
          <cell r="AM697">
            <v>45052</v>
          </cell>
          <cell r="AN697"/>
          <cell r="AO697">
            <v>45052</v>
          </cell>
          <cell r="AP697" t="str">
            <v>ON HOLD</v>
          </cell>
        </row>
        <row r="698">
          <cell r="A698">
            <v>96231260263</v>
          </cell>
          <cell r="B698" t="str">
            <v>USD</v>
          </cell>
          <cell r="C698">
            <v>0</v>
          </cell>
          <cell r="D698">
            <v>0</v>
          </cell>
          <cell r="E698" t="str">
            <v>MIN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0</v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>
            <v>0</v>
          </cell>
          <cell r="AC698">
            <v>0</v>
          </cell>
          <cell r="AD698" t="str">
            <v>YES</v>
          </cell>
          <cell r="AE698">
            <v>0</v>
          </cell>
          <cell r="AF698" t="str">
            <v>LIVING STYLE (SINGAPORE) PTE LIMITED</v>
          </cell>
          <cell r="AG698" t="str">
            <v>LIVING STYLE (SINGAPORE) PTE LIMITED</v>
          </cell>
          <cell r="AH698" t="str">
            <v>REGULAR</v>
          </cell>
          <cell r="AI698">
            <v>45052</v>
          </cell>
          <cell r="AJ698">
            <v>45052</v>
          </cell>
          <cell r="AK698"/>
          <cell r="AL698">
            <v>45052</v>
          </cell>
          <cell r="AM698">
            <v>45052</v>
          </cell>
          <cell r="AN698"/>
          <cell r="AO698">
            <v>45052</v>
          </cell>
          <cell r="AP698" t="str">
            <v>ON HOLD</v>
          </cell>
        </row>
        <row r="699">
          <cell r="A699">
            <v>96231260264</v>
          </cell>
          <cell r="B699" t="str">
            <v>JP-AS</v>
          </cell>
          <cell r="C699">
            <v>0</v>
          </cell>
          <cell r="D699">
            <v>0</v>
          </cell>
          <cell r="E699" t="str">
            <v>VAN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 t="str">
            <v>H</v>
          </cell>
          <cell r="K699" t="str">
            <v>T</v>
          </cell>
          <cell r="L699" t="str">
            <v>J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 t="str">
            <v>A</v>
          </cell>
          <cell r="V699" t="str">
            <v>Q</v>
          </cell>
          <cell r="W699" t="str">
            <v>V</v>
          </cell>
          <cell r="X699">
            <v>0</v>
          </cell>
          <cell r="Y699">
            <v>0</v>
          </cell>
          <cell r="Z699">
            <v>0</v>
          </cell>
          <cell r="AA699">
            <v>6</v>
          </cell>
          <cell r="AB699" t="str">
            <v>H, T, J, A, Q, V</v>
          </cell>
          <cell r="AC699">
            <v>0</v>
          </cell>
          <cell r="AD699" t="str">
            <v>YES</v>
          </cell>
          <cell r="AE699">
            <v>0</v>
          </cell>
          <cell r="AF699" t="str">
            <v>GOING STRONG ENTERPRISE CO LTD</v>
          </cell>
          <cell r="AG699" t="str">
            <v xml:space="preserve">CRATE &amp; BARREL </v>
          </cell>
          <cell r="AH699" t="str">
            <v>REGULAR</v>
          </cell>
          <cell r="AI699">
            <v>45052</v>
          </cell>
          <cell r="AJ699"/>
          <cell r="AK699"/>
          <cell r="AL699">
            <v>45058</v>
          </cell>
          <cell r="AM699">
            <v>45058</v>
          </cell>
          <cell r="AN699"/>
          <cell r="AO699">
            <v>45059</v>
          </cell>
          <cell r="AP699" t="str">
            <v>ACTIVE</v>
          </cell>
        </row>
        <row r="700">
          <cell r="A700">
            <v>96231260265</v>
          </cell>
          <cell r="B700" t="str">
            <v>JP-AS</v>
          </cell>
          <cell r="C700">
            <v>0</v>
          </cell>
          <cell r="D700">
            <v>0</v>
          </cell>
          <cell r="E700" t="str">
            <v>VAN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 t="str">
            <v>H</v>
          </cell>
          <cell r="K700" t="str">
            <v>T</v>
          </cell>
          <cell r="L700" t="str">
            <v>J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 t="str">
            <v>A</v>
          </cell>
          <cell r="V700" t="str">
            <v>Q</v>
          </cell>
          <cell r="W700" t="str">
            <v>V</v>
          </cell>
          <cell r="X700">
            <v>0</v>
          </cell>
          <cell r="Y700">
            <v>0</v>
          </cell>
          <cell r="Z700">
            <v>0</v>
          </cell>
          <cell r="AA700">
            <v>6</v>
          </cell>
          <cell r="AB700" t="str">
            <v>H, T, J, A, Q, V</v>
          </cell>
          <cell r="AC700">
            <v>0</v>
          </cell>
          <cell r="AD700" t="str">
            <v>YES</v>
          </cell>
          <cell r="AE700">
            <v>0</v>
          </cell>
          <cell r="AF700" t="str">
            <v>GOING STRONG ENTERPRISE CO LTD</v>
          </cell>
          <cell r="AG700" t="str">
            <v xml:space="preserve">CRATE &amp; BARREL </v>
          </cell>
          <cell r="AH700" t="str">
            <v>REGULAR</v>
          </cell>
          <cell r="AI700">
            <v>45052</v>
          </cell>
          <cell r="AJ700"/>
          <cell r="AK700"/>
          <cell r="AL700">
            <v>45058</v>
          </cell>
          <cell r="AM700">
            <v>45058</v>
          </cell>
          <cell r="AN700"/>
          <cell r="AO700">
            <v>45059</v>
          </cell>
          <cell r="AP700" t="str">
            <v>ACTIVE</v>
          </cell>
        </row>
        <row r="701">
          <cell r="A701">
            <v>96231260266</v>
          </cell>
          <cell r="B701" t="str">
            <v>JP-AS</v>
          </cell>
          <cell r="C701">
            <v>0</v>
          </cell>
          <cell r="D701">
            <v>0</v>
          </cell>
          <cell r="E701" t="str">
            <v>VAN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 t="str">
            <v>H</v>
          </cell>
          <cell r="K701" t="str">
            <v>T</v>
          </cell>
          <cell r="L701" t="str">
            <v>J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 t="str">
            <v>A</v>
          </cell>
          <cell r="V701" t="str">
            <v>Q</v>
          </cell>
          <cell r="W701" t="str">
            <v>V</v>
          </cell>
          <cell r="X701">
            <v>0</v>
          </cell>
          <cell r="Y701">
            <v>0</v>
          </cell>
          <cell r="Z701">
            <v>0</v>
          </cell>
          <cell r="AA701">
            <v>6</v>
          </cell>
          <cell r="AB701" t="str">
            <v>H, T, J, A, Q, V</v>
          </cell>
          <cell r="AC701">
            <v>0</v>
          </cell>
          <cell r="AD701" t="str">
            <v>YES</v>
          </cell>
          <cell r="AE701">
            <v>0</v>
          </cell>
          <cell r="AF701" t="str">
            <v>GOING STRONG ENTERPRISE CO LTD</v>
          </cell>
          <cell r="AG701" t="str">
            <v xml:space="preserve">CRATE &amp; BARREL </v>
          </cell>
          <cell r="AH701" t="str">
            <v>REGULAR</v>
          </cell>
          <cell r="AI701">
            <v>45052</v>
          </cell>
          <cell r="AJ701"/>
          <cell r="AK701"/>
          <cell r="AL701">
            <v>45058</v>
          </cell>
          <cell r="AM701">
            <v>45058</v>
          </cell>
          <cell r="AN701"/>
          <cell r="AO701">
            <v>45059</v>
          </cell>
          <cell r="AP701" t="str">
            <v>ACTIVE</v>
          </cell>
        </row>
        <row r="702">
          <cell r="A702">
            <v>96231260267</v>
          </cell>
          <cell r="B702" t="str">
            <v>US2</v>
          </cell>
          <cell r="C702">
            <v>0</v>
          </cell>
          <cell r="D702">
            <v>0</v>
          </cell>
          <cell r="E702" t="str">
            <v>FLO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 t="str">
            <v>H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 t="str">
            <v>Q</v>
          </cell>
          <cell r="W702">
            <v>0</v>
          </cell>
          <cell r="X702">
            <v>0</v>
          </cell>
          <cell r="Y702">
            <v>0</v>
          </cell>
          <cell r="Z702">
            <v>0</v>
          </cell>
          <cell r="AA702">
            <v>2</v>
          </cell>
          <cell r="AB702" t="str">
            <v>H, Q</v>
          </cell>
          <cell r="AC702">
            <v>0</v>
          </cell>
          <cell r="AD702" t="str">
            <v>YES</v>
          </cell>
          <cell r="AE702">
            <v>0</v>
          </cell>
          <cell r="AF702" t="str">
            <v>GOING STRONG ENTERPRISE CO LTD</v>
          </cell>
          <cell r="AG702" t="str">
            <v xml:space="preserve">CRATE &amp; BARREL </v>
          </cell>
          <cell r="AH702" t="str">
            <v>REGULAR</v>
          </cell>
          <cell r="AI702">
            <v>45052</v>
          </cell>
          <cell r="AJ702">
            <v>45052</v>
          </cell>
          <cell r="AK702">
            <v>45054</v>
          </cell>
          <cell r="AL702">
            <v>45059</v>
          </cell>
          <cell r="AM702">
            <v>45059</v>
          </cell>
          <cell r="AN702">
            <v>45059</v>
          </cell>
          <cell r="AO702">
            <v>45061</v>
          </cell>
          <cell r="AP702" t="str">
            <v>OFF HOLD</v>
          </cell>
        </row>
        <row r="703">
          <cell r="A703">
            <v>96231260269</v>
          </cell>
          <cell r="B703" t="str">
            <v>US2</v>
          </cell>
          <cell r="C703">
            <v>0</v>
          </cell>
          <cell r="D703">
            <v>0</v>
          </cell>
          <cell r="E703" t="str">
            <v>FLO</v>
          </cell>
          <cell r="F703">
            <v>0</v>
          </cell>
          <cell r="G703" t="str">
            <v>R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0</v>
          </cell>
          <cell r="AA703">
            <v>1</v>
          </cell>
          <cell r="AB703" t="str">
            <v>R</v>
          </cell>
          <cell r="AC703">
            <v>0</v>
          </cell>
          <cell r="AD703" t="str">
            <v>YES</v>
          </cell>
          <cell r="AE703">
            <v>0</v>
          </cell>
          <cell r="AF703" t="str">
            <v>LIVING STYLE (SINGAPORE) PTE LIMITED</v>
          </cell>
          <cell r="AG703" t="str">
            <v>LIVING STYLE (SINGAPORE) PTE LIMITED</v>
          </cell>
          <cell r="AH703" t="str">
            <v>REGULAR</v>
          </cell>
          <cell r="AI703">
            <v>45052</v>
          </cell>
          <cell r="AJ703"/>
          <cell r="AK703"/>
          <cell r="AL703">
            <v>45061</v>
          </cell>
          <cell r="AM703">
            <v>45061</v>
          </cell>
          <cell r="AN703"/>
          <cell r="AO703">
            <v>45062</v>
          </cell>
          <cell r="AP703" t="str">
            <v>ACTIVE</v>
          </cell>
        </row>
        <row r="704">
          <cell r="A704">
            <v>96231260270</v>
          </cell>
          <cell r="B704" t="str">
            <v>AN-RF RESULT 96230810056</v>
          </cell>
          <cell r="C704">
            <v>0</v>
          </cell>
          <cell r="D704">
            <v>0</v>
          </cell>
          <cell r="E704" t="str">
            <v>VAN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 HANDLE</v>
          </cell>
          <cell r="AC704">
            <v>0</v>
          </cell>
          <cell r="AD704" t="str">
            <v>YES</v>
          </cell>
          <cell r="AE704">
            <v>0</v>
          </cell>
          <cell r="AF704" t="str">
            <v>NS MILLENNIUM VIETNAM CO LTD</v>
          </cell>
          <cell r="AG704" t="str">
            <v>NS MILLENNIUM VIETNAM CO LTD</v>
          </cell>
          <cell r="AH704" t="str">
            <v>REGULAR</v>
          </cell>
          <cell r="AI704">
            <v>45052</v>
          </cell>
          <cell r="AJ704"/>
          <cell r="AK704"/>
          <cell r="AL704">
            <v>45058</v>
          </cell>
          <cell r="AM704">
            <v>45058</v>
          </cell>
          <cell r="AN704"/>
          <cell r="AO704">
            <v>45059</v>
          </cell>
          <cell r="AP704" t="str">
            <v>AN HANDLE</v>
          </cell>
        </row>
        <row r="705">
          <cell r="A705">
            <v>96231260272</v>
          </cell>
          <cell r="B705" t="str">
            <v>USD-RF SP 96231700484/96231080792</v>
          </cell>
          <cell r="C705" t="str">
            <v>done</v>
          </cell>
          <cell r="D705" t="str">
            <v>VAN</v>
          </cell>
          <cell r="E705" t="str">
            <v>FLO</v>
          </cell>
          <cell r="F705" t="str">
            <v>done 0508
MAKING 0508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Z</v>
          </cell>
          <cell r="AC705">
            <v>0</v>
          </cell>
          <cell r="AD705">
            <v>0</v>
          </cell>
          <cell r="AE705">
            <v>0</v>
          </cell>
          <cell r="AF705" t="str">
            <v>NAD DESIGN BV</v>
          </cell>
          <cell r="AG705" t="str">
            <v>NAD DESIGN BV</v>
          </cell>
          <cell r="AH705" t="str">
            <v>REGULAR</v>
          </cell>
          <cell r="AI705">
            <v>45052</v>
          </cell>
          <cell r="AJ705"/>
          <cell r="AK705"/>
          <cell r="AL705">
            <v>45058</v>
          </cell>
          <cell r="AM705">
            <v>45058</v>
          </cell>
          <cell r="AN705"/>
          <cell r="AO705">
            <v>45059</v>
          </cell>
          <cell r="AP705" t="str">
            <v>ACTIVE</v>
          </cell>
        </row>
        <row r="706">
          <cell r="A706">
            <v>96231260282</v>
          </cell>
          <cell r="B706" t="str">
            <v>JP-RF CSE 96230650068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 t="str">
            <v>Q</v>
          </cell>
          <cell r="W706">
            <v>0</v>
          </cell>
          <cell r="X706">
            <v>0</v>
          </cell>
          <cell r="Y706">
            <v>0</v>
          </cell>
          <cell r="Z706">
            <v>0</v>
          </cell>
          <cell r="AA706">
            <v>1</v>
          </cell>
          <cell r="AB706" t="str">
            <v>Q</v>
          </cell>
          <cell r="AC706">
            <v>0</v>
          </cell>
          <cell r="AD706">
            <v>0</v>
          </cell>
          <cell r="AE706">
            <v>0</v>
          </cell>
          <cell r="AF706" t="str">
            <v>HOA HINH CO LTD</v>
          </cell>
          <cell r="AG706" t="str">
            <v>HOA HINH CO LTD</v>
          </cell>
          <cell r="AH706" t="str">
            <v>REGULAR</v>
          </cell>
          <cell r="AI706">
            <v>45052</v>
          </cell>
          <cell r="AJ706"/>
          <cell r="AK706"/>
          <cell r="AL706">
            <v>45058</v>
          </cell>
          <cell r="AM706">
            <v>45058</v>
          </cell>
          <cell r="AN706"/>
          <cell r="AO706">
            <v>45059</v>
          </cell>
          <cell r="AP706" t="str">
            <v>ACTIVE</v>
          </cell>
        </row>
        <row r="707">
          <cell r="A707">
            <v>96231260284</v>
          </cell>
          <cell r="B707" t="str">
            <v>US2</v>
          </cell>
          <cell r="C707">
            <v>0</v>
          </cell>
          <cell r="D707">
            <v>0</v>
          </cell>
          <cell r="E707" t="str">
            <v>TAN</v>
          </cell>
          <cell r="F707">
            <v>0</v>
          </cell>
          <cell r="G707" t="str">
            <v>R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0</v>
          </cell>
          <cell r="AA707">
            <v>1</v>
          </cell>
          <cell r="AB707" t="str">
            <v>R</v>
          </cell>
          <cell r="AC707">
            <v>0</v>
          </cell>
          <cell r="AD707">
            <v>0</v>
          </cell>
          <cell r="AE707">
            <v>0</v>
          </cell>
          <cell r="AF707" t="str">
            <v>J S FURNITURE CO LTD</v>
          </cell>
          <cell r="AG707" t="str">
            <v>RTG FURNITURE CORP.</v>
          </cell>
          <cell r="AH707" t="str">
            <v>REGULAR</v>
          </cell>
          <cell r="AI707">
            <v>45052</v>
          </cell>
          <cell r="AJ707"/>
          <cell r="AK707"/>
          <cell r="AL707">
            <v>45063</v>
          </cell>
          <cell r="AM707">
            <v>45063</v>
          </cell>
          <cell r="AN707"/>
          <cell r="AO707">
            <v>45064</v>
          </cell>
          <cell r="AP707" t="str">
            <v>ACTIVE</v>
          </cell>
        </row>
        <row r="708">
          <cell r="A708">
            <v>96231260339</v>
          </cell>
          <cell r="B708" t="str">
            <v>CD</v>
          </cell>
          <cell r="C708">
            <v>0</v>
          </cell>
          <cell r="D708">
            <v>0</v>
          </cell>
          <cell r="E708" t="str">
            <v>VAN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 t="str">
            <v>H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 t="str">
            <v>F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0</v>
          </cell>
          <cell r="AA708">
            <v>2</v>
          </cell>
          <cell r="AB708" t="str">
            <v>H, F</v>
          </cell>
          <cell r="AC708">
            <v>0</v>
          </cell>
          <cell r="AD708">
            <v>0</v>
          </cell>
          <cell r="AE708">
            <v>0</v>
          </cell>
          <cell r="AF708" t="str">
            <v>FAIRE COLLECTION</v>
          </cell>
          <cell r="AG708" t="str">
            <v>CHICO'S FAS INC</v>
          </cell>
          <cell r="AH708" t="str">
            <v>REGULAR</v>
          </cell>
          <cell r="AI708">
            <v>45052</v>
          </cell>
          <cell r="AJ708"/>
          <cell r="AK708"/>
          <cell r="AL708">
            <v>45058</v>
          </cell>
          <cell r="AM708">
            <v>45058</v>
          </cell>
          <cell r="AN708">
            <v>45063</v>
          </cell>
          <cell r="AO708">
            <v>45059</v>
          </cell>
          <cell r="AP708" t="str">
            <v>ACTIVE</v>
          </cell>
        </row>
        <row r="709">
          <cell r="A709">
            <v>96231260347</v>
          </cell>
          <cell r="B709" t="str">
            <v>USD</v>
          </cell>
          <cell r="C709" t="str">
            <v>done</v>
          </cell>
          <cell r="D709" t="str">
            <v>DUC</v>
          </cell>
          <cell r="E709" t="str">
            <v>SHE</v>
          </cell>
          <cell r="F709" t="str">
            <v>DONE 0509
MAKING 0509</v>
          </cell>
          <cell r="G709">
            <v>0</v>
          </cell>
          <cell r="H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Z</v>
          </cell>
          <cell r="AC709">
            <v>0</v>
          </cell>
          <cell r="AD709">
            <v>0</v>
          </cell>
          <cell r="AE709">
            <v>0</v>
          </cell>
          <cell r="AF709" t="str">
            <v>CHENGYE WOOD CO LTD</v>
          </cell>
          <cell r="AG709" t="str">
            <v>ASHLEY FURNITURE INDUSTRIES LLC</v>
          </cell>
          <cell r="AH709" t="str">
            <v>REGULAR</v>
          </cell>
          <cell r="AI709">
            <v>45052</v>
          </cell>
          <cell r="AJ709"/>
          <cell r="AK709"/>
          <cell r="AL709">
            <v>45058</v>
          </cell>
          <cell r="AM709">
            <v>45058</v>
          </cell>
          <cell r="AN709"/>
          <cell r="AO709">
            <v>45059</v>
          </cell>
          <cell r="AP709" t="str">
            <v>ACTIVE</v>
          </cell>
        </row>
        <row r="710">
          <cell r="A710">
            <v>96231260370</v>
          </cell>
          <cell r="B710" t="str">
            <v>USD</v>
          </cell>
          <cell r="C710" t="str">
            <v>done</v>
          </cell>
          <cell r="D710" t="str">
            <v>NGHIA</v>
          </cell>
          <cell r="E710" t="str">
            <v>FLO</v>
          </cell>
          <cell r="F710" t="str">
            <v>DONE 0509
MAKING 0508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Z</v>
          </cell>
          <cell r="AC710">
            <v>0</v>
          </cell>
          <cell r="AD710" t="str">
            <v>YES</v>
          </cell>
          <cell r="AE710">
            <v>0</v>
          </cell>
          <cell r="AF710" t="str">
            <v>LIVING STYLE (SINGAPORE) PTE LIMITED</v>
          </cell>
          <cell r="AG710" t="str">
            <v>LIVING STYLE (SINGAPORE) PTE LIMITED</v>
          </cell>
          <cell r="AH710" t="str">
            <v>REGULAR</v>
          </cell>
          <cell r="AI710">
            <v>45052</v>
          </cell>
          <cell r="AJ710"/>
          <cell r="AK710"/>
          <cell r="AL710">
            <v>45058</v>
          </cell>
          <cell r="AM710">
            <v>45058</v>
          </cell>
          <cell r="AN710"/>
          <cell r="AO710">
            <v>45059</v>
          </cell>
          <cell r="AP710" t="str">
            <v>ACTIVE</v>
          </cell>
        </row>
        <row r="711">
          <cell r="A711">
            <v>96231260372</v>
          </cell>
          <cell r="B711" t="str">
            <v>US2</v>
          </cell>
          <cell r="C711">
            <v>0</v>
          </cell>
          <cell r="D711">
            <v>0</v>
          </cell>
          <cell r="E711" t="str">
            <v>FLO</v>
          </cell>
          <cell r="F711">
            <v>0</v>
          </cell>
          <cell r="G711" t="str">
            <v>R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 t="str">
            <v>F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 t="str">
            <v>Q</v>
          </cell>
          <cell r="W711" t="str">
            <v>V</v>
          </cell>
          <cell r="X711">
            <v>0</v>
          </cell>
          <cell r="Y711">
            <v>0</v>
          </cell>
          <cell r="Z711">
            <v>0</v>
          </cell>
          <cell r="AA711">
            <v>4</v>
          </cell>
          <cell r="AB711" t="str">
            <v>R, F, Q, V</v>
          </cell>
          <cell r="AC711">
            <v>0</v>
          </cell>
          <cell r="AD711" t="str">
            <v>YES</v>
          </cell>
          <cell r="AE711">
            <v>0</v>
          </cell>
          <cell r="AF711" t="str">
            <v>LIVING STYLE (SINGAPORE) PTE LIMITED</v>
          </cell>
          <cell r="AG711" t="str">
            <v>LIVING STYLE (SINGAPORE) PTE LIMITED</v>
          </cell>
          <cell r="AH711" t="str">
            <v>REGULAR</v>
          </cell>
          <cell r="AI711">
            <v>45052</v>
          </cell>
          <cell r="AJ711"/>
          <cell r="AK711"/>
          <cell r="AL711">
            <v>45058</v>
          </cell>
          <cell r="AM711">
            <v>45058</v>
          </cell>
          <cell r="AN711"/>
          <cell r="AO711">
            <v>45059</v>
          </cell>
          <cell r="AP711" t="str">
            <v>ACTIVE</v>
          </cell>
        </row>
        <row r="712">
          <cell r="A712">
            <v>96231260405</v>
          </cell>
          <cell r="B712" t="str">
            <v>US2</v>
          </cell>
          <cell r="C712">
            <v>0</v>
          </cell>
          <cell r="D712">
            <v>0</v>
          </cell>
          <cell r="E712" t="str">
            <v>VAN</v>
          </cell>
          <cell r="F712">
            <v>0</v>
          </cell>
          <cell r="G712" t="str">
            <v>R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0</v>
          </cell>
          <cell r="AA712">
            <v>1</v>
          </cell>
          <cell r="AB712" t="str">
            <v>R</v>
          </cell>
          <cell r="AC712">
            <v>0</v>
          </cell>
          <cell r="AD712">
            <v>0</v>
          </cell>
          <cell r="AE712">
            <v>0</v>
          </cell>
          <cell r="AF712" t="str">
            <v>JOFRAN SALES INC.</v>
          </cell>
          <cell r="AG712" t="str">
            <v>RTG FURNITURE CORP.</v>
          </cell>
          <cell r="AH712" t="str">
            <v>REGULAR</v>
          </cell>
          <cell r="AI712">
            <v>45052</v>
          </cell>
          <cell r="AJ712"/>
          <cell r="AK712"/>
          <cell r="AL712">
            <v>45058</v>
          </cell>
          <cell r="AM712">
            <v>45058</v>
          </cell>
          <cell r="AN712"/>
          <cell r="AO712">
            <v>45059</v>
          </cell>
          <cell r="AP712" t="str">
            <v>ACTIVE</v>
          </cell>
        </row>
        <row r="713">
          <cell r="A713">
            <v>96231260416</v>
          </cell>
          <cell r="B713" t="str">
            <v>US2</v>
          </cell>
          <cell r="C713">
            <v>0</v>
          </cell>
          <cell r="D713">
            <v>0</v>
          </cell>
          <cell r="E713" t="str">
            <v>VAN</v>
          </cell>
          <cell r="F713">
            <v>0</v>
          </cell>
          <cell r="G713" t="str">
            <v>R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0</v>
          </cell>
          <cell r="AA713">
            <v>1</v>
          </cell>
          <cell r="AB713" t="str">
            <v>R</v>
          </cell>
          <cell r="AC713">
            <v>0</v>
          </cell>
          <cell r="AD713">
            <v>0</v>
          </cell>
          <cell r="AE713">
            <v>0</v>
          </cell>
          <cell r="AF713" t="str">
            <v>JOFRAN SALES INC.</v>
          </cell>
          <cell r="AG713" t="str">
            <v>RTG FURNITURE CORP.</v>
          </cell>
          <cell r="AH713" t="str">
            <v>REGULAR</v>
          </cell>
          <cell r="AI713">
            <v>45052</v>
          </cell>
          <cell r="AJ713"/>
          <cell r="AK713"/>
          <cell r="AL713">
            <v>45058</v>
          </cell>
          <cell r="AM713">
            <v>45058</v>
          </cell>
          <cell r="AN713"/>
          <cell r="AO713">
            <v>45059</v>
          </cell>
          <cell r="AP713" t="str">
            <v>ACTIVE</v>
          </cell>
        </row>
        <row r="714">
          <cell r="A714">
            <v>96231260422</v>
          </cell>
          <cell r="B714" t="str">
            <v>US2</v>
          </cell>
          <cell r="C714">
            <v>0</v>
          </cell>
          <cell r="D714">
            <v>0</v>
          </cell>
          <cell r="E714" t="str">
            <v>VAN</v>
          </cell>
          <cell r="F714">
            <v>0</v>
          </cell>
          <cell r="G714" t="str">
            <v>R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0</v>
          </cell>
          <cell r="AA714">
            <v>1</v>
          </cell>
          <cell r="AB714" t="str">
            <v>R</v>
          </cell>
          <cell r="AC714">
            <v>0</v>
          </cell>
          <cell r="AD714">
            <v>0</v>
          </cell>
          <cell r="AE714">
            <v>0</v>
          </cell>
          <cell r="AF714" t="str">
            <v>JOFRAN SALES INC.</v>
          </cell>
          <cell r="AG714" t="str">
            <v>RTG FURNITURE CORP.</v>
          </cell>
          <cell r="AH714" t="str">
            <v>REGULAR</v>
          </cell>
          <cell r="AI714">
            <v>45052</v>
          </cell>
          <cell r="AJ714"/>
          <cell r="AK714"/>
          <cell r="AL714">
            <v>45063</v>
          </cell>
          <cell r="AM714">
            <v>45063</v>
          </cell>
          <cell r="AN714"/>
          <cell r="AO714">
            <v>45064</v>
          </cell>
          <cell r="AP714" t="str">
            <v>ACTIVE</v>
          </cell>
        </row>
        <row r="715">
          <cell r="A715">
            <v>96231260441</v>
          </cell>
          <cell r="B715" t="str">
            <v>AN</v>
          </cell>
          <cell r="C715">
            <v>0</v>
          </cell>
          <cell r="D715">
            <v>0</v>
          </cell>
          <cell r="E715" t="str">
            <v>SHE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 HANDLE</v>
          </cell>
          <cell r="AC715">
            <v>0</v>
          </cell>
          <cell r="AD715">
            <v>0</v>
          </cell>
          <cell r="AE715">
            <v>0</v>
          </cell>
          <cell r="AF715" t="str">
            <v>CHENGYE WOOD CO LTD</v>
          </cell>
          <cell r="AG715" t="str">
            <v>CHENGYE WOOD CO LTD</v>
          </cell>
          <cell r="AH715" t="str">
            <v>REGULAR</v>
          </cell>
          <cell r="AI715">
            <v>45052</v>
          </cell>
          <cell r="AJ715"/>
          <cell r="AK715"/>
          <cell r="AL715">
            <v>45068</v>
          </cell>
          <cell r="AM715">
            <v>45068</v>
          </cell>
          <cell r="AN715"/>
          <cell r="AO715">
            <v>45069</v>
          </cell>
          <cell r="AP715" t="str">
            <v>AN HANDLE</v>
          </cell>
        </row>
        <row r="716">
          <cell r="A716">
            <v>96231260447</v>
          </cell>
          <cell r="B716" t="str">
            <v>AN</v>
          </cell>
          <cell r="C716">
            <v>0</v>
          </cell>
          <cell r="D716">
            <v>0</v>
          </cell>
          <cell r="E716" t="str">
            <v>SHE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 HANDLE</v>
          </cell>
          <cell r="AC716">
            <v>0</v>
          </cell>
          <cell r="AD716">
            <v>0</v>
          </cell>
          <cell r="AE716">
            <v>0</v>
          </cell>
          <cell r="AF716" t="str">
            <v>CHENGYE WOOD CO LTD</v>
          </cell>
          <cell r="AG716" t="str">
            <v>CHENGYE WOOD CO LTD</v>
          </cell>
          <cell r="AH716" t="str">
            <v>REGULAR</v>
          </cell>
          <cell r="AI716">
            <v>45052</v>
          </cell>
          <cell r="AJ716"/>
          <cell r="AK716"/>
          <cell r="AL716">
            <v>45068</v>
          </cell>
          <cell r="AM716">
            <v>45068</v>
          </cell>
          <cell r="AN716"/>
          <cell r="AO716">
            <v>45069</v>
          </cell>
          <cell r="AP716" t="str">
            <v>AN HANDLE</v>
          </cell>
        </row>
        <row r="717">
          <cell r="A717">
            <v>96231260451</v>
          </cell>
          <cell r="B717" t="str">
            <v>AN</v>
          </cell>
          <cell r="C717">
            <v>0</v>
          </cell>
          <cell r="D717">
            <v>0</v>
          </cell>
          <cell r="E717" t="str">
            <v>SHE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 HANDLE</v>
          </cell>
          <cell r="AC717">
            <v>0</v>
          </cell>
          <cell r="AD717">
            <v>0</v>
          </cell>
          <cell r="AE717">
            <v>0</v>
          </cell>
          <cell r="AF717" t="str">
            <v>CHENGYE WOOD CO LTD</v>
          </cell>
          <cell r="AG717" t="str">
            <v>CHENGYE WOOD CO LTD</v>
          </cell>
          <cell r="AH717" t="str">
            <v>REGULAR</v>
          </cell>
          <cell r="AI717">
            <v>45052</v>
          </cell>
          <cell r="AJ717"/>
          <cell r="AK717"/>
          <cell r="AL717">
            <v>45068</v>
          </cell>
          <cell r="AM717">
            <v>45068</v>
          </cell>
          <cell r="AN717"/>
          <cell r="AO717">
            <v>45069</v>
          </cell>
          <cell r="AP717" t="str">
            <v>AN HANDLE</v>
          </cell>
        </row>
        <row r="718">
          <cell r="A718">
            <v>96231260453</v>
          </cell>
          <cell r="B718" t="str">
            <v>AN</v>
          </cell>
          <cell r="C718">
            <v>0</v>
          </cell>
          <cell r="D718">
            <v>0</v>
          </cell>
          <cell r="E718" t="str">
            <v>SHE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 HANDLE</v>
          </cell>
          <cell r="AC718">
            <v>0</v>
          </cell>
          <cell r="AD718">
            <v>0</v>
          </cell>
          <cell r="AE718">
            <v>0</v>
          </cell>
          <cell r="AF718" t="str">
            <v>CHENGYE WOOD CO LTD</v>
          </cell>
          <cell r="AG718" t="str">
            <v>CHENGYE WOOD CO LTD</v>
          </cell>
          <cell r="AH718" t="str">
            <v>REGULAR</v>
          </cell>
          <cell r="AI718">
            <v>45052</v>
          </cell>
          <cell r="AJ718"/>
          <cell r="AK718"/>
          <cell r="AL718">
            <v>45068</v>
          </cell>
          <cell r="AM718">
            <v>45068</v>
          </cell>
          <cell r="AN718"/>
          <cell r="AO718">
            <v>45069</v>
          </cell>
          <cell r="AP718" t="str">
            <v>AN HANDLE</v>
          </cell>
        </row>
        <row r="719">
          <cell r="A719">
            <v>96231260457</v>
          </cell>
          <cell r="B719" t="str">
            <v>AN</v>
          </cell>
          <cell r="C719">
            <v>0</v>
          </cell>
          <cell r="D719">
            <v>0</v>
          </cell>
          <cell r="E719" t="str">
            <v>SHE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 HANDLE</v>
          </cell>
          <cell r="AC719">
            <v>0</v>
          </cell>
          <cell r="AD719">
            <v>0</v>
          </cell>
          <cell r="AE719">
            <v>0</v>
          </cell>
          <cell r="AF719" t="str">
            <v>CHENGYE WOOD CO LTD</v>
          </cell>
          <cell r="AG719" t="str">
            <v>CHENGYE WOOD CO LTD</v>
          </cell>
          <cell r="AH719" t="str">
            <v>REGULAR</v>
          </cell>
          <cell r="AI719">
            <v>45052</v>
          </cell>
          <cell r="AJ719"/>
          <cell r="AK719"/>
          <cell r="AL719">
            <v>45068</v>
          </cell>
          <cell r="AM719">
            <v>45068</v>
          </cell>
          <cell r="AN719"/>
          <cell r="AO719">
            <v>45069</v>
          </cell>
          <cell r="AP719" t="str">
            <v>AN HANDLE</v>
          </cell>
        </row>
        <row r="720">
          <cell r="A720">
            <v>96231260473</v>
          </cell>
          <cell r="B720" t="str">
            <v>AN</v>
          </cell>
          <cell r="C720">
            <v>0</v>
          </cell>
          <cell r="D720">
            <v>0</v>
          </cell>
          <cell r="E720" t="str">
            <v>SHE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 HANDLE</v>
          </cell>
          <cell r="AC720">
            <v>0</v>
          </cell>
          <cell r="AD720">
            <v>0</v>
          </cell>
          <cell r="AE720" t="str">
            <v>5/8: hold as overdue payment</v>
          </cell>
          <cell r="AF720" t="str">
            <v>ALLINGHAM HOLDINGS LTD (HONGKONG)</v>
          </cell>
          <cell r="AG720" t="str">
            <v>ALLINGHAM HOLDINGS LTD (HONGKONG)</v>
          </cell>
          <cell r="AH720" t="str">
            <v>REGULAR</v>
          </cell>
          <cell r="AI720">
            <v>45052</v>
          </cell>
          <cell r="AJ720">
            <v>45054</v>
          </cell>
          <cell r="AK720"/>
          <cell r="AL720">
            <v>45052</v>
          </cell>
          <cell r="AM720">
            <v>45052</v>
          </cell>
          <cell r="AN720"/>
          <cell r="AO720">
            <v>45052</v>
          </cell>
          <cell r="AP720" t="str">
            <v>AN HANDLE</v>
          </cell>
        </row>
        <row r="721">
          <cell r="A721">
            <v>96231260477</v>
          </cell>
          <cell r="B721" t="str">
            <v>AN</v>
          </cell>
          <cell r="C721">
            <v>0</v>
          </cell>
          <cell r="D721">
            <v>0</v>
          </cell>
          <cell r="E721" t="str">
            <v>VAN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 HANDLE</v>
          </cell>
          <cell r="AC721">
            <v>0</v>
          </cell>
          <cell r="AD721">
            <v>0</v>
          </cell>
          <cell r="AE721">
            <v>0</v>
          </cell>
          <cell r="AF721" t="str">
            <v>THANH PHU FURNITURE PRODUCTION CO LTD</v>
          </cell>
          <cell r="AG721" t="str">
            <v>THANH PHU FURNITURE PRODUCTION CO LTD</v>
          </cell>
          <cell r="AH721" t="str">
            <v>REGULAR</v>
          </cell>
          <cell r="AI721">
            <v>45052</v>
          </cell>
          <cell r="AJ721"/>
          <cell r="AK721"/>
          <cell r="AL721">
            <v>45058</v>
          </cell>
          <cell r="AM721">
            <v>45058</v>
          </cell>
          <cell r="AN721"/>
          <cell r="AO721">
            <v>45059</v>
          </cell>
          <cell r="AP721" t="str">
            <v>AN HANDLE</v>
          </cell>
        </row>
        <row r="722">
          <cell r="A722">
            <v>96231260481</v>
          </cell>
          <cell r="B722" t="str">
            <v>TY-53231140124</v>
          </cell>
          <cell r="C722">
            <v>0</v>
          </cell>
          <cell r="D722" t="str">
            <v>VAN</v>
          </cell>
          <cell r="E722" t="str">
            <v>VAN</v>
          </cell>
          <cell r="F722" t="str">
            <v>DONE 0509
MAKING 0509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T</v>
          </cell>
          <cell r="AC722">
            <v>0</v>
          </cell>
          <cell r="AD722">
            <v>0</v>
          </cell>
          <cell r="AE722" t="str">
            <v>5/9: no CS pend, note to issue 96231250094 first</v>
          </cell>
          <cell r="AF722" t="str">
            <v>BUREAU VERITAS SINGAPORE (PTE) LTD - CPS</v>
          </cell>
          <cell r="AG722" t="str">
            <v>BUREAU VERITAS SINGAPORE (PTE) LTD - CPS</v>
          </cell>
          <cell r="AH722" t="str">
            <v>REGULAR</v>
          </cell>
          <cell r="AI722">
            <v>45052</v>
          </cell>
          <cell r="AJ722"/>
          <cell r="AK722"/>
          <cell r="AL722">
            <v>45058</v>
          </cell>
          <cell r="AM722">
            <v>45058</v>
          </cell>
          <cell r="AN722"/>
          <cell r="AO722">
            <v>45059</v>
          </cell>
          <cell r="AP722" t="str">
            <v>ACTIVE</v>
          </cell>
        </row>
        <row r="723">
          <cell r="A723">
            <v>96231260493</v>
          </cell>
          <cell r="B723" t="str">
            <v>USD</v>
          </cell>
          <cell r="C723">
            <v>0</v>
          </cell>
          <cell r="D723">
            <v>0</v>
          </cell>
          <cell r="E723" t="str">
            <v>SHE</v>
          </cell>
          <cell r="F723">
            <v>0</v>
          </cell>
          <cell r="G723">
            <v>0</v>
          </cell>
          <cell r="H723">
            <v>0</v>
          </cell>
          <cell r="I723" t="str">
            <v>Z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0</v>
          </cell>
          <cell r="AA723">
            <v>1</v>
          </cell>
          <cell r="AB723" t="str">
            <v>Z</v>
          </cell>
          <cell r="AC723">
            <v>0</v>
          </cell>
          <cell r="AD723">
            <v>0</v>
          </cell>
          <cell r="AE723">
            <v>0</v>
          </cell>
          <cell r="AF723" t="str">
            <v>GLORY OCEANIC (VIETNAM) CO LTD</v>
          </cell>
          <cell r="AG723" t="str">
            <v>ASHLEY FURNITURE INDUSTRIES LLC</v>
          </cell>
          <cell r="AH723" t="str">
            <v>REGULAR</v>
          </cell>
          <cell r="AI723">
            <v>45052</v>
          </cell>
          <cell r="AJ723"/>
          <cell r="AK723"/>
          <cell r="AL723">
            <v>45058</v>
          </cell>
          <cell r="AM723">
            <v>45058</v>
          </cell>
          <cell r="AN723"/>
          <cell r="AO723">
            <v>45059</v>
          </cell>
          <cell r="AP723" t="str">
            <v>ACTIVE</v>
          </cell>
        </row>
        <row r="724">
          <cell r="A724">
            <v>96231260500</v>
          </cell>
          <cell r="B724" t="str">
            <v>CD</v>
          </cell>
          <cell r="C724">
            <v>0</v>
          </cell>
          <cell r="D724">
            <v>0</v>
          </cell>
          <cell r="E724" t="str">
            <v>SHE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 t="str">
            <v>H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 t="str">
            <v>P</v>
          </cell>
          <cell r="P724">
            <v>0</v>
          </cell>
          <cell r="Q724">
            <v>0</v>
          </cell>
          <cell r="R724">
            <v>0</v>
          </cell>
          <cell r="S724" t="str">
            <v>M</v>
          </cell>
          <cell r="T724">
            <v>0</v>
          </cell>
          <cell r="U724">
            <v>0</v>
          </cell>
          <cell r="V724" t="str">
            <v>Q</v>
          </cell>
          <cell r="W724" t="str">
            <v>V</v>
          </cell>
          <cell r="X724">
            <v>0</v>
          </cell>
          <cell r="Y724">
            <v>0</v>
          </cell>
          <cell r="Z724">
            <v>0</v>
          </cell>
          <cell r="AA724">
            <v>5</v>
          </cell>
          <cell r="AB724" t="str">
            <v>H, P, M, Q, V</v>
          </cell>
          <cell r="AC724">
            <v>0</v>
          </cell>
          <cell r="AD724">
            <v>0</v>
          </cell>
          <cell r="AE724">
            <v>0</v>
          </cell>
          <cell r="AF724" t="str">
            <v>TBS GROUP</v>
          </cell>
          <cell r="AG724" t="str">
            <v>VERA BRADLEY DESIGNS INC</v>
          </cell>
          <cell r="AH724" t="str">
            <v>REGULAR</v>
          </cell>
          <cell r="AI724">
            <v>45052</v>
          </cell>
          <cell r="AJ724"/>
          <cell r="AK724"/>
          <cell r="AL724">
            <v>45058</v>
          </cell>
          <cell r="AM724">
            <v>45058</v>
          </cell>
          <cell r="AN724"/>
          <cell r="AO724">
            <v>45059</v>
          </cell>
          <cell r="AP724" t="str">
            <v>ACTIVE</v>
          </cell>
        </row>
        <row r="725">
          <cell r="A725">
            <v>96231260501</v>
          </cell>
          <cell r="B725" t="str">
            <v>CD</v>
          </cell>
          <cell r="C725">
            <v>0</v>
          </cell>
          <cell r="D725">
            <v>0</v>
          </cell>
          <cell r="E725" t="str">
            <v>ELV</v>
          </cell>
          <cell r="F725" t="str">
            <v>FIRST MAKING 0509-AN</v>
          </cell>
          <cell r="G725">
            <v>0</v>
          </cell>
          <cell r="H725">
            <v>0</v>
          </cell>
          <cell r="I725">
            <v>0</v>
          </cell>
          <cell r="J725"/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 t="str">
            <v>Q</v>
          </cell>
          <cell r="W725" t="str">
            <v>V</v>
          </cell>
          <cell r="X725">
            <v>0</v>
          </cell>
          <cell r="Y725">
            <v>0</v>
          </cell>
          <cell r="Z725">
            <v>0</v>
          </cell>
          <cell r="AA725">
            <v>2</v>
          </cell>
          <cell r="AB725" t="str">
            <v>H, Q, V</v>
          </cell>
          <cell r="AC725">
            <v>0</v>
          </cell>
          <cell r="AD725">
            <v>0</v>
          </cell>
          <cell r="AE725">
            <v>0</v>
          </cell>
          <cell r="AF725" t="str">
            <v>NORTHVALE INDUSTRIAL CO LTD</v>
          </cell>
          <cell r="AG725" t="str">
            <v>GREENBRIER INTERNATIONAL INC</v>
          </cell>
          <cell r="AH725" t="str">
            <v>URGENT</v>
          </cell>
          <cell r="AI725">
            <v>45054</v>
          </cell>
          <cell r="AJ725"/>
          <cell r="AK725"/>
          <cell r="AL725">
            <v>45056</v>
          </cell>
          <cell r="AM725">
            <v>45056</v>
          </cell>
          <cell r="AN725">
            <v>45057</v>
          </cell>
          <cell r="AO725">
            <v>45056</v>
          </cell>
          <cell r="AP725" t="str">
            <v>MUST</v>
          </cell>
        </row>
        <row r="726">
          <cell r="A726">
            <v>96231260502</v>
          </cell>
          <cell r="B726" t="str">
            <v>US2</v>
          </cell>
          <cell r="C726">
            <v>0</v>
          </cell>
          <cell r="D726">
            <v>0</v>
          </cell>
          <cell r="E726" t="str">
            <v>SHE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 t="str">
            <v>H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0</v>
          </cell>
          <cell r="AA726">
            <v>1</v>
          </cell>
          <cell r="AB726" t="str">
            <v>H</v>
          </cell>
          <cell r="AC726">
            <v>0</v>
          </cell>
          <cell r="AD726">
            <v>0</v>
          </cell>
          <cell r="AE726" t="str">
            <v>5/8: WAIT PREPAYMENT, NOB</v>
          </cell>
          <cell r="AF726" t="str">
            <v>ANH DUONG XANH PRODUCTION CONSTRUCTION COMPANY LIMITED</v>
          </cell>
          <cell r="AG726" t="str">
            <v>ANH DUONG XANH PRODUCTION CONSTRUCTION COMPANY LIMITED</v>
          </cell>
          <cell r="AH726" t="str">
            <v>REGULAR</v>
          </cell>
          <cell r="AI726">
            <v>45052</v>
          </cell>
          <cell r="AJ726">
            <v>45054</v>
          </cell>
          <cell r="AK726"/>
          <cell r="AL726">
            <v>45058</v>
          </cell>
          <cell r="AM726">
            <v>45058</v>
          </cell>
          <cell r="AN726"/>
          <cell r="AO726">
            <v>45059</v>
          </cell>
          <cell r="AP726" t="str">
            <v>ON HOLD</v>
          </cell>
        </row>
        <row r="727">
          <cell r="A727">
            <v>96231260504</v>
          </cell>
          <cell r="B727" t="str">
            <v>CD</v>
          </cell>
          <cell r="C727">
            <v>0</v>
          </cell>
          <cell r="D727">
            <v>0</v>
          </cell>
          <cell r="E727" t="str">
            <v>ELV</v>
          </cell>
          <cell r="F727" t="str">
            <v>FIRST MAKING 0509-AN</v>
          </cell>
          <cell r="G727">
            <v>0</v>
          </cell>
          <cell r="H727">
            <v>0</v>
          </cell>
          <cell r="I727">
            <v>0</v>
          </cell>
          <cell r="J727"/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V727" t="str">
            <v>Q</v>
          </cell>
          <cell r="W727" t="str">
            <v>V</v>
          </cell>
          <cell r="X727">
            <v>0</v>
          </cell>
          <cell r="Y727">
            <v>0</v>
          </cell>
          <cell r="Z727">
            <v>0</v>
          </cell>
          <cell r="AA727">
            <v>2</v>
          </cell>
          <cell r="AB727" t="str">
            <v>H, Q, V</v>
          </cell>
          <cell r="AC727">
            <v>0</v>
          </cell>
          <cell r="AD727">
            <v>0</v>
          </cell>
          <cell r="AE727">
            <v>0</v>
          </cell>
          <cell r="AF727" t="str">
            <v>NORTHVALE INDUSTRIAL CO LTD</v>
          </cell>
          <cell r="AG727" t="str">
            <v>GREENBRIER INTERNATIONAL INC</v>
          </cell>
          <cell r="AH727" t="str">
            <v>REGULAR</v>
          </cell>
          <cell r="AI727">
            <v>45052</v>
          </cell>
          <cell r="AJ727"/>
          <cell r="AK727"/>
          <cell r="AL727">
            <v>45058</v>
          </cell>
          <cell r="AM727">
            <v>45058</v>
          </cell>
          <cell r="AN727"/>
          <cell r="AO727">
            <v>45059</v>
          </cell>
          <cell r="AP727" t="str">
            <v>ACTIVE</v>
          </cell>
        </row>
        <row r="728">
          <cell r="A728">
            <v>96231260509</v>
          </cell>
          <cell r="B728" t="str">
            <v>US1</v>
          </cell>
          <cell r="C728">
            <v>0</v>
          </cell>
          <cell r="D728">
            <v>0</v>
          </cell>
          <cell r="E728" t="str">
            <v>VAN</v>
          </cell>
          <cell r="F728">
            <v>0</v>
          </cell>
          <cell r="G728" t="str">
            <v>R</v>
          </cell>
          <cell r="H728">
            <v>0</v>
          </cell>
          <cell r="I728">
            <v>0</v>
          </cell>
          <cell r="J728" t="str">
            <v>H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V728" t="str">
            <v>Q</v>
          </cell>
          <cell r="W728">
            <v>0</v>
          </cell>
          <cell r="X728">
            <v>0</v>
          </cell>
          <cell r="Y728">
            <v>0</v>
          </cell>
          <cell r="Z728">
            <v>0</v>
          </cell>
          <cell r="AA728">
            <v>3</v>
          </cell>
          <cell r="AB728" t="str">
            <v>H, R, Q</v>
          </cell>
          <cell r="AC728">
            <v>0</v>
          </cell>
          <cell r="AD728" t="str">
            <v>YES</v>
          </cell>
          <cell r="AE728">
            <v>0</v>
          </cell>
          <cell r="AF728" t="str">
            <v>TAI LIAN HARDWARE INDUSTRIAL CO LTD</v>
          </cell>
          <cell r="AG728" t="str">
            <v>TARGET CORPORATION</v>
          </cell>
          <cell r="AH728" t="str">
            <v>REGULAR</v>
          </cell>
          <cell r="AI728">
            <v>45052</v>
          </cell>
          <cell r="AJ728"/>
          <cell r="AK728"/>
          <cell r="AL728">
            <v>45058</v>
          </cell>
          <cell r="AM728">
            <v>45058</v>
          </cell>
          <cell r="AN728"/>
          <cell r="AO728">
            <v>45059</v>
          </cell>
          <cell r="AP728" t="str">
            <v>ACTIVE</v>
          </cell>
        </row>
        <row r="729">
          <cell r="A729">
            <v>96231260516</v>
          </cell>
          <cell r="B729" t="str">
            <v>EE-QTY</v>
          </cell>
          <cell r="C729">
            <v>0</v>
          </cell>
          <cell r="D729">
            <v>0</v>
          </cell>
          <cell r="E729" t="str">
            <v>FLO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EE REPORT</v>
          </cell>
          <cell r="AC729">
            <v>0</v>
          </cell>
          <cell r="AD729" t="str">
            <v>YES</v>
          </cell>
          <cell r="AE729">
            <v>0</v>
          </cell>
          <cell r="AF729" t="str">
            <v>LIGHTING SAIGON CO LTD</v>
          </cell>
          <cell r="AG729" t="str">
            <v>LIGHTING SAIGON CO LTD</v>
          </cell>
          <cell r="AH729" t="str">
            <v>REGULAR</v>
          </cell>
          <cell r="AI729">
            <v>45052</v>
          </cell>
          <cell r="AJ729"/>
          <cell r="AK729"/>
          <cell r="AL729">
            <v>45058</v>
          </cell>
          <cell r="AM729">
            <v>45058</v>
          </cell>
          <cell r="AN729"/>
          <cell r="AO729">
            <v>45061</v>
          </cell>
          <cell r="AP729" t="str">
            <v>ACTIVE</v>
          </cell>
        </row>
        <row r="730">
          <cell r="A730">
            <v>96231260517</v>
          </cell>
          <cell r="B730" t="str">
            <v>US1</v>
          </cell>
          <cell r="C730">
            <v>0</v>
          </cell>
          <cell r="D730">
            <v>0</v>
          </cell>
          <cell r="E730" t="str">
            <v>MIN/ELV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 t="str">
            <v>H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 t="str">
            <v>Q</v>
          </cell>
          <cell r="W730">
            <v>0</v>
          </cell>
          <cell r="X730">
            <v>0</v>
          </cell>
          <cell r="Y730">
            <v>0</v>
          </cell>
          <cell r="Z730">
            <v>0</v>
          </cell>
          <cell r="AA730">
            <v>2</v>
          </cell>
          <cell r="AB730" t="str">
            <v>H, Q</v>
          </cell>
          <cell r="AC730">
            <v>0</v>
          </cell>
          <cell r="AD730" t="str">
            <v>YES</v>
          </cell>
          <cell r="AE730">
            <v>0</v>
          </cell>
          <cell r="AF730" t="str">
            <v>HONG KONG GESIN TECHNOLOGY LIMITED</v>
          </cell>
          <cell r="AG730" t="str">
            <v>WALMART USA</v>
          </cell>
          <cell r="AH730" t="str">
            <v>URGENT</v>
          </cell>
          <cell r="AI730">
            <v>45054</v>
          </cell>
          <cell r="AJ730"/>
          <cell r="AK730"/>
          <cell r="AL730">
            <v>45055</v>
          </cell>
          <cell r="AM730">
            <v>45055</v>
          </cell>
          <cell r="AN730">
            <v>45058</v>
          </cell>
          <cell r="AO730">
            <v>45056</v>
          </cell>
          <cell r="AP730" t="str">
            <v>MUST</v>
          </cell>
        </row>
        <row r="731">
          <cell r="A731">
            <v>96231260522</v>
          </cell>
          <cell r="B731" t="str">
            <v>JP-RF SP 96231170314</v>
          </cell>
          <cell r="C731">
            <v>0</v>
          </cell>
          <cell r="D731">
            <v>0</v>
          </cell>
          <cell r="E731" t="str">
            <v>VAN</v>
          </cell>
          <cell r="F731" t="str">
            <v>FIRST MAKING 0508-AN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V731" t="str">
            <v>Q</v>
          </cell>
          <cell r="W731" t="str">
            <v>V</v>
          </cell>
          <cell r="X731">
            <v>0</v>
          </cell>
          <cell r="Y731">
            <v>0</v>
          </cell>
          <cell r="Z731">
            <v>0</v>
          </cell>
          <cell r="AA731">
            <v>2</v>
          </cell>
          <cell r="AB731" t="str">
            <v>Q, V</v>
          </cell>
          <cell r="AC731">
            <v>0</v>
          </cell>
          <cell r="AD731" t="str">
            <v>YES</v>
          </cell>
          <cell r="AE731">
            <v>0</v>
          </cell>
          <cell r="AF731" t="str">
            <v>DELTA ENTERPRISE CORP. D/B/A DELTA CHILDREN'S PRODUCTS</v>
          </cell>
          <cell r="AG731" t="str">
            <v>DELTA ENTERPRISE CORP. D/B/A DELTA CHILDREN'S PRODUCTS</v>
          </cell>
          <cell r="AH731" t="str">
            <v>REGULAR</v>
          </cell>
          <cell r="AI731">
            <v>45052</v>
          </cell>
          <cell r="AJ731"/>
          <cell r="AK731"/>
          <cell r="AL731">
            <v>45058</v>
          </cell>
          <cell r="AM731">
            <v>45058</v>
          </cell>
          <cell r="AN731"/>
          <cell r="AO731">
            <v>45059</v>
          </cell>
          <cell r="AP731" t="str">
            <v>ACTIVE</v>
          </cell>
        </row>
        <row r="732">
          <cell r="A732">
            <v>96231260535</v>
          </cell>
          <cell r="B732" t="str">
            <v>TY</v>
          </cell>
          <cell r="C732">
            <v>0</v>
          </cell>
          <cell r="D732">
            <v>0</v>
          </cell>
          <cell r="E732" t="str">
            <v>HAN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 t="str">
            <v>H</v>
          </cell>
          <cell r="K732" t="str">
            <v>T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 t="str">
            <v>W</v>
          </cell>
          <cell r="Q732" t="str">
            <v>F</v>
          </cell>
          <cell r="R732" t="str">
            <v>L</v>
          </cell>
          <cell r="S732">
            <v>0</v>
          </cell>
          <cell r="T732">
            <v>0</v>
          </cell>
          <cell r="U732" t="str">
            <v>A</v>
          </cell>
          <cell r="V732" t="str">
            <v>Q</v>
          </cell>
          <cell r="W732" t="str">
            <v>V</v>
          </cell>
          <cell r="X732">
            <v>0</v>
          </cell>
          <cell r="Y732">
            <v>0</v>
          </cell>
          <cell r="Z732">
            <v>0</v>
          </cell>
          <cell r="AA732">
            <v>8</v>
          </cell>
          <cell r="AB732" t="str">
            <v>H, T, W, F, L, A, Q, V</v>
          </cell>
          <cell r="AC732">
            <v>0</v>
          </cell>
          <cell r="AD732" t="str">
            <v>YES</v>
          </cell>
          <cell r="AE732">
            <v>0</v>
          </cell>
          <cell r="AF732" t="str">
            <v>DREAM INTERNATIONAL LIMITED</v>
          </cell>
          <cell r="AG732" t="str">
            <v>HONG KONG INTERNATIONAL THEME PARKS LTD</v>
          </cell>
          <cell r="AH732" t="str">
            <v>REGULAR</v>
          </cell>
          <cell r="AI732">
            <v>45054</v>
          </cell>
          <cell r="AJ732"/>
          <cell r="AK732"/>
          <cell r="AL732">
            <v>45058</v>
          </cell>
          <cell r="AM732">
            <v>45058</v>
          </cell>
          <cell r="AN732">
            <v>45061</v>
          </cell>
          <cell r="AO732">
            <v>45059</v>
          </cell>
          <cell r="AP732" t="str">
            <v>ACTIVE</v>
          </cell>
        </row>
        <row r="733">
          <cell r="A733">
            <v>96231260540</v>
          </cell>
          <cell r="B733" t="str">
            <v>TY</v>
          </cell>
          <cell r="C733">
            <v>0</v>
          </cell>
          <cell r="D733">
            <v>0</v>
          </cell>
          <cell r="E733" t="str">
            <v>HAN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 t="str">
            <v>H</v>
          </cell>
          <cell r="K733" t="str">
            <v>T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 t="str">
            <v>W</v>
          </cell>
          <cell r="Q733" t="str">
            <v>F</v>
          </cell>
          <cell r="R733" t="str">
            <v>L</v>
          </cell>
          <cell r="S733">
            <v>0</v>
          </cell>
          <cell r="T733">
            <v>0</v>
          </cell>
          <cell r="U733" t="str">
            <v>A</v>
          </cell>
          <cell r="V733" t="str">
            <v>Q</v>
          </cell>
          <cell r="W733" t="str">
            <v>V</v>
          </cell>
          <cell r="X733">
            <v>0</v>
          </cell>
          <cell r="Y733">
            <v>0</v>
          </cell>
          <cell r="Z733">
            <v>0</v>
          </cell>
          <cell r="AA733">
            <v>8</v>
          </cell>
          <cell r="AB733" t="str">
            <v>H, T, W, F, L, A, Q, V</v>
          </cell>
          <cell r="AC733">
            <v>0</v>
          </cell>
          <cell r="AD733" t="str">
            <v>YES</v>
          </cell>
          <cell r="AE733">
            <v>0</v>
          </cell>
          <cell r="AF733" t="str">
            <v>DREAM INTERNATIONAL LIMITED</v>
          </cell>
          <cell r="AG733" t="str">
            <v>HONG KONG INTERNATIONAL THEME PARKS LTD</v>
          </cell>
          <cell r="AH733" t="str">
            <v>REGULAR</v>
          </cell>
          <cell r="AI733">
            <v>45054</v>
          </cell>
          <cell r="AJ733">
            <v>45054</v>
          </cell>
          <cell r="AK733"/>
          <cell r="AL733">
            <v>45058</v>
          </cell>
          <cell r="AM733">
            <v>45058</v>
          </cell>
          <cell r="AN733">
            <v>45061</v>
          </cell>
          <cell r="AO733">
            <v>45059</v>
          </cell>
          <cell r="AP733" t="str">
            <v>ON HOLD</v>
          </cell>
        </row>
        <row r="734">
          <cell r="A734">
            <v>96231260541</v>
          </cell>
          <cell r="B734" t="str">
            <v>CD</v>
          </cell>
          <cell r="C734">
            <v>0</v>
          </cell>
          <cell r="D734">
            <v>0</v>
          </cell>
          <cell r="E734" t="str">
            <v>SHE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 t="str">
            <v>H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 t="str">
            <v>P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 t="str">
            <v xml:space="preserve">                                                            </v>
          </cell>
          <cell r="X734">
            <v>0</v>
          </cell>
          <cell r="Y734">
            <v>0</v>
          </cell>
          <cell r="Z734">
            <v>0</v>
          </cell>
          <cell r="AA734">
            <v>3</v>
          </cell>
          <cell r="AB734" t="str">
            <v>H, P</v>
          </cell>
          <cell r="AC734">
            <v>0</v>
          </cell>
          <cell r="AD734">
            <v>0</v>
          </cell>
          <cell r="AE734" t="str">
            <v>5/8: wait extra zipper</v>
          </cell>
          <cell r="AF734" t="str">
            <v>ADVANTUS CORP.</v>
          </cell>
          <cell r="AG734" t="str">
            <v>ADVANTUS CORP.</v>
          </cell>
          <cell r="AH734" t="str">
            <v>REGULAR</v>
          </cell>
          <cell r="AI734">
            <v>45054</v>
          </cell>
          <cell r="AJ734">
            <v>45054</v>
          </cell>
          <cell r="AK734"/>
          <cell r="AL734">
            <v>45059</v>
          </cell>
          <cell r="AM734">
            <v>45059</v>
          </cell>
          <cell r="AN734"/>
          <cell r="AO734">
            <v>45061</v>
          </cell>
          <cell r="AP734" t="str">
            <v>ON HOLD</v>
          </cell>
        </row>
        <row r="735">
          <cell r="A735">
            <v>96231260545</v>
          </cell>
          <cell r="B735" t="str">
            <v>EE-AN-RF SP 96230800505</v>
          </cell>
          <cell r="C735">
            <v>0</v>
          </cell>
          <cell r="D735">
            <v>0</v>
          </cell>
          <cell r="E735" t="str">
            <v>FLO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EE REPORT</v>
          </cell>
          <cell r="AC735">
            <v>0</v>
          </cell>
          <cell r="AD735">
            <v>0</v>
          </cell>
          <cell r="AE735">
            <v>0</v>
          </cell>
          <cell r="AF735" t="str">
            <v>KUKA (HK) TRADE CO LIMITED</v>
          </cell>
          <cell r="AG735" t="str">
            <v>KUKA (HK) TRADE CO LIMITED</v>
          </cell>
          <cell r="AH735" t="str">
            <v>REGULAR</v>
          </cell>
          <cell r="AI735">
            <v>45052</v>
          </cell>
          <cell r="AJ735"/>
          <cell r="AK735"/>
          <cell r="AL735">
            <v>45058</v>
          </cell>
          <cell r="AM735">
            <v>45058</v>
          </cell>
          <cell r="AN735"/>
          <cell r="AO735">
            <v>45061</v>
          </cell>
          <cell r="AP735" t="str">
            <v>ACTIVE</v>
          </cell>
        </row>
        <row r="736">
          <cell r="A736">
            <v>96231280001</v>
          </cell>
          <cell r="B736" t="str">
            <v>EU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 t="str">
            <v>E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0</v>
          </cell>
          <cell r="AA736">
            <v>1</v>
          </cell>
          <cell r="AB736" t="str">
            <v>E</v>
          </cell>
          <cell r="AC736">
            <v>0</v>
          </cell>
          <cell r="AD736">
            <v>0</v>
          </cell>
          <cell r="AE736">
            <v>0</v>
          </cell>
          <cell r="AF736" t="str">
            <v>HARMOOR VIETNAM COMPANY LIMITED</v>
          </cell>
          <cell r="AG736" t="str">
            <v>HARMOOR VIETNAM COMPANY LIMITED</v>
          </cell>
          <cell r="AH736" t="str">
            <v>REGULAR</v>
          </cell>
          <cell r="AI736">
            <v>45054</v>
          </cell>
          <cell r="AJ736"/>
          <cell r="AK736"/>
          <cell r="AL736">
            <v>45059</v>
          </cell>
          <cell r="AM736">
            <v>45059</v>
          </cell>
          <cell r="AN736"/>
          <cell r="AO736">
            <v>45061</v>
          </cell>
          <cell r="AP736" t="str">
            <v>ACTIVE</v>
          </cell>
        </row>
        <row r="737">
          <cell r="A737">
            <v>96231280002</v>
          </cell>
          <cell r="B737" t="str">
            <v>EU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 t="str">
            <v>E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0</v>
          </cell>
          <cell r="AA737">
            <v>1</v>
          </cell>
          <cell r="AB737" t="str">
            <v>E</v>
          </cell>
          <cell r="AC737">
            <v>0</v>
          </cell>
          <cell r="AD737">
            <v>0</v>
          </cell>
          <cell r="AE737">
            <v>0</v>
          </cell>
          <cell r="AF737" t="str">
            <v>HARMOOR VIETNAM COMPANY LIMITED</v>
          </cell>
          <cell r="AG737" t="str">
            <v>HARMOOR VIETNAM COMPANY LIMITED</v>
          </cell>
          <cell r="AH737" t="str">
            <v>REGULAR</v>
          </cell>
          <cell r="AI737">
            <v>45054</v>
          </cell>
          <cell r="AJ737"/>
          <cell r="AK737"/>
          <cell r="AL737">
            <v>45059</v>
          </cell>
          <cell r="AM737">
            <v>45059</v>
          </cell>
          <cell r="AN737"/>
          <cell r="AO737">
            <v>45061</v>
          </cell>
          <cell r="AP737" t="str">
            <v>ACTIVE</v>
          </cell>
        </row>
        <row r="738">
          <cell r="A738">
            <v>96231280003</v>
          </cell>
          <cell r="B738" t="str">
            <v>EU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 t="str">
            <v>E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1</v>
          </cell>
          <cell r="AB738" t="str">
            <v>E</v>
          </cell>
          <cell r="AC738">
            <v>0</v>
          </cell>
          <cell r="AD738">
            <v>0</v>
          </cell>
          <cell r="AE738">
            <v>0</v>
          </cell>
          <cell r="AF738" t="str">
            <v>HARMOOR VIETNAM COMPANY LIMITED</v>
          </cell>
          <cell r="AG738" t="str">
            <v>HARMOOR VIETNAM COMPANY LIMITED</v>
          </cell>
          <cell r="AH738" t="str">
            <v>REGULAR</v>
          </cell>
          <cell r="AI738">
            <v>45054</v>
          </cell>
          <cell r="AJ738"/>
          <cell r="AK738"/>
          <cell r="AL738">
            <v>45059</v>
          </cell>
          <cell r="AM738">
            <v>45059</v>
          </cell>
          <cell r="AN738"/>
          <cell r="AO738">
            <v>45061</v>
          </cell>
          <cell r="AP738" t="str">
            <v>ACTIVE</v>
          </cell>
        </row>
        <row r="739">
          <cell r="A739">
            <v>96231280004</v>
          </cell>
          <cell r="B739" t="str">
            <v>EU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 t="str">
            <v>E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0</v>
          </cell>
          <cell r="AA739">
            <v>1</v>
          </cell>
          <cell r="AB739" t="str">
            <v>E</v>
          </cell>
          <cell r="AC739">
            <v>0</v>
          </cell>
          <cell r="AD739">
            <v>0</v>
          </cell>
          <cell r="AE739">
            <v>0</v>
          </cell>
          <cell r="AF739" t="str">
            <v>HARMOOR VIETNAM COMPANY LIMITED</v>
          </cell>
          <cell r="AG739" t="str">
            <v>HARMOOR VIETNAM COMPANY LIMITED</v>
          </cell>
          <cell r="AH739" t="str">
            <v>REGULAR</v>
          </cell>
          <cell r="AI739">
            <v>45054</v>
          </cell>
          <cell r="AJ739"/>
          <cell r="AK739"/>
          <cell r="AL739">
            <v>45059</v>
          </cell>
          <cell r="AM739">
            <v>45059</v>
          </cell>
          <cell r="AN739"/>
          <cell r="AO739">
            <v>45061</v>
          </cell>
          <cell r="AP739" t="str">
            <v>ACTIVE</v>
          </cell>
        </row>
        <row r="740">
          <cell r="A740">
            <v>96231280005</v>
          </cell>
          <cell r="B740" t="str">
            <v>EU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 t="str">
            <v>E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0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0</v>
          </cell>
          <cell r="AA740">
            <v>1</v>
          </cell>
          <cell r="AB740" t="str">
            <v>E</v>
          </cell>
          <cell r="AC740">
            <v>0</v>
          </cell>
          <cell r="AD740">
            <v>0</v>
          </cell>
          <cell r="AE740">
            <v>0</v>
          </cell>
          <cell r="AF740" t="str">
            <v>HARMOOR VIETNAM COMPANY LIMITED</v>
          </cell>
          <cell r="AG740" t="str">
            <v>HARMOOR VIETNAM COMPANY LIMITED</v>
          </cell>
          <cell r="AH740" t="str">
            <v>REGULAR</v>
          </cell>
          <cell r="AI740">
            <v>45054</v>
          </cell>
          <cell r="AJ740"/>
          <cell r="AK740"/>
          <cell r="AL740">
            <v>45059</v>
          </cell>
          <cell r="AM740">
            <v>45059</v>
          </cell>
          <cell r="AN740"/>
          <cell r="AO740">
            <v>45061</v>
          </cell>
          <cell r="AP740" t="str">
            <v>ACTIVE</v>
          </cell>
        </row>
        <row r="741">
          <cell r="A741">
            <v>96231280006</v>
          </cell>
          <cell r="B741" t="str">
            <v>EU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 t="str">
            <v>E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1</v>
          </cell>
          <cell r="AB741" t="str">
            <v>E</v>
          </cell>
          <cell r="AC741">
            <v>0</v>
          </cell>
          <cell r="AD741">
            <v>0</v>
          </cell>
          <cell r="AE741">
            <v>0</v>
          </cell>
          <cell r="AF741" t="str">
            <v>HARMOOR VIETNAM COMPANY LIMITED</v>
          </cell>
          <cell r="AG741" t="str">
            <v>HARMOOR VIETNAM COMPANY LIMITED</v>
          </cell>
          <cell r="AH741" t="str">
            <v>REGULAR</v>
          </cell>
          <cell r="AI741">
            <v>45054</v>
          </cell>
          <cell r="AJ741"/>
          <cell r="AK741"/>
          <cell r="AL741">
            <v>45059</v>
          </cell>
          <cell r="AM741">
            <v>45059</v>
          </cell>
          <cell r="AN741"/>
          <cell r="AO741">
            <v>45061</v>
          </cell>
          <cell r="AP741" t="str">
            <v>ACTIVE</v>
          </cell>
        </row>
        <row r="742">
          <cell r="A742">
            <v>96231280021</v>
          </cell>
          <cell r="B742" t="str">
            <v>TY</v>
          </cell>
          <cell r="C742">
            <v>0</v>
          </cell>
          <cell r="D742">
            <v>0</v>
          </cell>
          <cell r="E742" t="str">
            <v>TAN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 t="str">
            <v>H</v>
          </cell>
          <cell r="K742" t="str">
            <v>T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 t="str">
            <v>L</v>
          </cell>
          <cell r="S742" t="str">
            <v>M</v>
          </cell>
          <cell r="T742">
            <v>0</v>
          </cell>
          <cell r="U742">
            <v>0</v>
          </cell>
          <cell r="V742" t="str">
            <v>Q</v>
          </cell>
          <cell r="W742" t="str">
            <v>V</v>
          </cell>
          <cell r="X742">
            <v>0</v>
          </cell>
          <cell r="Y742">
            <v>0</v>
          </cell>
          <cell r="Z742">
            <v>0</v>
          </cell>
          <cell r="AA742">
            <v>6</v>
          </cell>
          <cell r="AB742" t="str">
            <v>H, T, L, M, Q, V</v>
          </cell>
          <cell r="AC742">
            <v>0</v>
          </cell>
          <cell r="AD742" t="str">
            <v>YES</v>
          </cell>
          <cell r="AE742">
            <v>0</v>
          </cell>
          <cell r="AF742" t="str">
            <v>DANU INTERNATIONAL LTD</v>
          </cell>
          <cell r="AG742" t="str">
            <v>THE DISNEY STORE, INC (CA)</v>
          </cell>
          <cell r="AH742" t="str">
            <v>URGENT</v>
          </cell>
          <cell r="AI742">
            <v>45054</v>
          </cell>
          <cell r="AJ742"/>
          <cell r="AK742"/>
          <cell r="AL742">
            <v>45059</v>
          </cell>
          <cell r="AM742">
            <v>45059</v>
          </cell>
          <cell r="AN742">
            <v>45058</v>
          </cell>
          <cell r="AO742">
            <v>45059</v>
          </cell>
          <cell r="AP742" t="str">
            <v>ACTIVE</v>
          </cell>
        </row>
        <row r="743">
          <cell r="A743">
            <v>96231280022</v>
          </cell>
          <cell r="B743" t="str">
            <v>TY-RF SP 96231280021</v>
          </cell>
          <cell r="C743">
            <v>0</v>
          </cell>
          <cell r="D743">
            <v>0</v>
          </cell>
          <cell r="E743" t="str">
            <v>TAN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 t="str">
            <v>H</v>
          </cell>
          <cell r="K743" t="str">
            <v>T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 t="str">
            <v>L</v>
          </cell>
          <cell r="S743" t="str">
            <v>M</v>
          </cell>
          <cell r="T743">
            <v>0</v>
          </cell>
          <cell r="U743">
            <v>0</v>
          </cell>
          <cell r="V743" t="str">
            <v>Q</v>
          </cell>
          <cell r="W743"/>
          <cell r="X743">
            <v>0</v>
          </cell>
          <cell r="Y743">
            <v>0</v>
          </cell>
          <cell r="Z743">
            <v>0</v>
          </cell>
          <cell r="AA743">
            <v>5</v>
          </cell>
          <cell r="AB743" t="str">
            <v>H, T, L, M, Q, V</v>
          </cell>
          <cell r="AC743">
            <v>0</v>
          </cell>
          <cell r="AD743" t="str">
            <v>YES</v>
          </cell>
          <cell r="AE743">
            <v>0</v>
          </cell>
          <cell r="AF743" t="str">
            <v>DANU INTERNATIONAL LTD</v>
          </cell>
          <cell r="AG743" t="str">
            <v>THE DISNEY STORE, INC (CA)</v>
          </cell>
          <cell r="AH743" t="str">
            <v>URGENT</v>
          </cell>
          <cell r="AI743">
            <v>45054</v>
          </cell>
          <cell r="AJ743"/>
          <cell r="AK743"/>
          <cell r="AL743">
            <v>45059</v>
          </cell>
          <cell r="AM743">
            <v>45059</v>
          </cell>
          <cell r="AN743">
            <v>45058</v>
          </cell>
          <cell r="AO743">
            <v>45059</v>
          </cell>
          <cell r="AP743" t="str">
            <v>ACTIVE</v>
          </cell>
        </row>
        <row r="744">
          <cell r="A744">
            <v>96231280024</v>
          </cell>
          <cell r="B744" t="str">
            <v>TY-RF SP 96231280021</v>
          </cell>
          <cell r="C744">
            <v>0</v>
          </cell>
          <cell r="D744">
            <v>0</v>
          </cell>
          <cell r="E744" t="str">
            <v>TAN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 t="str">
            <v>H</v>
          </cell>
          <cell r="K744" t="str">
            <v>T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 t="str">
            <v>L</v>
          </cell>
          <cell r="S744" t="str">
            <v>M</v>
          </cell>
          <cell r="T744">
            <v>0</v>
          </cell>
          <cell r="U744" t="str">
            <v>A</v>
          </cell>
          <cell r="V744" t="str">
            <v>Q</v>
          </cell>
          <cell r="W744" t="str">
            <v>V</v>
          </cell>
          <cell r="X744">
            <v>0</v>
          </cell>
          <cell r="Y744">
            <v>0</v>
          </cell>
          <cell r="Z744">
            <v>0</v>
          </cell>
          <cell r="AA744">
            <v>7</v>
          </cell>
          <cell r="AB744" t="str">
            <v>H, T, L, M, A, Q, V</v>
          </cell>
          <cell r="AC744">
            <v>0</v>
          </cell>
          <cell r="AD744" t="str">
            <v>YES</v>
          </cell>
          <cell r="AE744">
            <v>0</v>
          </cell>
          <cell r="AF744" t="str">
            <v>DANU INTERNATIONAL LTD</v>
          </cell>
          <cell r="AG744" t="str">
            <v>THE DISNEY STORE, INC (CA)</v>
          </cell>
          <cell r="AH744" t="str">
            <v>URGENT</v>
          </cell>
          <cell r="AI744">
            <v>45054</v>
          </cell>
          <cell r="AJ744"/>
          <cell r="AK744"/>
          <cell r="AL744">
            <v>45059</v>
          </cell>
          <cell r="AM744">
            <v>45059</v>
          </cell>
          <cell r="AN744">
            <v>45058</v>
          </cell>
          <cell r="AO744">
            <v>45059</v>
          </cell>
          <cell r="AP744" t="str">
            <v>ACTIVE</v>
          </cell>
        </row>
        <row r="745">
          <cell r="A745">
            <v>96231280027</v>
          </cell>
          <cell r="B745" t="str">
            <v>US2</v>
          </cell>
          <cell r="C745">
            <v>0</v>
          </cell>
          <cell r="D745">
            <v>0</v>
          </cell>
          <cell r="E745" t="str">
            <v>ELV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 t="str">
            <v>H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V745" t="str">
            <v>Q</v>
          </cell>
          <cell r="W745">
            <v>0</v>
          </cell>
          <cell r="X745">
            <v>0</v>
          </cell>
          <cell r="Y745">
            <v>0</v>
          </cell>
          <cell r="Z745">
            <v>0</v>
          </cell>
          <cell r="AA745">
            <v>2</v>
          </cell>
          <cell r="AB745" t="str">
            <v>H, Q</v>
          </cell>
          <cell r="AC745">
            <v>0</v>
          </cell>
          <cell r="AD745" t="str">
            <v>YES</v>
          </cell>
          <cell r="AE745">
            <v>0</v>
          </cell>
          <cell r="AF745" t="str">
            <v>RK RESOURCES CO., LTD</v>
          </cell>
          <cell r="AG745" t="str">
            <v>WILLIAMS-SONOMA INC</v>
          </cell>
          <cell r="AH745" t="str">
            <v>REGULAR</v>
          </cell>
          <cell r="AI745">
            <v>45054</v>
          </cell>
          <cell r="AJ745"/>
          <cell r="AK745"/>
          <cell r="AL745">
            <v>45059</v>
          </cell>
          <cell r="AM745">
            <v>45059</v>
          </cell>
          <cell r="AN745"/>
          <cell r="AO745">
            <v>45061</v>
          </cell>
          <cell r="AP745" t="str">
            <v>ACTIVE</v>
          </cell>
        </row>
        <row r="746">
          <cell r="A746">
            <v>96231280028</v>
          </cell>
          <cell r="B746" t="str">
            <v>TY-RF SP 96231280021</v>
          </cell>
          <cell r="C746">
            <v>0</v>
          </cell>
          <cell r="D746">
            <v>0</v>
          </cell>
          <cell r="E746" t="str">
            <v>TAN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 t="str">
            <v>H</v>
          </cell>
          <cell r="K746" t="str">
            <v>T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 t="str">
            <v>L</v>
          </cell>
          <cell r="S746" t="str">
            <v>M</v>
          </cell>
          <cell r="T746">
            <v>0</v>
          </cell>
          <cell r="U746">
            <v>0</v>
          </cell>
          <cell r="V746" t="str">
            <v>Q</v>
          </cell>
          <cell r="W746"/>
          <cell r="X746">
            <v>0</v>
          </cell>
          <cell r="Y746">
            <v>0</v>
          </cell>
          <cell r="Z746">
            <v>0</v>
          </cell>
          <cell r="AA746">
            <v>5</v>
          </cell>
          <cell r="AB746" t="str">
            <v>H, T, L, M, Q, V</v>
          </cell>
          <cell r="AC746">
            <v>0</v>
          </cell>
          <cell r="AD746" t="str">
            <v>YES</v>
          </cell>
          <cell r="AE746">
            <v>0</v>
          </cell>
          <cell r="AF746" t="str">
            <v>DANU INTERNATIONAL LTD</v>
          </cell>
          <cell r="AG746" t="str">
            <v>THE DISNEY STORE, INC (CA)</v>
          </cell>
          <cell r="AH746" t="str">
            <v>URGENT</v>
          </cell>
          <cell r="AI746">
            <v>45054</v>
          </cell>
          <cell r="AJ746"/>
          <cell r="AK746"/>
          <cell r="AL746">
            <v>45059</v>
          </cell>
          <cell r="AM746">
            <v>45059</v>
          </cell>
          <cell r="AN746">
            <v>45058</v>
          </cell>
          <cell r="AO746">
            <v>45059</v>
          </cell>
          <cell r="AP746" t="str">
            <v>ACTIVE</v>
          </cell>
        </row>
        <row r="747">
          <cell r="A747">
            <v>96231280030</v>
          </cell>
          <cell r="B747" t="str">
            <v>TY-RF SP 96231280021</v>
          </cell>
          <cell r="C747">
            <v>0</v>
          </cell>
          <cell r="D747">
            <v>0</v>
          </cell>
          <cell r="E747" t="str">
            <v>TAN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 t="str">
            <v>H</v>
          </cell>
          <cell r="K747" t="str">
            <v>T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 t="str">
            <v>L</v>
          </cell>
          <cell r="S747" t="str">
            <v>M</v>
          </cell>
          <cell r="T747">
            <v>0</v>
          </cell>
          <cell r="U747">
            <v>0</v>
          </cell>
          <cell r="V747" t="str">
            <v>Q</v>
          </cell>
          <cell r="W747"/>
          <cell r="X747">
            <v>0</v>
          </cell>
          <cell r="Y747">
            <v>0</v>
          </cell>
          <cell r="Z747">
            <v>0</v>
          </cell>
          <cell r="AA747">
            <v>5</v>
          </cell>
          <cell r="AB747" t="str">
            <v>H, T, L, M, Q, V</v>
          </cell>
          <cell r="AC747">
            <v>0</v>
          </cell>
          <cell r="AD747" t="str">
            <v>YES</v>
          </cell>
          <cell r="AE747">
            <v>0</v>
          </cell>
          <cell r="AF747" t="str">
            <v>DANU INTERNATIONAL LTD</v>
          </cell>
          <cell r="AG747" t="str">
            <v>THE DISNEY STORE, INC (CA)</v>
          </cell>
          <cell r="AH747" t="str">
            <v>URGENT</v>
          </cell>
          <cell r="AI747">
            <v>45054</v>
          </cell>
          <cell r="AJ747"/>
          <cell r="AK747"/>
          <cell r="AL747">
            <v>45059</v>
          </cell>
          <cell r="AM747">
            <v>45059</v>
          </cell>
          <cell r="AN747">
            <v>45058</v>
          </cell>
          <cell r="AO747">
            <v>45059</v>
          </cell>
          <cell r="AP747" t="str">
            <v>ACTIVE</v>
          </cell>
        </row>
        <row r="748">
          <cell r="A748">
            <v>96231280037</v>
          </cell>
          <cell r="B748" t="str">
            <v>US2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 t="str">
            <v>H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1</v>
          </cell>
          <cell r="AB748" t="str">
            <v>H</v>
          </cell>
          <cell r="AC748">
            <v>0</v>
          </cell>
          <cell r="AD748">
            <v>0</v>
          </cell>
          <cell r="AE748">
            <v>0</v>
          </cell>
          <cell r="AF748" t="str">
            <v>ARTISAN FURNITURE COMPANY LIMITED</v>
          </cell>
          <cell r="AG748" t="str">
            <v>CINMAR-GRANDIN ROAD</v>
          </cell>
          <cell r="AH748" t="str">
            <v>REGULAR</v>
          </cell>
          <cell r="AI748">
            <v>45054</v>
          </cell>
          <cell r="AJ748"/>
          <cell r="AK748"/>
          <cell r="AL748">
            <v>45059</v>
          </cell>
          <cell r="AM748">
            <v>45059</v>
          </cell>
          <cell r="AN748"/>
          <cell r="AO748">
            <v>45061</v>
          </cell>
          <cell r="AP748" t="str">
            <v>ACTIVE</v>
          </cell>
        </row>
        <row r="749">
          <cell r="A749">
            <v>96231280052</v>
          </cell>
          <cell r="B749" t="str">
            <v>CD-HANOI-NOB</v>
          </cell>
          <cell r="C749">
            <v>0</v>
          </cell>
          <cell r="D749">
            <v>0</v>
          </cell>
          <cell r="E749" t="str">
            <v>NOMI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 t="str">
            <v>H</v>
          </cell>
          <cell r="K749">
            <v>0</v>
          </cell>
          <cell r="L749">
            <v>0</v>
          </cell>
          <cell r="M749" t="str">
            <v>C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V749" t="str">
            <v>Q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  <cell r="AA749">
            <v>3</v>
          </cell>
          <cell r="AB749" t="str">
            <v>H, C, Q</v>
          </cell>
          <cell r="AC749">
            <v>0</v>
          </cell>
          <cell r="AD749">
            <v>0</v>
          </cell>
          <cell r="AE749">
            <v>0</v>
          </cell>
          <cell r="AF749" t="str">
            <v>N/A</v>
          </cell>
          <cell r="AG749" t="str">
            <v>KROGER COMPANY</v>
          </cell>
          <cell r="AH749" t="str">
            <v>REGULAR</v>
          </cell>
          <cell r="AI749">
            <v>45054</v>
          </cell>
          <cell r="AJ749"/>
          <cell r="AK749"/>
          <cell r="AL749">
            <v>45059</v>
          </cell>
          <cell r="AM749">
            <v>45059</v>
          </cell>
          <cell r="AN749"/>
          <cell r="AO749">
            <v>45061</v>
          </cell>
          <cell r="AP749" t="str">
            <v>ACTIVE</v>
          </cell>
        </row>
        <row r="750">
          <cell r="A750">
            <v>96231280064</v>
          </cell>
          <cell r="B750" t="str">
            <v>TY-RF SP 96231260174</v>
          </cell>
          <cell r="C750">
            <v>0</v>
          </cell>
          <cell r="D750">
            <v>0</v>
          </cell>
          <cell r="E750" t="str">
            <v>TAN/HAN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 t="str">
            <v>T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 t="str">
            <v>F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2</v>
          </cell>
          <cell r="AB750" t="str">
            <v>T, F</v>
          </cell>
          <cell r="AC750">
            <v>0</v>
          </cell>
          <cell r="AD750">
            <v>0</v>
          </cell>
          <cell r="AE750">
            <v>0</v>
          </cell>
          <cell r="AF750" t="str">
            <v>N/A</v>
          </cell>
          <cell r="AG750" t="str">
            <v>THE DISNEY STORE, INC (CA)</v>
          </cell>
          <cell r="AH750" t="str">
            <v>REGULAR</v>
          </cell>
          <cell r="AI750">
            <v>45054</v>
          </cell>
          <cell r="AJ750">
            <v>45054</v>
          </cell>
          <cell r="AK750"/>
          <cell r="AL750">
            <v>45057</v>
          </cell>
          <cell r="AM750">
            <v>45057</v>
          </cell>
          <cell r="AN750"/>
          <cell r="AO750">
            <v>45058</v>
          </cell>
          <cell r="AP750" t="str">
            <v>ON HOLD</v>
          </cell>
        </row>
        <row r="751">
          <cell r="A751">
            <v>96231280069</v>
          </cell>
          <cell r="B751" t="str">
            <v>CD-HANOI-NOB</v>
          </cell>
          <cell r="C751">
            <v>0</v>
          </cell>
          <cell r="D751">
            <v>0</v>
          </cell>
          <cell r="E751" t="str">
            <v>NOMI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 t="str">
            <v>H</v>
          </cell>
          <cell r="K751">
            <v>0</v>
          </cell>
          <cell r="L751">
            <v>0</v>
          </cell>
          <cell r="M751" t="str">
            <v>C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V751" t="str">
            <v>Q</v>
          </cell>
          <cell r="W751">
            <v>0</v>
          </cell>
          <cell r="X751">
            <v>0</v>
          </cell>
          <cell r="Y751">
            <v>0</v>
          </cell>
          <cell r="Z751">
            <v>0</v>
          </cell>
          <cell r="AA751">
            <v>3</v>
          </cell>
          <cell r="AB751" t="str">
            <v>H, C, Q</v>
          </cell>
          <cell r="AC751">
            <v>0</v>
          </cell>
          <cell r="AD751">
            <v>0</v>
          </cell>
          <cell r="AE751">
            <v>0</v>
          </cell>
          <cell r="AF751" t="str">
            <v>N/A</v>
          </cell>
          <cell r="AG751" t="str">
            <v>KROGER COMPANY</v>
          </cell>
          <cell r="AH751" t="str">
            <v>REGULAR</v>
          </cell>
          <cell r="AI751">
            <v>45054</v>
          </cell>
          <cell r="AJ751"/>
          <cell r="AK751"/>
          <cell r="AL751">
            <v>45059</v>
          </cell>
          <cell r="AM751">
            <v>45059</v>
          </cell>
          <cell r="AN751"/>
          <cell r="AO751">
            <v>45061</v>
          </cell>
          <cell r="AP751" t="str">
            <v>ACTIVE</v>
          </cell>
        </row>
        <row r="752">
          <cell r="A752">
            <v>96231280070</v>
          </cell>
          <cell r="B752" t="str">
            <v>CD-HANOI-NOB</v>
          </cell>
          <cell r="C752">
            <v>0</v>
          </cell>
          <cell r="D752">
            <v>0</v>
          </cell>
          <cell r="E752" t="str">
            <v>NOMI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 t="str">
            <v>H</v>
          </cell>
          <cell r="K752">
            <v>0</v>
          </cell>
          <cell r="L752">
            <v>0</v>
          </cell>
          <cell r="M752" t="str">
            <v>C</v>
          </cell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V752" t="str">
            <v>Q</v>
          </cell>
          <cell r="W752">
            <v>0</v>
          </cell>
          <cell r="X752">
            <v>0</v>
          </cell>
          <cell r="Y752">
            <v>0</v>
          </cell>
          <cell r="Z752">
            <v>0</v>
          </cell>
          <cell r="AA752">
            <v>3</v>
          </cell>
          <cell r="AB752" t="str">
            <v>H, C, Q</v>
          </cell>
          <cell r="AC752">
            <v>0</v>
          </cell>
          <cell r="AD752">
            <v>0</v>
          </cell>
          <cell r="AE752">
            <v>0</v>
          </cell>
          <cell r="AF752" t="str">
            <v>N/A</v>
          </cell>
          <cell r="AG752" t="str">
            <v>KROGER COMPANY</v>
          </cell>
          <cell r="AH752" t="str">
            <v>REGULAR</v>
          </cell>
          <cell r="AI752">
            <v>45054</v>
          </cell>
          <cell r="AJ752"/>
          <cell r="AK752"/>
          <cell r="AL752">
            <v>45059</v>
          </cell>
          <cell r="AM752">
            <v>45059</v>
          </cell>
          <cell r="AN752"/>
          <cell r="AO752">
            <v>45061</v>
          </cell>
          <cell r="AP752" t="str">
            <v>ACTIVE</v>
          </cell>
        </row>
        <row r="753">
          <cell r="A753">
            <v>96231280081</v>
          </cell>
          <cell r="B753" t="str">
            <v>EE-QTY</v>
          </cell>
          <cell r="C753">
            <v>0</v>
          </cell>
          <cell r="D753">
            <v>0</v>
          </cell>
          <cell r="E753" t="str">
            <v>FLO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EE REPORT</v>
          </cell>
          <cell r="AC753">
            <v>0</v>
          </cell>
          <cell r="AD753">
            <v>0</v>
          </cell>
          <cell r="AE753">
            <v>0</v>
          </cell>
          <cell r="AF753" t="str">
            <v>INLITEN LLC</v>
          </cell>
          <cell r="AG753" t="str">
            <v>AT HOME STORES LLC</v>
          </cell>
          <cell r="AH753" t="str">
            <v>REGULAR</v>
          </cell>
          <cell r="AI753">
            <v>45054</v>
          </cell>
          <cell r="AJ753"/>
          <cell r="AK753"/>
          <cell r="AL753">
            <v>45054</v>
          </cell>
          <cell r="AM753">
            <v>45054</v>
          </cell>
          <cell r="AN753"/>
          <cell r="AO753">
            <v>45054</v>
          </cell>
          <cell r="AP753" t="str">
            <v>NAY</v>
          </cell>
        </row>
        <row r="754">
          <cell r="A754">
            <v>96231280082</v>
          </cell>
          <cell r="B754" t="str">
            <v>JP</v>
          </cell>
          <cell r="C754">
            <v>0</v>
          </cell>
          <cell r="D754">
            <v>0</v>
          </cell>
          <cell r="E754" t="str">
            <v>FLO</v>
          </cell>
          <cell r="F754" t="str">
            <v>MAKING 0509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/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J</v>
          </cell>
          <cell r="AC754">
            <v>0</v>
          </cell>
          <cell r="AD754">
            <v>0</v>
          </cell>
          <cell r="AE754">
            <v>0</v>
          </cell>
          <cell r="AF754" t="str">
            <v>ZHIAO VIET NAM COMPANY LIMITED</v>
          </cell>
          <cell r="AG754" t="str">
            <v>ZHIAO VIET NAM COMPANY LIMITED</v>
          </cell>
          <cell r="AH754" t="str">
            <v>REGULAR</v>
          </cell>
          <cell r="AI754">
            <v>45054</v>
          </cell>
          <cell r="AJ754"/>
          <cell r="AK754"/>
          <cell r="AL754">
            <v>45059</v>
          </cell>
          <cell r="AM754">
            <v>45059</v>
          </cell>
          <cell r="AN754"/>
          <cell r="AO754">
            <v>45061</v>
          </cell>
          <cell r="AP754" t="str">
            <v>ACTIVE</v>
          </cell>
        </row>
        <row r="755">
          <cell r="A755">
            <v>96231280083</v>
          </cell>
          <cell r="B755" t="str">
            <v>EE-QTY</v>
          </cell>
          <cell r="C755">
            <v>0</v>
          </cell>
          <cell r="D755">
            <v>0</v>
          </cell>
          <cell r="E755" t="str">
            <v>FLO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EE REPORT</v>
          </cell>
          <cell r="AC755">
            <v>0</v>
          </cell>
          <cell r="AD755">
            <v>0</v>
          </cell>
          <cell r="AE755">
            <v>0</v>
          </cell>
          <cell r="AF755" t="str">
            <v>INLITEN LLC</v>
          </cell>
          <cell r="AG755" t="str">
            <v>AT HOME STORES LLC</v>
          </cell>
          <cell r="AH755" t="str">
            <v>REGULAR</v>
          </cell>
          <cell r="AI755">
            <v>45054</v>
          </cell>
          <cell r="AJ755"/>
          <cell r="AK755"/>
          <cell r="AL755">
            <v>45054</v>
          </cell>
          <cell r="AM755">
            <v>45054</v>
          </cell>
          <cell r="AN755"/>
          <cell r="AO755">
            <v>45054</v>
          </cell>
          <cell r="AP755" t="str">
            <v>NAY</v>
          </cell>
        </row>
        <row r="756">
          <cell r="A756">
            <v>96231280084</v>
          </cell>
          <cell r="B756" t="str">
            <v>USD</v>
          </cell>
          <cell r="C756" t="str">
            <v>done</v>
          </cell>
          <cell r="D756" t="str">
            <v>VAN</v>
          </cell>
          <cell r="E756" t="str">
            <v>TAN</v>
          </cell>
          <cell r="F756" t="str">
            <v>DONE 0509
MAKING 0509</v>
          </cell>
          <cell r="G756">
            <v>0</v>
          </cell>
          <cell r="H756">
            <v>0</v>
          </cell>
          <cell r="I756"/>
          <cell r="J756"/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>
            <v>0</v>
          </cell>
          <cell r="R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H, Z</v>
          </cell>
          <cell r="AC756">
            <v>0</v>
          </cell>
          <cell r="AD756">
            <v>0</v>
          </cell>
          <cell r="AE756">
            <v>0</v>
          </cell>
          <cell r="AF756" t="str">
            <v>T &amp; L METAL FURNITURE COMPANY LIMITED</v>
          </cell>
          <cell r="AG756" t="str">
            <v>MITCHELL GOLD + BOB WILLIAMS</v>
          </cell>
          <cell r="AH756" t="str">
            <v>REGULAR</v>
          </cell>
          <cell r="AI756">
            <v>45054</v>
          </cell>
          <cell r="AJ756"/>
          <cell r="AK756"/>
          <cell r="AL756">
            <v>45059</v>
          </cell>
          <cell r="AM756">
            <v>45059</v>
          </cell>
          <cell r="AN756"/>
          <cell r="AO756">
            <v>45061</v>
          </cell>
          <cell r="AP756" t="str">
            <v>ACTIVE</v>
          </cell>
        </row>
        <row r="757">
          <cell r="A757">
            <v>96231280088</v>
          </cell>
          <cell r="B757" t="str">
            <v>US1</v>
          </cell>
          <cell r="C757">
            <v>0</v>
          </cell>
          <cell r="D757">
            <v>0</v>
          </cell>
          <cell r="E757" t="str">
            <v>MIN/ELV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 t="str">
            <v>H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>
            <v>0</v>
          </cell>
          <cell r="R757">
            <v>0</v>
          </cell>
          <cell r="S757">
            <v>0</v>
          </cell>
          <cell r="T757">
            <v>0</v>
          </cell>
          <cell r="U757">
            <v>0</v>
          </cell>
          <cell r="V757" t="str">
            <v>Q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2</v>
          </cell>
          <cell r="AB757" t="str">
            <v>H, Q</v>
          </cell>
          <cell r="AC757">
            <v>0</v>
          </cell>
          <cell r="AD757" t="str">
            <v>YES</v>
          </cell>
          <cell r="AE757">
            <v>0</v>
          </cell>
          <cell r="AF757" t="str">
            <v>SAUDER WOODWORKING COMPANY</v>
          </cell>
          <cell r="AG757" t="str">
            <v>WAL-MART.COM USA, LLC</v>
          </cell>
          <cell r="AH757" t="str">
            <v>REGULAR</v>
          </cell>
          <cell r="AI757">
            <v>45054</v>
          </cell>
          <cell r="AJ757"/>
          <cell r="AK757"/>
          <cell r="AL757">
            <v>45058</v>
          </cell>
          <cell r="AM757">
            <v>45058</v>
          </cell>
          <cell r="AN757">
            <v>45061</v>
          </cell>
          <cell r="AO757">
            <v>45059</v>
          </cell>
          <cell r="AP757" t="str">
            <v>ACTIVE</v>
          </cell>
        </row>
        <row r="758">
          <cell r="A758">
            <v>96231280089</v>
          </cell>
          <cell r="B758" t="str">
            <v>JP-RF 96230730406</v>
          </cell>
          <cell r="C758">
            <v>0</v>
          </cell>
          <cell r="D758" t="str">
            <v>VAN</v>
          </cell>
          <cell r="E758" t="str">
            <v>FLO</v>
          </cell>
          <cell r="F758" t="str">
            <v>done 0509
INFOS
MAKING 0508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 t="str">
            <v>Q</v>
          </cell>
          <cell r="W758" t="str">
            <v>V</v>
          </cell>
          <cell r="X758">
            <v>0</v>
          </cell>
          <cell r="Y758">
            <v>0</v>
          </cell>
          <cell r="Z758">
            <v>0</v>
          </cell>
          <cell r="AA758">
            <v>2</v>
          </cell>
          <cell r="AB758" t="str">
            <v>Q, V</v>
          </cell>
          <cell r="AC758">
            <v>0</v>
          </cell>
          <cell r="AD758">
            <v>0</v>
          </cell>
          <cell r="AE758">
            <v>0</v>
          </cell>
          <cell r="AF758" t="str">
            <v>VINH SON WOOD CO LTD</v>
          </cell>
          <cell r="AG758" t="str">
            <v>VINH SON WOOD CO LTD</v>
          </cell>
          <cell r="AH758" t="str">
            <v>REGULAR</v>
          </cell>
          <cell r="AI758">
            <v>45054</v>
          </cell>
          <cell r="AJ758"/>
          <cell r="AK758"/>
          <cell r="AL758">
            <v>45059</v>
          </cell>
          <cell r="AM758">
            <v>45059</v>
          </cell>
          <cell r="AN758"/>
          <cell r="AO758">
            <v>45061</v>
          </cell>
          <cell r="AP758" t="str">
            <v>ACTIVE</v>
          </cell>
        </row>
        <row r="759">
          <cell r="A759">
            <v>96231280090</v>
          </cell>
          <cell r="B759" t="str">
            <v>US2</v>
          </cell>
          <cell r="C759">
            <v>0</v>
          </cell>
          <cell r="D759">
            <v>0</v>
          </cell>
          <cell r="E759" t="str">
            <v>VAN</v>
          </cell>
          <cell r="F759">
            <v>0</v>
          </cell>
          <cell r="G759" t="str">
            <v>R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>
            <v>0</v>
          </cell>
          <cell r="R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0</v>
          </cell>
          <cell r="AA759">
            <v>1</v>
          </cell>
          <cell r="AB759" t="str">
            <v>R</v>
          </cell>
          <cell r="AC759">
            <v>0</v>
          </cell>
          <cell r="AD759" t="str">
            <v>YES</v>
          </cell>
          <cell r="AE759">
            <v>0</v>
          </cell>
          <cell r="AF759" t="str">
            <v>NS MILLENNIUM VIETNAM CO LTD</v>
          </cell>
          <cell r="AG759" t="str">
            <v>NS MILLENNIUM VIETNAM CO LTD</v>
          </cell>
          <cell r="AH759" t="str">
            <v>REGULAR</v>
          </cell>
          <cell r="AI759">
            <v>45054</v>
          </cell>
          <cell r="AJ759"/>
          <cell r="AK759"/>
          <cell r="AL759">
            <v>45059</v>
          </cell>
          <cell r="AM759">
            <v>45059</v>
          </cell>
          <cell r="AN759"/>
          <cell r="AO759">
            <v>45061</v>
          </cell>
          <cell r="AP759" t="str">
            <v>ACTIVE</v>
          </cell>
        </row>
        <row r="760">
          <cell r="A760">
            <v>96231280091</v>
          </cell>
          <cell r="B760" t="str">
            <v>CD</v>
          </cell>
          <cell r="C760">
            <v>0</v>
          </cell>
          <cell r="D760">
            <v>0</v>
          </cell>
          <cell r="E760" t="str">
            <v>FLO/VAN</v>
          </cell>
          <cell r="F760" t="str">
            <v>FIRST MAKING 0508-SL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 t="str">
            <v>L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0</v>
          </cell>
          <cell r="AA760">
            <v>1</v>
          </cell>
          <cell r="AB760" t="str">
            <v>L</v>
          </cell>
          <cell r="AC760">
            <v>0</v>
          </cell>
          <cell r="AD760">
            <v>0</v>
          </cell>
          <cell r="AE760" t="str">
            <v>0509: no CS pend</v>
          </cell>
          <cell r="AF760" t="str">
            <v>MIN WIE INT'L VIETNAM CO LTD</v>
          </cell>
          <cell r="AG760" t="str">
            <v>MIN WIE INT'L VIETNAM CO LTD</v>
          </cell>
          <cell r="AH760" t="str">
            <v>24 HOURS</v>
          </cell>
          <cell r="AI760">
            <v>45054</v>
          </cell>
          <cell r="AJ760"/>
          <cell r="AK760"/>
          <cell r="AL760">
            <v>45054</v>
          </cell>
          <cell r="AM760">
            <v>45054</v>
          </cell>
          <cell r="AN760"/>
          <cell r="AO760">
            <v>45055</v>
          </cell>
          <cell r="AP760" t="str">
            <v>DUE</v>
          </cell>
        </row>
        <row r="761">
          <cell r="A761">
            <v>96231280093</v>
          </cell>
          <cell r="B761" t="str">
            <v>US2</v>
          </cell>
          <cell r="C761">
            <v>0</v>
          </cell>
          <cell r="D761">
            <v>0</v>
          </cell>
          <cell r="E761" t="str">
            <v>VAN</v>
          </cell>
          <cell r="F761">
            <v>0</v>
          </cell>
          <cell r="G761" t="str">
            <v>R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0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0</v>
          </cell>
          <cell r="AA761">
            <v>1</v>
          </cell>
          <cell r="AB761" t="str">
            <v>R</v>
          </cell>
          <cell r="AC761">
            <v>0</v>
          </cell>
          <cell r="AD761" t="str">
            <v>YES</v>
          </cell>
          <cell r="AE761">
            <v>0</v>
          </cell>
          <cell r="AF761" t="str">
            <v>NS MILLENNIUM VIETNAM CO LTD</v>
          </cell>
          <cell r="AG761" t="str">
            <v>NS MILLENNIUM VIETNAM CO LTD</v>
          </cell>
          <cell r="AH761" t="str">
            <v>REGULAR</v>
          </cell>
          <cell r="AI761">
            <v>45054</v>
          </cell>
          <cell r="AJ761"/>
          <cell r="AK761"/>
          <cell r="AL761">
            <v>45059</v>
          </cell>
          <cell r="AM761">
            <v>45059</v>
          </cell>
          <cell r="AN761"/>
          <cell r="AO761">
            <v>45061</v>
          </cell>
          <cell r="AP761" t="str">
            <v>ACTIVE</v>
          </cell>
        </row>
        <row r="762">
          <cell r="A762">
            <v>96231280094</v>
          </cell>
          <cell r="B762" t="str">
            <v>US2</v>
          </cell>
          <cell r="C762">
            <v>0</v>
          </cell>
          <cell r="D762">
            <v>0</v>
          </cell>
          <cell r="E762" t="str">
            <v>VAN</v>
          </cell>
          <cell r="F762">
            <v>0</v>
          </cell>
          <cell r="G762" t="str">
            <v>R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0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1</v>
          </cell>
          <cell r="AB762" t="str">
            <v>R</v>
          </cell>
          <cell r="AC762">
            <v>0</v>
          </cell>
          <cell r="AD762" t="str">
            <v>YES</v>
          </cell>
          <cell r="AE762">
            <v>0</v>
          </cell>
          <cell r="AF762" t="str">
            <v>NS MILLENNIUM VIETNAM CO LTD</v>
          </cell>
          <cell r="AG762" t="str">
            <v>NS MILLENNIUM VIETNAM CO LTD</v>
          </cell>
          <cell r="AH762" t="str">
            <v>REGULAR</v>
          </cell>
          <cell r="AI762">
            <v>45054</v>
          </cell>
          <cell r="AJ762"/>
          <cell r="AK762"/>
          <cell r="AL762">
            <v>45059</v>
          </cell>
          <cell r="AM762">
            <v>45059</v>
          </cell>
          <cell r="AN762"/>
          <cell r="AO762">
            <v>45061</v>
          </cell>
          <cell r="AP762" t="str">
            <v>ACTIVE</v>
          </cell>
        </row>
        <row r="763">
          <cell r="A763">
            <v>96231280095</v>
          </cell>
          <cell r="B763" t="str">
            <v>US2</v>
          </cell>
          <cell r="C763">
            <v>0</v>
          </cell>
          <cell r="D763">
            <v>0</v>
          </cell>
          <cell r="E763" t="str">
            <v>VAN</v>
          </cell>
          <cell r="F763">
            <v>0</v>
          </cell>
          <cell r="G763" t="str">
            <v>R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0</v>
          </cell>
          <cell r="AA763">
            <v>1</v>
          </cell>
          <cell r="AB763" t="str">
            <v>R</v>
          </cell>
          <cell r="AC763">
            <v>0</v>
          </cell>
          <cell r="AD763" t="str">
            <v>YES</v>
          </cell>
          <cell r="AE763">
            <v>0</v>
          </cell>
          <cell r="AF763" t="str">
            <v>NS MILLENNIUM VIETNAM CO LTD</v>
          </cell>
          <cell r="AG763" t="str">
            <v>NS MILLENNIUM VIETNAM CO LTD</v>
          </cell>
          <cell r="AH763" t="str">
            <v>REGULAR</v>
          </cell>
          <cell r="AI763">
            <v>45054</v>
          </cell>
          <cell r="AJ763"/>
          <cell r="AK763"/>
          <cell r="AL763">
            <v>45059</v>
          </cell>
          <cell r="AM763">
            <v>45059</v>
          </cell>
          <cell r="AN763"/>
          <cell r="AO763">
            <v>45061</v>
          </cell>
          <cell r="AP763" t="str">
            <v>ACTIVE</v>
          </cell>
        </row>
        <row r="764">
          <cell r="A764">
            <v>96231280105</v>
          </cell>
          <cell r="B764" t="str">
            <v>JP-AS</v>
          </cell>
          <cell r="C764">
            <v>0</v>
          </cell>
          <cell r="D764">
            <v>0</v>
          </cell>
          <cell r="E764" t="str">
            <v>VAN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 t="str">
            <v>H</v>
          </cell>
          <cell r="K764">
            <v>0</v>
          </cell>
          <cell r="L764" t="str">
            <v>J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0</v>
          </cell>
          <cell r="R764">
            <v>0</v>
          </cell>
          <cell r="S764">
            <v>0</v>
          </cell>
          <cell r="T764">
            <v>0</v>
          </cell>
          <cell r="U764">
            <v>0</v>
          </cell>
          <cell r="V764" t="str">
            <v>Q</v>
          </cell>
          <cell r="W764" t="str">
            <v>V</v>
          </cell>
          <cell r="X764">
            <v>0</v>
          </cell>
          <cell r="Y764">
            <v>0</v>
          </cell>
          <cell r="Z764">
            <v>0</v>
          </cell>
          <cell r="AA764">
            <v>4</v>
          </cell>
          <cell r="AB764" t="str">
            <v>H, J, Q, V</v>
          </cell>
          <cell r="AC764">
            <v>0</v>
          </cell>
          <cell r="AD764" t="str">
            <v>YES</v>
          </cell>
          <cell r="AE764">
            <v>0</v>
          </cell>
          <cell r="AF764" t="str">
            <v>DELTA ENTERPRISE CORP. D/B/A DELTA CHILDREN'S PRODUCTS</v>
          </cell>
          <cell r="AG764" t="str">
            <v>DELTA ENTERPRISE CORP. D/B/A DELTA CHILDREN'S PRODUCTS</v>
          </cell>
          <cell r="AH764" t="str">
            <v>REGULAR</v>
          </cell>
          <cell r="AI764">
            <v>45054</v>
          </cell>
          <cell r="AJ764"/>
          <cell r="AK764"/>
          <cell r="AL764">
            <v>45059</v>
          </cell>
          <cell r="AM764">
            <v>45059</v>
          </cell>
          <cell r="AN764"/>
          <cell r="AO764">
            <v>45061</v>
          </cell>
          <cell r="AP764" t="str">
            <v>ACTIVE</v>
          </cell>
        </row>
        <row r="765">
          <cell r="A765">
            <v>96231280108</v>
          </cell>
          <cell r="B765" t="str">
            <v>JP-RF SP 96231280105</v>
          </cell>
          <cell r="C765">
            <v>0</v>
          </cell>
          <cell r="D765">
            <v>0</v>
          </cell>
          <cell r="E765" t="str">
            <v>VAN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 t="str">
            <v>V</v>
          </cell>
          <cell r="X765">
            <v>0</v>
          </cell>
          <cell r="Y765">
            <v>0</v>
          </cell>
          <cell r="Z765">
            <v>0</v>
          </cell>
          <cell r="AA765">
            <v>1</v>
          </cell>
          <cell r="AB765" t="str">
            <v>V</v>
          </cell>
          <cell r="AC765">
            <v>0</v>
          </cell>
          <cell r="AD765" t="str">
            <v>YES</v>
          </cell>
          <cell r="AE765">
            <v>0</v>
          </cell>
          <cell r="AF765" t="str">
            <v>DELTA ENTERPRISE CORP. D/B/A DELTA CHILDREN'S PRODUCTS</v>
          </cell>
          <cell r="AG765" t="str">
            <v>DELTA ENTERPRISE CORP. D/B/A DELTA CHILDREN'S PRODUCTS</v>
          </cell>
          <cell r="AH765" t="str">
            <v>REGULAR</v>
          </cell>
          <cell r="AI765">
            <v>45054</v>
          </cell>
          <cell r="AJ765"/>
          <cell r="AK765"/>
          <cell r="AL765">
            <v>45059</v>
          </cell>
          <cell r="AM765">
            <v>45059</v>
          </cell>
          <cell r="AN765"/>
          <cell r="AO765">
            <v>45061</v>
          </cell>
          <cell r="AP765" t="str">
            <v>ACTIVE</v>
          </cell>
        </row>
        <row r="766">
          <cell r="A766">
            <v>96231280109</v>
          </cell>
          <cell r="B766" t="str">
            <v>CD-11231250095</v>
          </cell>
          <cell r="C766">
            <v>0</v>
          </cell>
          <cell r="D766">
            <v>0</v>
          </cell>
          <cell r="E766" t="str">
            <v>VAN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 t="str">
            <v>C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  <cell r="AA766">
            <v>1</v>
          </cell>
          <cell r="AB766" t="str">
            <v>C</v>
          </cell>
          <cell r="AC766">
            <v>0</v>
          </cell>
          <cell r="AD766">
            <v>0</v>
          </cell>
          <cell r="AE766">
            <v>0</v>
          </cell>
          <cell r="AF766" t="str">
            <v>BUREAU VERITAS (CAMBODIA) LIMITED</v>
          </cell>
          <cell r="AG766" t="str">
            <v>BUREAU VERITAS (CAMBODIA) LIMITED</v>
          </cell>
          <cell r="AH766" t="str">
            <v>URGENT</v>
          </cell>
          <cell r="AI766">
            <v>45054</v>
          </cell>
          <cell r="AJ766">
            <v>45054</v>
          </cell>
          <cell r="AK766"/>
          <cell r="AL766">
            <v>45055</v>
          </cell>
          <cell r="AM766">
            <v>45055</v>
          </cell>
          <cell r="AN766"/>
          <cell r="AO766">
            <v>45056</v>
          </cell>
          <cell r="AP766" t="str">
            <v>ON HOLD</v>
          </cell>
        </row>
        <row r="767">
          <cell r="A767">
            <v>96231280110</v>
          </cell>
          <cell r="B767" t="str">
            <v>TY-RF SP 96231280021</v>
          </cell>
          <cell r="C767">
            <v>0</v>
          </cell>
          <cell r="D767">
            <v>0</v>
          </cell>
          <cell r="E767" t="str">
            <v>TAN/HAN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 t="str">
            <v>T</v>
          </cell>
          <cell r="L767">
            <v>0</v>
          </cell>
          <cell r="M767">
            <v>0</v>
          </cell>
          <cell r="N767">
            <v>0</v>
          </cell>
          <cell r="O767" t="str">
            <v>P</v>
          </cell>
          <cell r="P767">
            <v>0</v>
          </cell>
          <cell r="Q767" t="str">
            <v>F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  <cell r="AA767">
            <v>3</v>
          </cell>
          <cell r="AB767" t="str">
            <v>T, P, F</v>
          </cell>
          <cell r="AC767">
            <v>0</v>
          </cell>
          <cell r="AD767" t="str">
            <v>YES</v>
          </cell>
          <cell r="AE767">
            <v>0</v>
          </cell>
          <cell r="AF767" t="str">
            <v>DANU INTERNATIONAL LTD</v>
          </cell>
          <cell r="AG767" t="str">
            <v>THE DISNEY STORE, INC (CA)</v>
          </cell>
          <cell r="AH767" t="str">
            <v>URGENT</v>
          </cell>
          <cell r="AI767">
            <v>45054</v>
          </cell>
          <cell r="AJ767"/>
          <cell r="AK767"/>
          <cell r="AL767">
            <v>45059</v>
          </cell>
          <cell r="AM767">
            <v>45059</v>
          </cell>
          <cell r="AN767">
            <v>45057</v>
          </cell>
          <cell r="AO767">
            <v>45059</v>
          </cell>
          <cell r="AP767" t="str">
            <v>ACTIVE</v>
          </cell>
        </row>
        <row r="768">
          <cell r="A768">
            <v>96231280126</v>
          </cell>
          <cell r="B768" t="str">
            <v>CD-11231250096</v>
          </cell>
          <cell r="C768">
            <v>0</v>
          </cell>
          <cell r="D768">
            <v>0</v>
          </cell>
          <cell r="E768" t="str">
            <v>VAN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 t="str">
            <v>C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  <cell r="AA768">
            <v>1</v>
          </cell>
          <cell r="AB768" t="str">
            <v>C</v>
          </cell>
          <cell r="AC768">
            <v>0</v>
          </cell>
          <cell r="AD768">
            <v>0</v>
          </cell>
          <cell r="AE768">
            <v>0</v>
          </cell>
          <cell r="AF768" t="str">
            <v>BUREAU VERITAS (CAMBODIA) LIMITED</v>
          </cell>
          <cell r="AG768" t="str">
            <v>BUREAU VERITAS (CAMBODIA) LIMITED</v>
          </cell>
          <cell r="AH768" t="str">
            <v>URGENT</v>
          </cell>
          <cell r="AI768">
            <v>45054</v>
          </cell>
          <cell r="AJ768">
            <v>45054</v>
          </cell>
          <cell r="AK768"/>
          <cell r="AL768">
            <v>45055</v>
          </cell>
          <cell r="AM768">
            <v>45055</v>
          </cell>
          <cell r="AN768"/>
          <cell r="AO768">
            <v>45056</v>
          </cell>
          <cell r="AP768" t="str">
            <v>ON HOLD</v>
          </cell>
        </row>
        <row r="769">
          <cell r="A769">
            <v>96231280135</v>
          </cell>
          <cell r="B769" t="str">
            <v>CD-11231250096</v>
          </cell>
          <cell r="C769">
            <v>0</v>
          </cell>
          <cell r="D769">
            <v>0</v>
          </cell>
          <cell r="E769" t="str">
            <v>VAN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 t="str">
            <v>C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  <cell r="AA769">
            <v>1</v>
          </cell>
          <cell r="AB769" t="str">
            <v>C</v>
          </cell>
          <cell r="AC769">
            <v>0</v>
          </cell>
          <cell r="AD769">
            <v>0</v>
          </cell>
          <cell r="AE769">
            <v>0</v>
          </cell>
          <cell r="AF769" t="str">
            <v>BUREAU VERITAS (CAMBODIA) LIMITED</v>
          </cell>
          <cell r="AG769" t="str">
            <v>BUREAU VERITAS (CAMBODIA) LIMITED</v>
          </cell>
          <cell r="AH769" t="str">
            <v>URGENT</v>
          </cell>
          <cell r="AI769">
            <v>45054</v>
          </cell>
          <cell r="AJ769"/>
          <cell r="AK769"/>
          <cell r="AL769">
            <v>45055</v>
          </cell>
          <cell r="AM769">
            <v>45055</v>
          </cell>
          <cell r="AN769"/>
          <cell r="AO769">
            <v>45056</v>
          </cell>
          <cell r="AP769" t="str">
            <v>MUST</v>
          </cell>
        </row>
        <row r="770">
          <cell r="A770">
            <v>96231280136</v>
          </cell>
          <cell r="B770" t="str">
            <v>TY</v>
          </cell>
          <cell r="C770">
            <v>0</v>
          </cell>
          <cell r="D770">
            <v>0</v>
          </cell>
          <cell r="E770" t="str">
            <v>VAN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 t="str">
            <v>H</v>
          </cell>
          <cell r="K770" t="str">
            <v>T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 t="str">
            <v>Q</v>
          </cell>
          <cell r="W770" t="str">
            <v>V</v>
          </cell>
          <cell r="X770">
            <v>0</v>
          </cell>
          <cell r="Y770">
            <v>0</v>
          </cell>
          <cell r="Z770">
            <v>0</v>
          </cell>
          <cell r="AA770">
            <v>4</v>
          </cell>
          <cell r="AB770" t="str">
            <v>H, T, Q, V</v>
          </cell>
          <cell r="AC770">
            <v>0</v>
          </cell>
          <cell r="AD770">
            <v>0</v>
          </cell>
          <cell r="AE770">
            <v>0</v>
          </cell>
          <cell r="AF770" t="str">
            <v>SKY DRAGON VIETNAM COMPANY LIMITED</v>
          </cell>
          <cell r="AG770" t="str">
            <v>MATTEL</v>
          </cell>
          <cell r="AH770" t="str">
            <v>REGULAR</v>
          </cell>
          <cell r="AI770">
            <v>45054</v>
          </cell>
          <cell r="AJ770"/>
          <cell r="AK770"/>
          <cell r="AL770">
            <v>45059</v>
          </cell>
          <cell r="AM770">
            <v>45059</v>
          </cell>
          <cell r="AN770">
            <v>45062</v>
          </cell>
          <cell r="AO770">
            <v>45061</v>
          </cell>
          <cell r="AP770" t="str">
            <v>ACTIVE</v>
          </cell>
        </row>
        <row r="771">
          <cell r="A771">
            <v>96231280196</v>
          </cell>
          <cell r="B771" t="str">
            <v>TY</v>
          </cell>
          <cell r="C771">
            <v>0</v>
          </cell>
          <cell r="D771">
            <v>0</v>
          </cell>
          <cell r="E771" t="str">
            <v>TAN/HAN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 t="str">
            <v>H</v>
          </cell>
          <cell r="K771" t="str">
            <v>T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 t="str">
            <v>L</v>
          </cell>
          <cell r="S771" t="str">
            <v>M</v>
          </cell>
          <cell r="T771">
            <v>0</v>
          </cell>
          <cell r="U771" t="str">
            <v>A</v>
          </cell>
          <cell r="V771" t="str">
            <v>Q</v>
          </cell>
          <cell r="W771" t="str">
            <v>V</v>
          </cell>
          <cell r="X771" t="str">
            <v>X</v>
          </cell>
          <cell r="Y771">
            <v>0</v>
          </cell>
          <cell r="Z771">
            <v>0</v>
          </cell>
          <cell r="AA771">
            <v>8</v>
          </cell>
          <cell r="AB771" t="str">
            <v>H, T, L, M, A, Q, V, X</v>
          </cell>
          <cell r="AC771">
            <v>0</v>
          </cell>
          <cell r="AD771">
            <v>0</v>
          </cell>
          <cell r="AE771">
            <v>0</v>
          </cell>
          <cell r="AF771" t="str">
            <v>WIDE BALL LIMITED</v>
          </cell>
          <cell r="AG771" t="str">
            <v>DISNEY PRODUCT INTEGRITY FLORIDA</v>
          </cell>
          <cell r="AH771" t="str">
            <v>REGULAR</v>
          </cell>
          <cell r="AI771">
            <v>45054</v>
          </cell>
          <cell r="AJ771"/>
          <cell r="AK771"/>
          <cell r="AL771">
            <v>45059</v>
          </cell>
          <cell r="AM771">
            <v>45059</v>
          </cell>
          <cell r="AN771">
            <v>45072</v>
          </cell>
          <cell r="AO771">
            <v>45059</v>
          </cell>
          <cell r="AP771" t="str">
            <v>ACTIVE</v>
          </cell>
        </row>
        <row r="772">
          <cell r="A772">
            <v>96231280197</v>
          </cell>
          <cell r="B772" t="str">
            <v>AN</v>
          </cell>
          <cell r="C772">
            <v>0</v>
          </cell>
          <cell r="D772">
            <v>0</v>
          </cell>
          <cell r="E772" t="str">
            <v>VAN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 t="str">
            <v>Q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  <cell r="AA772">
            <v>1</v>
          </cell>
          <cell r="AB772" t="str">
            <v>AN HANDLE</v>
          </cell>
          <cell r="AC772">
            <v>0</v>
          </cell>
          <cell r="AD772">
            <v>0</v>
          </cell>
          <cell r="AE772">
            <v>0</v>
          </cell>
          <cell r="AF772" t="str">
            <v>THE COUNTRY MANUFACTURING AND TRADING JOINT STOCK COMPANY</v>
          </cell>
          <cell r="AG772" t="str">
            <v>THE COUNTRY MANUFACTURING AND TRADING JOINT STOCK COMPANY</v>
          </cell>
          <cell r="AH772" t="str">
            <v>REGULAR</v>
          </cell>
          <cell r="AI772">
            <v>45054</v>
          </cell>
          <cell r="AJ772"/>
          <cell r="AK772"/>
          <cell r="AL772">
            <v>45059</v>
          </cell>
          <cell r="AM772">
            <v>45059</v>
          </cell>
          <cell r="AN772"/>
          <cell r="AO772">
            <v>45061</v>
          </cell>
          <cell r="AP772" t="str">
            <v>AN HANDLE</v>
          </cell>
        </row>
        <row r="773">
          <cell r="A773">
            <v>96231280217</v>
          </cell>
          <cell r="B773" t="str">
            <v>USD</v>
          </cell>
          <cell r="C773">
            <v>0</v>
          </cell>
          <cell r="D773">
            <v>0</v>
          </cell>
          <cell r="E773" t="str">
            <v>FLO</v>
          </cell>
          <cell r="F773">
            <v>0</v>
          </cell>
          <cell r="G773">
            <v>0</v>
          </cell>
          <cell r="H773">
            <v>0</v>
          </cell>
          <cell r="I773" t="str">
            <v>Z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  <cell r="AA773">
            <v>1</v>
          </cell>
          <cell r="AB773" t="str">
            <v>Z</v>
          </cell>
          <cell r="AC773">
            <v>0</v>
          </cell>
          <cell r="AD773" t="str">
            <v>YES</v>
          </cell>
          <cell r="AE773">
            <v>0</v>
          </cell>
          <cell r="AF773" t="str">
            <v>LIVING STYLE (SINGAPORE) PTE LIMITED</v>
          </cell>
          <cell r="AG773" t="str">
            <v>LIVING STYLE (SINGAPORE) PTE LIMITED</v>
          </cell>
          <cell r="AH773" t="str">
            <v>REGULAR</v>
          </cell>
          <cell r="AI773">
            <v>45054</v>
          </cell>
          <cell r="AJ773"/>
          <cell r="AK773"/>
          <cell r="AL773">
            <v>45059</v>
          </cell>
          <cell r="AM773">
            <v>45059</v>
          </cell>
          <cell r="AN773"/>
          <cell r="AO773">
            <v>45061</v>
          </cell>
          <cell r="AP773" t="str">
            <v>ACTIVE</v>
          </cell>
        </row>
        <row r="774">
          <cell r="A774">
            <v>96231280236</v>
          </cell>
          <cell r="B774" t="str">
            <v>US2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 t="str">
            <v>H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0</v>
          </cell>
          <cell r="AA774">
            <v>1</v>
          </cell>
          <cell r="AB774" t="str">
            <v>H</v>
          </cell>
          <cell r="AC774">
            <v>0</v>
          </cell>
          <cell r="AD774">
            <v>0</v>
          </cell>
          <cell r="AE774">
            <v>0</v>
          </cell>
          <cell r="AF774" t="str">
            <v>SAMSON INTERNATIONAL ENTERPRISES LTD</v>
          </cell>
          <cell r="AG774" t="str">
            <v>SAMSON INTERNATIONAL ENTERPRISES LTD</v>
          </cell>
          <cell r="AH774" t="str">
            <v>REGULAR</v>
          </cell>
          <cell r="AI774">
            <v>45054</v>
          </cell>
          <cell r="AJ774"/>
          <cell r="AK774"/>
          <cell r="AL774">
            <v>45059</v>
          </cell>
          <cell r="AM774">
            <v>45059</v>
          </cell>
          <cell r="AN774"/>
          <cell r="AO774">
            <v>45061</v>
          </cell>
          <cell r="AP774" t="str">
            <v>ACTIVE</v>
          </cell>
        </row>
        <row r="775">
          <cell r="A775">
            <v>96231280264</v>
          </cell>
          <cell r="B775" t="str">
            <v>US2</v>
          </cell>
          <cell r="C775">
            <v>0</v>
          </cell>
          <cell r="D775">
            <v>0</v>
          </cell>
          <cell r="E775" t="str">
            <v>FLO</v>
          </cell>
          <cell r="F775">
            <v>0</v>
          </cell>
          <cell r="G775" t="str">
            <v>R</v>
          </cell>
          <cell r="H775">
            <v>0</v>
          </cell>
          <cell r="I775">
            <v>0</v>
          </cell>
          <cell r="J775" t="str">
            <v>H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0</v>
          </cell>
          <cell r="AA775">
            <v>2</v>
          </cell>
          <cell r="AB775" t="str">
            <v>H, R</v>
          </cell>
          <cell r="AC775">
            <v>0</v>
          </cell>
          <cell r="AD775" t="str">
            <v>YES</v>
          </cell>
          <cell r="AE775">
            <v>0</v>
          </cell>
          <cell r="AF775" t="str">
            <v>LIVING STYLE (SINGAPORE) PTE LIMITED</v>
          </cell>
          <cell r="AG775" t="str">
            <v>LIVING STYLE (SINGAPORE) PTE LIMITED</v>
          </cell>
          <cell r="AH775" t="str">
            <v>REGULAR</v>
          </cell>
          <cell r="AI775">
            <v>45054</v>
          </cell>
          <cell r="AJ775"/>
          <cell r="AK775"/>
          <cell r="AL775">
            <v>45062</v>
          </cell>
          <cell r="AM775">
            <v>45062</v>
          </cell>
          <cell r="AN775"/>
          <cell r="AO775">
            <v>45063</v>
          </cell>
          <cell r="AP775" t="str">
            <v>ACTIVE</v>
          </cell>
        </row>
        <row r="776">
          <cell r="A776">
            <v>96231280278</v>
          </cell>
          <cell r="B776" t="str">
            <v>AN</v>
          </cell>
          <cell r="C776">
            <v>0</v>
          </cell>
          <cell r="D776">
            <v>0</v>
          </cell>
          <cell r="E776" t="str">
            <v>FLO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0</v>
          </cell>
          <cell r="U776">
            <v>0</v>
          </cell>
          <cell r="V776" t="str">
            <v>Q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  <cell r="AA776">
            <v>1</v>
          </cell>
          <cell r="AB776" t="str">
            <v>AN HANDLE</v>
          </cell>
          <cell r="AC776">
            <v>0</v>
          </cell>
          <cell r="AD776">
            <v>0</v>
          </cell>
          <cell r="AE776">
            <v>0</v>
          </cell>
          <cell r="AF776" t="str">
            <v>HANG NGHIA FURNITURE COMPANY LIMITED</v>
          </cell>
          <cell r="AG776" t="str">
            <v>HANG NGHIA FURNITURE COMPANY LIMITED</v>
          </cell>
          <cell r="AH776" t="str">
            <v>REGULAR</v>
          </cell>
          <cell r="AI776">
            <v>45054</v>
          </cell>
          <cell r="AJ776"/>
          <cell r="AK776"/>
          <cell r="AL776">
            <v>45059</v>
          </cell>
          <cell r="AM776">
            <v>45059</v>
          </cell>
          <cell r="AN776"/>
          <cell r="AO776">
            <v>45061</v>
          </cell>
          <cell r="AP776" t="str">
            <v>AN HANDLE</v>
          </cell>
        </row>
        <row r="777">
          <cell r="A777">
            <v>96231280281</v>
          </cell>
          <cell r="B777" t="str">
            <v>AN</v>
          </cell>
          <cell r="C777">
            <v>0</v>
          </cell>
          <cell r="D777">
            <v>0</v>
          </cell>
          <cell r="E777" t="str">
            <v>FLO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 t="str">
            <v>Q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  <cell r="AA777">
            <v>1</v>
          </cell>
          <cell r="AB777" t="str">
            <v>AN HANDLE</v>
          </cell>
          <cell r="AC777">
            <v>0</v>
          </cell>
          <cell r="AD777">
            <v>0</v>
          </cell>
          <cell r="AE777">
            <v>0</v>
          </cell>
          <cell r="AF777" t="str">
            <v>HANG NGHIA FURNITURE COMPANY LIMITED</v>
          </cell>
          <cell r="AG777" t="str">
            <v>HANG NGHIA FURNITURE COMPANY LIMITED</v>
          </cell>
          <cell r="AH777" t="str">
            <v>REGULAR</v>
          </cell>
          <cell r="AI777">
            <v>45054</v>
          </cell>
          <cell r="AJ777"/>
          <cell r="AK777"/>
          <cell r="AL777">
            <v>45059</v>
          </cell>
          <cell r="AM777">
            <v>45059</v>
          </cell>
          <cell r="AN777"/>
          <cell r="AO777">
            <v>45061</v>
          </cell>
          <cell r="AP777" t="str">
            <v>AN HANDLE</v>
          </cell>
        </row>
        <row r="778">
          <cell r="A778">
            <v>96231280285</v>
          </cell>
          <cell r="B778" t="str">
            <v>AN</v>
          </cell>
          <cell r="C778">
            <v>0</v>
          </cell>
          <cell r="D778">
            <v>0</v>
          </cell>
          <cell r="E778" t="str">
            <v>FLO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 t="str">
            <v>Q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  <cell r="AA778">
            <v>1</v>
          </cell>
          <cell r="AB778" t="str">
            <v>AN HANDLE</v>
          </cell>
          <cell r="AC778">
            <v>0</v>
          </cell>
          <cell r="AD778">
            <v>0</v>
          </cell>
          <cell r="AE778">
            <v>0</v>
          </cell>
          <cell r="AF778" t="str">
            <v>HANG NGHIA FURNITURE COMPANY LIMITED</v>
          </cell>
          <cell r="AG778" t="str">
            <v>HANG NGHIA FURNITURE COMPANY LIMITED</v>
          </cell>
          <cell r="AH778" t="str">
            <v>REGULAR</v>
          </cell>
          <cell r="AI778">
            <v>45054</v>
          </cell>
          <cell r="AJ778"/>
          <cell r="AK778"/>
          <cell r="AL778">
            <v>45059</v>
          </cell>
          <cell r="AM778">
            <v>45059</v>
          </cell>
          <cell r="AN778"/>
          <cell r="AO778">
            <v>45061</v>
          </cell>
          <cell r="AP778" t="str">
            <v>AN HANDLE</v>
          </cell>
        </row>
        <row r="779">
          <cell r="A779">
            <v>96231280288</v>
          </cell>
          <cell r="B779" t="str">
            <v>US2-MC69570</v>
          </cell>
          <cell r="C779">
            <v>0</v>
          </cell>
          <cell r="D779">
            <v>0</v>
          </cell>
          <cell r="E779" t="str">
            <v>VAN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 t="str">
            <v>H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1</v>
          </cell>
          <cell r="AB779" t="str">
            <v>H</v>
          </cell>
          <cell r="AC779">
            <v>0</v>
          </cell>
          <cell r="AD779">
            <v>0</v>
          </cell>
          <cell r="AE779">
            <v>0</v>
          </cell>
          <cell r="AF779" t="str">
            <v>PT BUREAU VERITAS CONSUMER PRODUCTS SERVICES INDONESIA</v>
          </cell>
          <cell r="AG779" t="str">
            <v>PT BUREAU VERITAS CONSUMER PRODUCTS SERVICES INDONESIA</v>
          </cell>
          <cell r="AH779" t="str">
            <v>REGULAR</v>
          </cell>
          <cell r="AI779">
            <v>45054</v>
          </cell>
          <cell r="AJ779"/>
          <cell r="AK779"/>
          <cell r="AL779">
            <v>45153</v>
          </cell>
          <cell r="AM779">
            <v>45153</v>
          </cell>
          <cell r="AN779"/>
          <cell r="AO779">
            <v>45154</v>
          </cell>
          <cell r="AP779" t="str">
            <v>ACTIVE</v>
          </cell>
        </row>
        <row r="780">
          <cell r="A780">
            <v>96231280292</v>
          </cell>
          <cell r="B780" t="str">
            <v>US2-MC69569</v>
          </cell>
          <cell r="C780">
            <v>0</v>
          </cell>
          <cell r="D780">
            <v>0</v>
          </cell>
          <cell r="E780" t="str">
            <v>VAN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 t="str">
            <v>H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  <cell r="AA780">
            <v>1</v>
          </cell>
          <cell r="AB780" t="str">
            <v>H</v>
          </cell>
          <cell r="AC780">
            <v>0</v>
          </cell>
          <cell r="AD780">
            <v>0</v>
          </cell>
          <cell r="AE780">
            <v>0</v>
          </cell>
          <cell r="AF780" t="str">
            <v>PT BUREAU VERITAS CONSUMER PRODUCTS SERVICES INDONESIA</v>
          </cell>
          <cell r="AG780" t="str">
            <v>PT BUREAU VERITAS CONSUMER PRODUCTS SERVICES INDONESIA</v>
          </cell>
          <cell r="AH780" t="str">
            <v>REGULAR</v>
          </cell>
          <cell r="AI780">
            <v>45054</v>
          </cell>
          <cell r="AJ780"/>
          <cell r="AK780"/>
          <cell r="AL780">
            <v>45153</v>
          </cell>
          <cell r="AM780">
            <v>45153</v>
          </cell>
          <cell r="AN780"/>
          <cell r="AO780">
            <v>45154</v>
          </cell>
          <cell r="AP780" t="str">
            <v>ACTIVE</v>
          </cell>
        </row>
        <row r="781">
          <cell r="A781">
            <v>96231280311</v>
          </cell>
          <cell r="B781" t="str">
            <v>AN</v>
          </cell>
          <cell r="C781">
            <v>0</v>
          </cell>
          <cell r="D781">
            <v>0</v>
          </cell>
          <cell r="E781" t="str">
            <v>FLO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 t="str">
            <v>Q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  <cell r="AA781">
            <v>1</v>
          </cell>
          <cell r="AB781" t="str">
            <v>AN HANDLE</v>
          </cell>
          <cell r="AC781">
            <v>0</v>
          </cell>
          <cell r="AD781">
            <v>0</v>
          </cell>
          <cell r="AE781">
            <v>0</v>
          </cell>
          <cell r="AF781" t="str">
            <v>WOODWORTH WOODEN INDUSTRIES (VIETNAM) CO., LTD.</v>
          </cell>
          <cell r="AG781" t="str">
            <v>WOODWORTH WOODEN INDUSTRIES (VIETNAM) CO., LTD.</v>
          </cell>
          <cell r="AH781" t="str">
            <v>REGULAR</v>
          </cell>
          <cell r="AI781">
            <v>45054</v>
          </cell>
          <cell r="AJ781"/>
          <cell r="AK781"/>
          <cell r="AL781">
            <v>45059</v>
          </cell>
          <cell r="AM781">
            <v>45059</v>
          </cell>
          <cell r="AN781"/>
          <cell r="AO781">
            <v>45061</v>
          </cell>
          <cell r="AP781" t="str">
            <v>AN HANDLE</v>
          </cell>
        </row>
        <row r="782">
          <cell r="A782">
            <v>96231280315</v>
          </cell>
          <cell r="B782" t="str">
            <v>AN</v>
          </cell>
          <cell r="C782">
            <v>0</v>
          </cell>
          <cell r="D782">
            <v>0</v>
          </cell>
          <cell r="E782" t="str">
            <v>FLO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 t="str">
            <v>Q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  <cell r="AA782">
            <v>1</v>
          </cell>
          <cell r="AB782" t="str">
            <v>AN HANDLE</v>
          </cell>
          <cell r="AC782">
            <v>0</v>
          </cell>
          <cell r="AD782">
            <v>0</v>
          </cell>
          <cell r="AE782">
            <v>0</v>
          </cell>
          <cell r="AF782" t="str">
            <v>WOODWORTH WOODEN INDUSTRIES (VIETNAM) CO., LTD.</v>
          </cell>
          <cell r="AG782" t="str">
            <v>WOODWORTH WOODEN INDUSTRIES (VIETNAM) CO., LTD.</v>
          </cell>
          <cell r="AH782" t="str">
            <v>REGULAR</v>
          </cell>
          <cell r="AI782">
            <v>45054</v>
          </cell>
          <cell r="AJ782"/>
          <cell r="AK782"/>
          <cell r="AL782">
            <v>45059</v>
          </cell>
          <cell r="AM782">
            <v>45059</v>
          </cell>
          <cell r="AN782"/>
          <cell r="AO782">
            <v>45061</v>
          </cell>
          <cell r="AP782" t="str">
            <v>AN HANDLE</v>
          </cell>
        </row>
        <row r="783">
          <cell r="A783">
            <v>96231280321</v>
          </cell>
          <cell r="B783" t="str">
            <v>AN</v>
          </cell>
          <cell r="C783">
            <v>0</v>
          </cell>
          <cell r="D783">
            <v>0</v>
          </cell>
          <cell r="E783" t="str">
            <v>VAN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 HANDLE</v>
          </cell>
          <cell r="AC783">
            <v>0</v>
          </cell>
          <cell r="AD783">
            <v>0</v>
          </cell>
          <cell r="AE783">
            <v>0</v>
          </cell>
          <cell r="AF783" t="str">
            <v>SINOMAX (VIETNAM) POLYURETHANE TECHNOLOGY CO LTD</v>
          </cell>
          <cell r="AG783" t="str">
            <v>SINOMAX (VIETNAM) POLYURETHANE TECHNOLOGY CO LTD</v>
          </cell>
          <cell r="AH783" t="str">
            <v>REGULAR</v>
          </cell>
          <cell r="AI783">
            <v>45054</v>
          </cell>
          <cell r="AJ783"/>
          <cell r="AK783"/>
          <cell r="AL783">
            <v>45054</v>
          </cell>
          <cell r="AM783">
            <v>45054</v>
          </cell>
          <cell r="AN783"/>
          <cell r="AO783">
            <v>45054</v>
          </cell>
          <cell r="AP783" t="str">
            <v>AN HANDLE</v>
          </cell>
        </row>
        <row r="784">
          <cell r="A784">
            <v>96231280324</v>
          </cell>
          <cell r="B784" t="str">
            <v>USD</v>
          </cell>
          <cell r="C784">
            <v>0</v>
          </cell>
          <cell r="D784">
            <v>0</v>
          </cell>
          <cell r="E784" t="str">
            <v>VAN</v>
          </cell>
          <cell r="F784" t="str">
            <v>MAKING 0509</v>
          </cell>
          <cell r="G784">
            <v>0</v>
          </cell>
          <cell r="H784">
            <v>0</v>
          </cell>
          <cell r="I784"/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Z</v>
          </cell>
          <cell r="AC784">
            <v>0</v>
          </cell>
          <cell r="AD784">
            <v>0</v>
          </cell>
          <cell r="AE784">
            <v>0</v>
          </cell>
          <cell r="AF784" t="str">
            <v>MOMENTUM FURNITURE PRODUCTION TRADING COMPANY LIMITED</v>
          </cell>
          <cell r="AG784" t="str">
            <v>WILLIAM E. CONNOR &amp; ASSOCIATES LTD</v>
          </cell>
          <cell r="AH784" t="str">
            <v>REGULAR</v>
          </cell>
          <cell r="AI784">
            <v>45054</v>
          </cell>
          <cell r="AJ784"/>
          <cell r="AK784"/>
          <cell r="AL784">
            <v>45059</v>
          </cell>
          <cell r="AM784">
            <v>45059</v>
          </cell>
          <cell r="AN784"/>
          <cell r="AO784">
            <v>45061</v>
          </cell>
          <cell r="AP784" t="str">
            <v>ACTIVE</v>
          </cell>
        </row>
        <row r="785">
          <cell r="A785">
            <v>96231280336</v>
          </cell>
          <cell r="B785" t="str">
            <v>USD</v>
          </cell>
          <cell r="C785">
            <v>0</v>
          </cell>
          <cell r="D785">
            <v>0</v>
          </cell>
          <cell r="E785" t="str">
            <v>VAN</v>
          </cell>
          <cell r="F785">
            <v>0</v>
          </cell>
          <cell r="G785">
            <v>0</v>
          </cell>
          <cell r="H785">
            <v>0</v>
          </cell>
          <cell r="I785" t="str">
            <v>Z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  <cell r="AA785">
            <v>1</v>
          </cell>
          <cell r="AB785" t="str">
            <v>Z</v>
          </cell>
          <cell r="AC785">
            <v>0</v>
          </cell>
          <cell r="AD785">
            <v>0</v>
          </cell>
          <cell r="AE785">
            <v>0</v>
          </cell>
          <cell r="AF785" t="str">
            <v>MOMENTUM FURNITURE PRODUCTION TRADING COMPANY LIMITED</v>
          </cell>
          <cell r="AG785" t="str">
            <v>WILLIAM E. CONNOR &amp; ASSOCIATES LTD</v>
          </cell>
          <cell r="AH785" t="str">
            <v>REGULAR</v>
          </cell>
          <cell r="AI785">
            <v>45054</v>
          </cell>
          <cell r="AJ785"/>
          <cell r="AK785"/>
          <cell r="AL785">
            <v>45059</v>
          </cell>
          <cell r="AM785">
            <v>45059</v>
          </cell>
          <cell r="AN785"/>
          <cell r="AO785">
            <v>45061</v>
          </cell>
          <cell r="AP785" t="str">
            <v>ACTIVE</v>
          </cell>
        </row>
        <row r="786">
          <cell r="A786">
            <v>96231280341</v>
          </cell>
          <cell r="B786" t="str">
            <v>TY</v>
          </cell>
          <cell r="C786">
            <v>0</v>
          </cell>
          <cell r="D786">
            <v>0</v>
          </cell>
          <cell r="E786" t="str">
            <v>TAN/HAN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 t="str">
            <v>T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Q786" t="str">
            <v>F</v>
          </cell>
          <cell r="R786" t="str">
            <v>L</v>
          </cell>
          <cell r="S786">
            <v>0</v>
          </cell>
          <cell r="T786">
            <v>0</v>
          </cell>
          <cell r="U786">
            <v>0</v>
          </cell>
          <cell r="V786" t="str">
            <v>Q</v>
          </cell>
          <cell r="W786"/>
          <cell r="X786">
            <v>0</v>
          </cell>
          <cell r="Y786">
            <v>0</v>
          </cell>
          <cell r="Z786">
            <v>0</v>
          </cell>
          <cell r="AA786">
            <v>4</v>
          </cell>
          <cell r="AB786" t="str">
            <v>T, F, L, Q, V</v>
          </cell>
          <cell r="AC786">
            <v>0</v>
          </cell>
          <cell r="AD786" t="str">
            <v>YES</v>
          </cell>
          <cell r="AE786">
            <v>0</v>
          </cell>
          <cell r="AF786" t="str">
            <v>DREAM INTERNATIONAL LIMITED</v>
          </cell>
          <cell r="AG786" t="str">
            <v>THE DISNEY STORE, INC (CA)</v>
          </cell>
          <cell r="AH786" t="str">
            <v>REGULAR</v>
          </cell>
          <cell r="AI786">
            <v>45054</v>
          </cell>
          <cell r="AJ786"/>
          <cell r="AK786"/>
          <cell r="AL786">
            <v>45059</v>
          </cell>
          <cell r="AM786">
            <v>45059</v>
          </cell>
          <cell r="AN786">
            <v>45061</v>
          </cell>
          <cell r="AO786">
            <v>45059</v>
          </cell>
          <cell r="AP786" t="str">
            <v>ACTIVE</v>
          </cell>
        </row>
        <row r="787">
          <cell r="A787">
            <v>96231280353</v>
          </cell>
          <cell r="B787" t="str">
            <v>TY</v>
          </cell>
          <cell r="C787">
            <v>0</v>
          </cell>
          <cell r="D787">
            <v>0</v>
          </cell>
          <cell r="E787" t="str">
            <v>TAN/HAN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 t="str">
            <v>T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 t="str">
            <v>F</v>
          </cell>
          <cell r="R787" t="str">
            <v>L</v>
          </cell>
          <cell r="S787">
            <v>0</v>
          </cell>
          <cell r="T787">
            <v>0</v>
          </cell>
          <cell r="U787">
            <v>0</v>
          </cell>
          <cell r="V787" t="str">
            <v>Q</v>
          </cell>
          <cell r="W787" t="str">
            <v>V</v>
          </cell>
          <cell r="X787">
            <v>0</v>
          </cell>
          <cell r="Y787">
            <v>0</v>
          </cell>
          <cell r="Z787">
            <v>0</v>
          </cell>
          <cell r="AA787">
            <v>5</v>
          </cell>
          <cell r="AB787" t="str">
            <v>T, F, L, Q, V</v>
          </cell>
          <cell r="AC787">
            <v>0</v>
          </cell>
          <cell r="AD787" t="str">
            <v>YES</v>
          </cell>
          <cell r="AE787">
            <v>0</v>
          </cell>
          <cell r="AF787" t="str">
            <v>DREAM INTERNATIONAL LIMITED</v>
          </cell>
          <cell r="AG787" t="str">
            <v>THE DISNEY STORE, INC (CA)</v>
          </cell>
          <cell r="AH787" t="str">
            <v>REGULAR</v>
          </cell>
          <cell r="AI787">
            <v>45054</v>
          </cell>
          <cell r="AJ787"/>
          <cell r="AK787"/>
          <cell r="AL787">
            <v>45059</v>
          </cell>
          <cell r="AM787">
            <v>45059</v>
          </cell>
          <cell r="AN787">
            <v>45061</v>
          </cell>
          <cell r="AO787">
            <v>45059</v>
          </cell>
          <cell r="AP787" t="str">
            <v>ACTIVE</v>
          </cell>
        </row>
        <row r="788">
          <cell r="A788">
            <v>96231280362</v>
          </cell>
          <cell r="B788" t="str">
            <v>TY</v>
          </cell>
          <cell r="C788">
            <v>0</v>
          </cell>
          <cell r="D788">
            <v>0</v>
          </cell>
          <cell r="E788" t="str">
            <v>TAN/HAN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 t="str">
            <v>T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 t="str">
            <v>F</v>
          </cell>
          <cell r="R788" t="str">
            <v>L</v>
          </cell>
          <cell r="S788">
            <v>0</v>
          </cell>
          <cell r="T788">
            <v>0</v>
          </cell>
          <cell r="U788">
            <v>0</v>
          </cell>
          <cell r="V788" t="str">
            <v>Q</v>
          </cell>
          <cell r="W788" t="str">
            <v>V</v>
          </cell>
          <cell r="X788">
            <v>0</v>
          </cell>
          <cell r="Y788">
            <v>0</v>
          </cell>
          <cell r="Z788">
            <v>0</v>
          </cell>
          <cell r="AA788">
            <v>5</v>
          </cell>
          <cell r="AB788" t="str">
            <v>T, F, L, Q, V</v>
          </cell>
          <cell r="AC788">
            <v>0</v>
          </cell>
          <cell r="AD788" t="str">
            <v>YES</v>
          </cell>
          <cell r="AE788">
            <v>0</v>
          </cell>
          <cell r="AF788" t="str">
            <v>DREAM INTERNATIONAL LIMITED</v>
          </cell>
          <cell r="AG788" t="str">
            <v>THE DISNEY STORE, INC (CA)</v>
          </cell>
          <cell r="AH788" t="str">
            <v>REGULAR</v>
          </cell>
          <cell r="AI788">
            <v>45054</v>
          </cell>
          <cell r="AJ788"/>
          <cell r="AK788"/>
          <cell r="AL788">
            <v>45059</v>
          </cell>
          <cell r="AM788">
            <v>45059</v>
          </cell>
          <cell r="AN788">
            <v>45061</v>
          </cell>
          <cell r="AO788">
            <v>45059</v>
          </cell>
          <cell r="AP788" t="str">
            <v>ACTIVE</v>
          </cell>
        </row>
        <row r="789">
          <cell r="A789">
            <v>96231280364</v>
          </cell>
          <cell r="B789" t="str">
            <v>TY-RF SP 96231280362</v>
          </cell>
          <cell r="C789">
            <v>0</v>
          </cell>
          <cell r="D789">
            <v>0</v>
          </cell>
          <cell r="E789" t="str">
            <v>TAN/HAN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 t="str">
            <v>T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 t="str">
            <v>W</v>
          </cell>
          <cell r="Q789" t="str">
            <v>F</v>
          </cell>
          <cell r="R789" t="str">
            <v>L</v>
          </cell>
          <cell r="S789">
            <v>0</v>
          </cell>
          <cell r="T789">
            <v>0</v>
          </cell>
          <cell r="U789" t="str">
            <v>A</v>
          </cell>
          <cell r="V789" t="str">
            <v>Q</v>
          </cell>
          <cell r="W789" t="str">
            <v>V</v>
          </cell>
          <cell r="X789">
            <v>0</v>
          </cell>
          <cell r="Y789">
            <v>0</v>
          </cell>
          <cell r="Z789">
            <v>0</v>
          </cell>
          <cell r="AA789">
            <v>7</v>
          </cell>
          <cell r="AB789" t="str">
            <v>T, W, F, L, A, Q, V</v>
          </cell>
          <cell r="AC789">
            <v>0</v>
          </cell>
          <cell r="AD789" t="str">
            <v>YES</v>
          </cell>
          <cell r="AE789">
            <v>0</v>
          </cell>
          <cell r="AF789" t="str">
            <v>DREAM INTERNATIONAL LIMITED</v>
          </cell>
          <cell r="AG789" t="str">
            <v>THE DISNEY STORE, INC (CA)</v>
          </cell>
          <cell r="AH789" t="str">
            <v>REGULAR</v>
          </cell>
          <cell r="AI789">
            <v>45054</v>
          </cell>
          <cell r="AJ789"/>
          <cell r="AK789"/>
          <cell r="AL789">
            <v>45059</v>
          </cell>
          <cell r="AM789">
            <v>45059</v>
          </cell>
          <cell r="AN789">
            <v>45061</v>
          </cell>
          <cell r="AO789">
            <v>45059</v>
          </cell>
          <cell r="AP789" t="str">
            <v>ACTIVE</v>
          </cell>
        </row>
        <row r="790">
          <cell r="A790">
            <v>96231280367</v>
          </cell>
          <cell r="B790" t="str">
            <v>USD</v>
          </cell>
          <cell r="C790">
            <v>0</v>
          </cell>
          <cell r="D790">
            <v>0</v>
          </cell>
          <cell r="E790" t="str">
            <v>FLO</v>
          </cell>
          <cell r="F790">
            <v>0</v>
          </cell>
          <cell r="G790">
            <v>0</v>
          </cell>
          <cell r="H790">
            <v>0</v>
          </cell>
          <cell r="I790" t="str">
            <v>Z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0</v>
          </cell>
          <cell r="AA790">
            <v>1</v>
          </cell>
          <cell r="AB790" t="str">
            <v>Z</v>
          </cell>
          <cell r="AC790">
            <v>0</v>
          </cell>
          <cell r="AD790" t="str">
            <v>YES</v>
          </cell>
          <cell r="AE790">
            <v>0</v>
          </cell>
          <cell r="AF790" t="str">
            <v>LIVING STYLE (SINGAPORE) PTE LIMITED</v>
          </cell>
          <cell r="AG790" t="str">
            <v>LIVING STYLE (SINGAPORE) PTE LIMITED</v>
          </cell>
          <cell r="AH790" t="str">
            <v>REGULAR</v>
          </cell>
          <cell r="AI790">
            <v>45054</v>
          </cell>
          <cell r="AJ790"/>
          <cell r="AK790"/>
          <cell r="AL790">
            <v>45059</v>
          </cell>
          <cell r="AM790">
            <v>45059</v>
          </cell>
          <cell r="AN790"/>
          <cell r="AO790">
            <v>45061</v>
          </cell>
          <cell r="AP790" t="str">
            <v>ACTIVE</v>
          </cell>
        </row>
        <row r="791">
          <cell r="A791">
            <v>96231280369</v>
          </cell>
          <cell r="B791" t="str">
            <v>USD</v>
          </cell>
          <cell r="C791">
            <v>0</v>
          </cell>
          <cell r="D791">
            <v>0</v>
          </cell>
          <cell r="E791" t="str">
            <v>MIN/ELV</v>
          </cell>
          <cell r="F791">
            <v>0</v>
          </cell>
          <cell r="G791">
            <v>0</v>
          </cell>
          <cell r="H791">
            <v>0</v>
          </cell>
          <cell r="I791" t="str">
            <v>Z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Q791">
            <v>0</v>
          </cell>
          <cell r="R791">
            <v>0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0</v>
          </cell>
          <cell r="AA791">
            <v>1</v>
          </cell>
          <cell r="AB791" t="str">
            <v>Z</v>
          </cell>
          <cell r="AC791">
            <v>0</v>
          </cell>
          <cell r="AD791" t="str">
            <v>YES</v>
          </cell>
          <cell r="AE791">
            <v>0</v>
          </cell>
          <cell r="AF791" t="str">
            <v>LIVING STYLE (SINGAPORE) PTE LIMITED</v>
          </cell>
          <cell r="AG791" t="str">
            <v>COSTCO PRE-PRODUCTION</v>
          </cell>
          <cell r="AH791" t="str">
            <v>REGULAR</v>
          </cell>
          <cell r="AI791">
            <v>45054</v>
          </cell>
          <cell r="AJ791"/>
          <cell r="AK791"/>
          <cell r="AL791">
            <v>45059</v>
          </cell>
          <cell r="AM791">
            <v>45059</v>
          </cell>
          <cell r="AN791"/>
          <cell r="AO791">
            <v>45061</v>
          </cell>
          <cell r="AP791" t="str">
            <v>ACTIVE</v>
          </cell>
        </row>
        <row r="792">
          <cell r="A792">
            <v>96231280385</v>
          </cell>
          <cell r="B792" t="str">
            <v>CD</v>
          </cell>
          <cell r="C792">
            <v>0</v>
          </cell>
          <cell r="D792">
            <v>0</v>
          </cell>
          <cell r="E792" t="str">
            <v>SHE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0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>
            <v>0</v>
          </cell>
          <cell r="AC792">
            <v>0</v>
          </cell>
          <cell r="AD792">
            <v>0</v>
          </cell>
          <cell r="AE792" t="str">
            <v>5/9: wait advise test line, market</v>
          </cell>
          <cell r="AF792" t="str">
            <v>ARTEX DONG THAP JOINT STOCK COMPANY</v>
          </cell>
          <cell r="AG792" t="str">
            <v>ARTEX DONG THAP JOINT STOCK COMPANY</v>
          </cell>
          <cell r="AH792" t="str">
            <v>REGULAR</v>
          </cell>
          <cell r="AI792">
            <v>45054</v>
          </cell>
          <cell r="AJ792"/>
          <cell r="AK792"/>
          <cell r="AL792">
            <v>45054</v>
          </cell>
          <cell r="AM792">
            <v>45054</v>
          </cell>
          <cell r="AN792"/>
          <cell r="AO792">
            <v>45054</v>
          </cell>
          <cell r="AP792" t="str">
            <v>ON HOLD</v>
          </cell>
        </row>
        <row r="793">
          <cell r="A793">
            <v>96231280386</v>
          </cell>
          <cell r="B793" t="str">
            <v>US2</v>
          </cell>
          <cell r="C793">
            <v>0</v>
          </cell>
          <cell r="D793">
            <v>0</v>
          </cell>
          <cell r="E793" t="str">
            <v>VAN</v>
          </cell>
          <cell r="F793">
            <v>0</v>
          </cell>
          <cell r="G793" t="str">
            <v>R</v>
          </cell>
          <cell r="H793">
            <v>0</v>
          </cell>
          <cell r="I793">
            <v>0</v>
          </cell>
          <cell r="J793" t="str">
            <v>H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0</v>
          </cell>
          <cell r="AA793">
            <v>2</v>
          </cell>
          <cell r="AB793" t="str">
            <v>H, R</v>
          </cell>
          <cell r="AC793">
            <v>0</v>
          </cell>
          <cell r="AD793">
            <v>0</v>
          </cell>
          <cell r="AE793">
            <v>0</v>
          </cell>
          <cell r="AF793" t="str">
            <v>SHERWIN-WILLIAMS (VIETNAM) LTD</v>
          </cell>
          <cell r="AG793" t="str">
            <v>SHERWIN-WILLIAMS (VIETNAM) LTD</v>
          </cell>
          <cell r="AH793" t="str">
            <v>URGENT</v>
          </cell>
          <cell r="AI793">
            <v>45055</v>
          </cell>
          <cell r="AJ793"/>
          <cell r="AK793"/>
          <cell r="AL793">
            <v>45056</v>
          </cell>
          <cell r="AM793">
            <v>45056</v>
          </cell>
          <cell r="AN793"/>
          <cell r="AO793">
            <v>45057</v>
          </cell>
          <cell r="AP793" t="str">
            <v>ACTIVE</v>
          </cell>
        </row>
        <row r="794">
          <cell r="A794">
            <v>96231280391</v>
          </cell>
          <cell r="B794" t="str">
            <v>AN</v>
          </cell>
          <cell r="C794">
            <v>0</v>
          </cell>
          <cell r="D794">
            <v>0</v>
          </cell>
          <cell r="E794" t="str">
            <v>FLO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 HANDLE</v>
          </cell>
          <cell r="AC794">
            <v>0</v>
          </cell>
          <cell r="AD794">
            <v>0</v>
          </cell>
          <cell r="AE794">
            <v>0</v>
          </cell>
          <cell r="AF794" t="str">
            <v>KLAUSSNER FURNITURE INDUSTRIES INC</v>
          </cell>
          <cell r="AG794" t="str">
            <v>KLAUSSNER FURNITURE INDUSTRIES INC</v>
          </cell>
          <cell r="AH794" t="str">
            <v>REGULAR</v>
          </cell>
          <cell r="AI794">
            <v>45054</v>
          </cell>
          <cell r="AJ794"/>
          <cell r="AK794"/>
          <cell r="AL794">
            <v>45054</v>
          </cell>
          <cell r="AM794">
            <v>45054</v>
          </cell>
          <cell r="AN794"/>
          <cell r="AO794">
            <v>45054</v>
          </cell>
          <cell r="AP794" t="str">
            <v>AN HANDLE</v>
          </cell>
        </row>
        <row r="795">
          <cell r="A795">
            <v>96231280392</v>
          </cell>
          <cell r="B795" t="str">
            <v>USD</v>
          </cell>
          <cell r="C795" t="str">
            <v>done</v>
          </cell>
          <cell r="D795" t="str">
            <v>VAN</v>
          </cell>
          <cell r="E795" t="str">
            <v>VAN</v>
          </cell>
          <cell r="F795" t="str">
            <v>done 0509MAKING 0509</v>
          </cell>
          <cell r="G795">
            <v>0</v>
          </cell>
          <cell r="H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Z</v>
          </cell>
          <cell r="AC795">
            <v>0</v>
          </cell>
          <cell r="AD795">
            <v>0</v>
          </cell>
          <cell r="AE795">
            <v>0</v>
          </cell>
          <cell r="AF795" t="str">
            <v>BUREAU VERITAS CPS SDN BHD (MALAYSIA)</v>
          </cell>
          <cell r="AG795" t="str">
            <v>BUREAU VERITAS CPS SDN BHD (MALAYSIA)</v>
          </cell>
          <cell r="AH795" t="str">
            <v>REGULAR</v>
          </cell>
          <cell r="AI795">
            <v>45055</v>
          </cell>
          <cell r="AJ795"/>
          <cell r="AK795"/>
          <cell r="AL795">
            <v>45059</v>
          </cell>
          <cell r="AM795">
            <v>45059</v>
          </cell>
          <cell r="AN795"/>
          <cell r="AO795">
            <v>45061</v>
          </cell>
          <cell r="AP795" t="str">
            <v>ACTIVE</v>
          </cell>
        </row>
        <row r="796">
          <cell r="A796">
            <v>96231280393</v>
          </cell>
          <cell r="B796" t="str">
            <v>TY-53231230070</v>
          </cell>
          <cell r="C796">
            <v>0</v>
          </cell>
          <cell r="D796">
            <v>0</v>
          </cell>
          <cell r="E796" t="str">
            <v>VAN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 t="str">
            <v>BUREAU VERITAS SINGAPORE (PTE) LTD - CPS</v>
          </cell>
          <cell r="AG796" t="str">
            <v>BUREAU VERITAS SINGAPORE (PTE) LTD - CPS</v>
          </cell>
          <cell r="AH796" t="str">
            <v>REGULAR</v>
          </cell>
          <cell r="AI796">
            <v>45055</v>
          </cell>
          <cell r="AJ796"/>
          <cell r="AK796"/>
          <cell r="AL796">
            <v>45054</v>
          </cell>
          <cell r="AM796">
            <v>45054</v>
          </cell>
          <cell r="AN796"/>
          <cell r="AO796">
            <v>45054</v>
          </cell>
          <cell r="AP796" t="str">
            <v>NAY</v>
          </cell>
        </row>
        <row r="797">
          <cell r="A797">
            <v>96231280394</v>
          </cell>
          <cell r="B797" t="str">
            <v>TY-53231230064</v>
          </cell>
          <cell r="C797">
            <v>0</v>
          </cell>
          <cell r="D797">
            <v>0</v>
          </cell>
          <cell r="E797" t="str">
            <v>VAN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 t="str">
            <v>BUREAU VERITAS SINGAPORE (PTE) LTD - CPS</v>
          </cell>
          <cell r="AG797" t="str">
            <v>BUREAU VERITAS SINGAPORE (PTE) LTD - CPS</v>
          </cell>
          <cell r="AH797" t="str">
            <v>REGULAR</v>
          </cell>
          <cell r="AI797">
            <v>45055</v>
          </cell>
          <cell r="AJ797"/>
          <cell r="AK797"/>
          <cell r="AL797">
            <v>45054</v>
          </cell>
          <cell r="AM797">
            <v>45054</v>
          </cell>
          <cell r="AN797"/>
          <cell r="AO797">
            <v>45054</v>
          </cell>
          <cell r="AP797" t="str">
            <v>NAY</v>
          </cell>
        </row>
        <row r="798">
          <cell r="A798">
            <v>96231280395</v>
          </cell>
          <cell r="B798" t="str">
            <v>US1-AS</v>
          </cell>
          <cell r="C798">
            <v>0</v>
          </cell>
          <cell r="D798">
            <v>0</v>
          </cell>
          <cell r="E798" t="str">
            <v>MIN/ELV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 t="str">
            <v>YES</v>
          </cell>
          <cell r="AE798">
            <v>0</v>
          </cell>
          <cell r="AF798" t="str">
            <v>WHALEN LIMITED</v>
          </cell>
          <cell r="AG798" t="str">
            <v>WAL-MART.COM USA, LLC</v>
          </cell>
          <cell r="AH798" t="str">
            <v>REGULAR</v>
          </cell>
          <cell r="AI798">
            <v>45055</v>
          </cell>
          <cell r="AJ798"/>
          <cell r="AK798"/>
          <cell r="AL798">
            <v>45054</v>
          </cell>
          <cell r="AM798">
            <v>45054</v>
          </cell>
          <cell r="AN798"/>
          <cell r="AO798">
            <v>45054</v>
          </cell>
          <cell r="AP798" t="str">
            <v>NAY</v>
          </cell>
        </row>
        <row r="799">
          <cell r="A799">
            <v>96231280396</v>
          </cell>
          <cell r="B799" t="str">
            <v>TY-53231230066</v>
          </cell>
          <cell r="C799">
            <v>0</v>
          </cell>
          <cell r="D799">
            <v>0</v>
          </cell>
          <cell r="E799" t="str">
            <v>VAN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 t="str">
            <v>BUREAU VERITAS SINGAPORE (PTE) LTD - CPS</v>
          </cell>
          <cell r="AG799" t="str">
            <v>BUREAU VERITAS SINGAPORE (PTE) LTD - CPS</v>
          </cell>
          <cell r="AH799" t="str">
            <v>REGULAR</v>
          </cell>
          <cell r="AI799">
            <v>45055</v>
          </cell>
          <cell r="AJ799"/>
          <cell r="AK799"/>
          <cell r="AL799">
            <v>45054</v>
          </cell>
          <cell r="AM799">
            <v>45054</v>
          </cell>
          <cell r="AN799"/>
          <cell r="AO799">
            <v>45054</v>
          </cell>
          <cell r="AP799" t="str">
            <v>NAY</v>
          </cell>
        </row>
        <row r="800">
          <cell r="A800">
            <v>96231280397</v>
          </cell>
          <cell r="B800" t="str">
            <v>USD</v>
          </cell>
          <cell r="C800">
            <v>0</v>
          </cell>
          <cell r="D800">
            <v>0</v>
          </cell>
          <cell r="E800" t="str">
            <v>MIN/ELV</v>
          </cell>
          <cell r="F800">
            <v>0</v>
          </cell>
          <cell r="G800">
            <v>0</v>
          </cell>
          <cell r="H800">
            <v>0</v>
          </cell>
          <cell r="I800" t="str">
            <v>Z</v>
          </cell>
          <cell r="J800" t="str">
            <v>H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2</v>
          </cell>
          <cell r="AB800" t="str">
            <v>H, Z</v>
          </cell>
          <cell r="AC800">
            <v>0</v>
          </cell>
          <cell r="AD800" t="str">
            <v>YES</v>
          </cell>
          <cell r="AE800" t="str">
            <v>0509: ask BMC logo</v>
          </cell>
          <cell r="AF800" t="str">
            <v>WHALEN LIMITED</v>
          </cell>
          <cell r="AG800" t="str">
            <v>WAL-MART.COM USA, LLC</v>
          </cell>
          <cell r="AH800" t="str">
            <v>REGULAR</v>
          </cell>
          <cell r="AI800">
            <v>45055</v>
          </cell>
          <cell r="AJ800"/>
          <cell r="AK800"/>
          <cell r="AL800">
            <v>45058</v>
          </cell>
          <cell r="AM800">
            <v>45058</v>
          </cell>
          <cell r="AN800">
            <v>45061</v>
          </cell>
          <cell r="AO800">
            <v>45059</v>
          </cell>
          <cell r="AP800" t="str">
            <v>ACTIVE</v>
          </cell>
        </row>
        <row r="801">
          <cell r="A801">
            <v>96231280398</v>
          </cell>
          <cell r="B801" t="str">
            <v>TY-53231230068</v>
          </cell>
          <cell r="C801">
            <v>0</v>
          </cell>
          <cell r="D801">
            <v>0</v>
          </cell>
          <cell r="E801" t="str">
            <v>VAN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0</v>
          </cell>
          <cell r="AE801">
            <v>0</v>
          </cell>
          <cell r="AF801" t="str">
            <v>BUREAU VERITAS SINGAPORE (PTE) LTD - CPS</v>
          </cell>
          <cell r="AG801" t="str">
            <v>BUREAU VERITAS SINGAPORE (PTE) LTD - CPS</v>
          </cell>
          <cell r="AH801" t="str">
            <v>REGULAR</v>
          </cell>
          <cell r="AI801">
            <v>45055</v>
          </cell>
          <cell r="AJ801"/>
          <cell r="AK801"/>
          <cell r="AL801">
            <v>45054</v>
          </cell>
          <cell r="AM801">
            <v>45054</v>
          </cell>
          <cell r="AN801"/>
          <cell r="AO801">
            <v>45054</v>
          </cell>
          <cell r="AP801" t="str">
            <v>NAY</v>
          </cell>
        </row>
        <row r="802">
          <cell r="A802">
            <v>96231280433</v>
          </cell>
          <cell r="B802" t="str">
            <v>CD-NOB</v>
          </cell>
          <cell r="C802">
            <v>0</v>
          </cell>
          <cell r="D802">
            <v>0</v>
          </cell>
          <cell r="E802" t="str">
            <v>MIN/ELV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>
            <v>0</v>
          </cell>
          <cell r="AC802">
            <v>0</v>
          </cell>
          <cell r="AD802" t="str">
            <v>NO</v>
          </cell>
          <cell r="AE802" t="str">
            <v>not new account "IG DESIGN GROUP AMERICAS INC" and IMPACT INNOVATIONS INC</v>
          </cell>
          <cell r="AF802" t="str">
            <v>N/A</v>
          </cell>
          <cell r="AG802" t="str">
            <v>WALMART USA</v>
          </cell>
          <cell r="AH802" t="str">
            <v>REGULAR</v>
          </cell>
          <cell r="AI802">
            <v>45055</v>
          </cell>
          <cell r="AJ802"/>
          <cell r="AK802"/>
          <cell r="AL802">
            <v>45054</v>
          </cell>
          <cell r="AM802">
            <v>45054</v>
          </cell>
          <cell r="AN802"/>
          <cell r="AO802">
            <v>45054</v>
          </cell>
          <cell r="AP802" t="str">
            <v>NAY</v>
          </cell>
        </row>
        <row r="803">
          <cell r="A803">
            <v>96231280439</v>
          </cell>
          <cell r="B803" t="str">
            <v>CD-NOB</v>
          </cell>
          <cell r="C803">
            <v>0</v>
          </cell>
          <cell r="D803">
            <v>0</v>
          </cell>
          <cell r="E803" t="str">
            <v>MIN/ELV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 t="str">
            <v>NO</v>
          </cell>
          <cell r="AE803" t="str">
            <v>not new account "IG DESIGN GROUP AMERICAS INC" and IMPACT INNOVATIONS INC</v>
          </cell>
          <cell r="AF803" t="str">
            <v>N/A</v>
          </cell>
          <cell r="AG803" t="str">
            <v>WALMART USA</v>
          </cell>
          <cell r="AH803" t="str">
            <v>REGULAR</v>
          </cell>
          <cell r="AI803">
            <v>45055</v>
          </cell>
          <cell r="AJ803"/>
          <cell r="AK803"/>
          <cell r="AL803">
            <v>45054</v>
          </cell>
          <cell r="AM803">
            <v>45054</v>
          </cell>
          <cell r="AN803"/>
          <cell r="AO803">
            <v>45054</v>
          </cell>
          <cell r="AP803" t="str">
            <v>NAY</v>
          </cell>
        </row>
        <row r="804">
          <cell r="A804">
            <v>96231290001</v>
          </cell>
          <cell r="B804" t="str">
            <v>US1</v>
          </cell>
          <cell r="C804">
            <v>0</v>
          </cell>
          <cell r="D804">
            <v>0</v>
          </cell>
          <cell r="E804" t="str">
            <v>MIN/ELV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 t="str">
            <v>MING JUN WOOD INDUSTRY CO LIMITED</v>
          </cell>
          <cell r="AG804" t="str">
            <v>WAL-MART.COM USA, LLC</v>
          </cell>
          <cell r="AH804" t="str">
            <v>URGENT</v>
          </cell>
          <cell r="AI804">
            <v>45055</v>
          </cell>
          <cell r="AJ804"/>
          <cell r="AK804"/>
          <cell r="AL804">
            <v>45055</v>
          </cell>
          <cell r="AM804">
            <v>45055</v>
          </cell>
          <cell r="AN804"/>
          <cell r="AO804">
            <v>45055</v>
          </cell>
          <cell r="AP804" t="str">
            <v>NAY</v>
          </cell>
        </row>
        <row r="805">
          <cell r="A805">
            <v>96231290002</v>
          </cell>
          <cell r="B805" t="str">
            <v>US1</v>
          </cell>
          <cell r="C805">
            <v>0</v>
          </cell>
          <cell r="D805">
            <v>0</v>
          </cell>
          <cell r="E805" t="str">
            <v>MIN/ELV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 t="str">
            <v>MING JUN WOOD INDUSTRY CO LIMITED</v>
          </cell>
          <cell r="AG805" t="str">
            <v>WAL-MART.COM USA, LLC</v>
          </cell>
          <cell r="AH805" t="str">
            <v>URGENT</v>
          </cell>
          <cell r="AI805">
            <v>45055</v>
          </cell>
          <cell r="AJ805"/>
          <cell r="AK805"/>
          <cell r="AL805">
            <v>45055</v>
          </cell>
          <cell r="AM805">
            <v>45055</v>
          </cell>
          <cell r="AN805"/>
          <cell r="AO805">
            <v>45055</v>
          </cell>
          <cell r="AP805" t="str">
            <v>NAY</v>
          </cell>
        </row>
        <row r="806">
          <cell r="A806">
            <v>96231290259</v>
          </cell>
          <cell r="F806" t="str">
            <v>MAKING 0509</v>
          </cell>
          <cell r="AB806" t="str">
            <v>Z</v>
          </cell>
          <cell r="AP806"/>
        </row>
        <row r="807">
          <cell r="AP807"/>
        </row>
        <row r="808">
          <cell r="AP808"/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 WIP"/>
      <sheetName val="DCD SCAN"/>
      <sheetName val="Sheet1"/>
      <sheetName val="AN CONFIRM"/>
      <sheetName val="AN received"/>
      <sheetName val="PIVOT"/>
      <sheetName val="Note"/>
    </sheetNames>
    <sheetDataSet>
      <sheetData sheetId="0">
        <row r="4">
          <cell r="A4">
            <v>96221090461</v>
          </cell>
          <cell r="B4">
            <v>44687</v>
          </cell>
          <cell r="C4" t="str">
            <v>REGULAR</v>
          </cell>
          <cell r="D4" t="str">
            <v>HOANG</v>
          </cell>
          <cell r="E4">
            <v>1</v>
          </cell>
          <cell r="F4" t="str">
            <v>Q,V</v>
          </cell>
          <cell r="G4">
            <v>0</v>
          </cell>
          <cell r="J4">
            <v>0</v>
          </cell>
        </row>
        <row r="5">
          <cell r="A5">
            <v>96221100299</v>
          </cell>
          <cell r="B5">
            <v>44705</v>
          </cell>
          <cell r="C5" t="str">
            <v>Regular</v>
          </cell>
          <cell r="D5" t="str">
            <v>HOANG</v>
          </cell>
          <cell r="F5" t="str">
            <v>Q,V</v>
          </cell>
          <cell r="G5">
            <v>0</v>
          </cell>
          <cell r="J5">
            <v>0</v>
          </cell>
        </row>
        <row r="6">
          <cell r="A6">
            <v>96221090444</v>
          </cell>
          <cell r="B6">
            <v>44705</v>
          </cell>
          <cell r="C6" t="str">
            <v>Regular</v>
          </cell>
          <cell r="D6" t="str">
            <v>HOANG</v>
          </cell>
          <cell r="F6" t="str">
            <v>Q,V</v>
          </cell>
          <cell r="G6">
            <v>0</v>
          </cell>
          <cell r="J6">
            <v>0</v>
          </cell>
        </row>
        <row r="7">
          <cell r="A7">
            <v>96221480379</v>
          </cell>
          <cell r="B7">
            <v>44711</v>
          </cell>
          <cell r="C7" t="str">
            <v>REGULAR</v>
          </cell>
          <cell r="D7" t="str">
            <v>HOANG</v>
          </cell>
          <cell r="F7" t="str">
            <v>Q,V</v>
          </cell>
          <cell r="G7">
            <v>0</v>
          </cell>
          <cell r="J7">
            <v>0</v>
          </cell>
        </row>
        <row r="8">
          <cell r="A8">
            <v>96221480406</v>
          </cell>
          <cell r="B8">
            <v>44712</v>
          </cell>
          <cell r="C8" t="str">
            <v>REGULAR</v>
          </cell>
          <cell r="D8" t="str">
            <v>HOANG</v>
          </cell>
          <cell r="F8" t="str">
            <v>Q,V</v>
          </cell>
          <cell r="G8">
            <v>0</v>
          </cell>
          <cell r="J8">
            <v>0</v>
          </cell>
        </row>
        <row r="9">
          <cell r="A9">
            <v>96221510334</v>
          </cell>
          <cell r="B9">
            <v>44721</v>
          </cell>
          <cell r="C9" t="str">
            <v>Regular</v>
          </cell>
          <cell r="D9" t="str">
            <v>HOANG 541</v>
          </cell>
          <cell r="F9" t="str">
            <v>Q</v>
          </cell>
          <cell r="G9">
            <v>0</v>
          </cell>
          <cell r="I9">
            <v>0</v>
          </cell>
          <cell r="J9">
            <v>0</v>
          </cell>
        </row>
        <row r="10">
          <cell r="A10">
            <v>96221510336</v>
          </cell>
          <cell r="B10">
            <v>44720</v>
          </cell>
          <cell r="C10" t="str">
            <v>Regular</v>
          </cell>
          <cell r="D10" t="str">
            <v>HOANG 541</v>
          </cell>
          <cell r="E10" t="str">
            <v>đã chuyển extra sample lên bàn A Thanh</v>
          </cell>
          <cell r="F10" t="str">
            <v>Q,V</v>
          </cell>
          <cell r="G10">
            <v>0</v>
          </cell>
          <cell r="J10">
            <v>0</v>
          </cell>
        </row>
        <row r="11">
          <cell r="A11">
            <v>96221510338</v>
          </cell>
          <cell r="B11">
            <v>44720</v>
          </cell>
          <cell r="C11" t="str">
            <v>Regular</v>
          </cell>
          <cell r="D11" t="str">
            <v>HOANG 541</v>
          </cell>
          <cell r="E11" t="str">
            <v>đã chuyển extra sample lên bàn A Thanh</v>
          </cell>
          <cell r="F11" t="str">
            <v>Q</v>
          </cell>
          <cell r="G11">
            <v>0</v>
          </cell>
          <cell r="I11">
            <v>0</v>
          </cell>
          <cell r="J11">
            <v>0</v>
          </cell>
        </row>
        <row r="12">
          <cell r="A12">
            <v>96222000406</v>
          </cell>
          <cell r="B12">
            <v>44817</v>
          </cell>
          <cell r="C12" t="str">
            <v>Regular</v>
          </cell>
          <cell r="D12" t="str">
            <v>HOANG 541</v>
          </cell>
          <cell r="F12" t="str">
            <v>Q,V</v>
          </cell>
          <cell r="G12">
            <v>0</v>
          </cell>
          <cell r="J12">
            <v>0</v>
          </cell>
        </row>
        <row r="13">
          <cell r="A13">
            <v>96223630388</v>
          </cell>
          <cell r="B13">
            <v>44932</v>
          </cell>
          <cell r="C13" t="str">
            <v>Regular</v>
          </cell>
          <cell r="D13" t="str">
            <v>DN(EE)</v>
          </cell>
          <cell r="F13" t="str">
            <v>V</v>
          </cell>
          <cell r="G13">
            <v>0</v>
          </cell>
          <cell r="H13">
            <v>0</v>
          </cell>
          <cell r="J13">
            <v>0</v>
          </cell>
        </row>
        <row r="14">
          <cell r="A14">
            <v>96223620146</v>
          </cell>
          <cell r="B14">
            <v>44938</v>
          </cell>
          <cell r="C14" t="str">
            <v>Regular</v>
          </cell>
          <cell r="D14" t="str">
            <v>LUK 138</v>
          </cell>
          <cell r="F14" t="str">
            <v>Q V</v>
          </cell>
          <cell r="G14">
            <v>0</v>
          </cell>
          <cell r="J14">
            <v>0</v>
          </cell>
        </row>
        <row r="15">
          <cell r="A15">
            <v>96230480546</v>
          </cell>
          <cell r="B15">
            <v>44985</v>
          </cell>
          <cell r="C15" t="str">
            <v>Regular</v>
          </cell>
          <cell r="D15" t="str">
            <v>HAO 718</v>
          </cell>
          <cell r="F15" t="str">
            <v>Q V</v>
          </cell>
          <cell r="G15">
            <v>0</v>
          </cell>
          <cell r="J15">
            <v>0</v>
          </cell>
        </row>
        <row r="16">
          <cell r="A16">
            <v>96230580508</v>
          </cell>
          <cell r="B16">
            <v>44987</v>
          </cell>
          <cell r="C16" t="str">
            <v>Regular</v>
          </cell>
          <cell r="D16" t="str">
            <v>NGOC 697</v>
          </cell>
          <cell r="F16" t="str">
            <v>A Q V</v>
          </cell>
          <cell r="J16">
            <v>0</v>
          </cell>
        </row>
        <row r="17">
          <cell r="A17">
            <v>96230550526</v>
          </cell>
          <cell r="B17">
            <v>44987</v>
          </cell>
          <cell r="C17" t="str">
            <v>Regular</v>
          </cell>
          <cell r="D17" t="str">
            <v>Vu 138</v>
          </cell>
          <cell r="F17" t="str">
            <v>Q</v>
          </cell>
          <cell r="G17">
            <v>0</v>
          </cell>
          <cell r="I17">
            <v>0</v>
          </cell>
          <cell r="J17">
            <v>0</v>
          </cell>
        </row>
        <row r="18">
          <cell r="A18">
            <v>96230550527</v>
          </cell>
          <cell r="B18">
            <v>44987</v>
          </cell>
          <cell r="C18" t="str">
            <v>Regular</v>
          </cell>
          <cell r="D18" t="str">
            <v>Vu 138</v>
          </cell>
          <cell r="F18" t="str">
            <v>Q</v>
          </cell>
          <cell r="G18">
            <v>0</v>
          </cell>
          <cell r="I18">
            <v>0</v>
          </cell>
          <cell r="J18">
            <v>0</v>
          </cell>
        </row>
        <row r="19">
          <cell r="A19">
            <v>96230610615</v>
          </cell>
          <cell r="B19">
            <v>44989</v>
          </cell>
          <cell r="C19" t="str">
            <v>Regular</v>
          </cell>
          <cell r="D19" t="str">
            <v>HUYEN 709</v>
          </cell>
          <cell r="F19" t="str">
            <v>Q</v>
          </cell>
          <cell r="G19">
            <v>0</v>
          </cell>
          <cell r="I19">
            <v>0</v>
          </cell>
          <cell r="J19">
            <v>0</v>
          </cell>
        </row>
        <row r="20">
          <cell r="A20">
            <v>96230590118</v>
          </cell>
          <cell r="B20">
            <v>44989</v>
          </cell>
          <cell r="C20" t="str">
            <v>Regular</v>
          </cell>
          <cell r="D20" t="str">
            <v>HUYEN 709</v>
          </cell>
          <cell r="F20" t="str">
            <v>Q V</v>
          </cell>
          <cell r="G20">
            <v>0</v>
          </cell>
          <cell r="J20">
            <v>0</v>
          </cell>
        </row>
        <row r="21">
          <cell r="A21" t="str">
            <v>96230550526(2)</v>
          </cell>
          <cell r="B21">
            <v>44992</v>
          </cell>
          <cell r="C21" t="str">
            <v>Regular</v>
          </cell>
          <cell r="D21" t="str">
            <v>Vu 138</v>
          </cell>
          <cell r="F21" t="str">
            <v>Q</v>
          </cell>
          <cell r="G21">
            <v>0</v>
          </cell>
          <cell r="I21">
            <v>0</v>
          </cell>
          <cell r="J21">
            <v>0</v>
          </cell>
        </row>
        <row r="22">
          <cell r="A22" t="str">
            <v>96230550527(2)</v>
          </cell>
          <cell r="B22">
            <v>44992</v>
          </cell>
          <cell r="C22" t="str">
            <v>Regular</v>
          </cell>
          <cell r="D22" t="str">
            <v>Vu 138</v>
          </cell>
          <cell r="F22" t="str">
            <v>Q</v>
          </cell>
          <cell r="G22">
            <v>0</v>
          </cell>
          <cell r="I22">
            <v>0</v>
          </cell>
          <cell r="J22">
            <v>0</v>
          </cell>
        </row>
        <row r="23">
          <cell r="A23">
            <v>96230630407</v>
          </cell>
          <cell r="B23">
            <v>44992</v>
          </cell>
          <cell r="C23" t="str">
            <v>Regular</v>
          </cell>
          <cell r="D23" t="str">
            <v>HUYEN 709</v>
          </cell>
          <cell r="F23" t="str">
            <v>Q</v>
          </cell>
          <cell r="G23">
            <v>0</v>
          </cell>
          <cell r="I23">
            <v>0</v>
          </cell>
          <cell r="J23">
            <v>0</v>
          </cell>
        </row>
        <row r="24">
          <cell r="A24">
            <v>96230650329</v>
          </cell>
          <cell r="B24">
            <v>44993</v>
          </cell>
          <cell r="C24" t="str">
            <v>Regular</v>
          </cell>
          <cell r="D24" t="str">
            <v>HUYEN 709</v>
          </cell>
          <cell r="F24" t="str">
            <v>Q</v>
          </cell>
          <cell r="G24">
            <v>0</v>
          </cell>
          <cell r="I24">
            <v>0</v>
          </cell>
          <cell r="J24">
            <v>0</v>
          </cell>
        </row>
        <row r="25">
          <cell r="A25">
            <v>96230660289</v>
          </cell>
          <cell r="B25">
            <v>44994</v>
          </cell>
          <cell r="C25" t="str">
            <v>Regular</v>
          </cell>
          <cell r="D25" t="str">
            <v>JH 698</v>
          </cell>
          <cell r="F25" t="str">
            <v>A,Q,V</v>
          </cell>
          <cell r="J25">
            <v>0</v>
          </cell>
        </row>
        <row r="26">
          <cell r="A26">
            <v>96230650600</v>
          </cell>
          <cell r="B26">
            <v>44996</v>
          </cell>
          <cell r="C26" t="str">
            <v>Regular</v>
          </cell>
          <cell r="D26" t="str">
            <v>HUYEN 709</v>
          </cell>
          <cell r="F26" t="str">
            <v>Q V</v>
          </cell>
          <cell r="G26">
            <v>0</v>
          </cell>
          <cell r="J26">
            <v>0</v>
          </cell>
        </row>
        <row r="27">
          <cell r="A27">
            <v>96230650571</v>
          </cell>
          <cell r="B27">
            <v>44998</v>
          </cell>
          <cell r="C27" t="str">
            <v>Regular</v>
          </cell>
          <cell r="D27" t="str">
            <v>HAO 718</v>
          </cell>
          <cell r="F27" t="str">
            <v>Q V</v>
          </cell>
          <cell r="G27">
            <v>0</v>
          </cell>
          <cell r="J27">
            <v>0</v>
          </cell>
        </row>
        <row r="28">
          <cell r="A28">
            <v>96230700420</v>
          </cell>
          <cell r="B28">
            <v>44998</v>
          </cell>
          <cell r="C28" t="str">
            <v>Regular</v>
          </cell>
          <cell r="D28" t="str">
            <v>HUYEN 709</v>
          </cell>
          <cell r="F28" t="str">
            <v>Q V</v>
          </cell>
          <cell r="G28">
            <v>0</v>
          </cell>
          <cell r="J28">
            <v>0</v>
          </cell>
        </row>
        <row r="29">
          <cell r="A29">
            <v>96230720037</v>
          </cell>
          <cell r="B29">
            <v>44999</v>
          </cell>
          <cell r="C29" t="str">
            <v>Regular</v>
          </cell>
          <cell r="D29" t="str">
            <v>MARIS (731)</v>
          </cell>
          <cell r="F29" t="str">
            <v>A,Q,V</v>
          </cell>
          <cell r="J29">
            <v>0</v>
          </cell>
        </row>
        <row r="30">
          <cell r="A30">
            <v>96230730217</v>
          </cell>
          <cell r="B30">
            <v>45000</v>
          </cell>
          <cell r="C30" t="str">
            <v>Regular</v>
          </cell>
          <cell r="D30" t="str">
            <v>VINCENT (698)</v>
          </cell>
          <cell r="E30" t="str">
            <v>Retest</v>
          </cell>
          <cell r="F30" t="str">
            <v>Q</v>
          </cell>
          <cell r="G30">
            <v>0</v>
          </cell>
          <cell r="I30">
            <v>0</v>
          </cell>
          <cell r="J30">
            <v>0</v>
          </cell>
        </row>
        <row r="31">
          <cell r="A31">
            <v>96230740108</v>
          </cell>
          <cell r="B31">
            <v>45001</v>
          </cell>
          <cell r="C31" t="str">
            <v>Regular</v>
          </cell>
          <cell r="D31" t="str">
            <v>JH 698</v>
          </cell>
          <cell r="E31" t="str">
            <v>RF SP 96230740092</v>
          </cell>
          <cell r="F31" t="str">
            <v>A,Q,V</v>
          </cell>
          <cell r="J31">
            <v>0</v>
          </cell>
        </row>
        <row r="32">
          <cell r="A32">
            <v>96230660569</v>
          </cell>
          <cell r="B32">
            <v>45001</v>
          </cell>
          <cell r="C32" t="str">
            <v>Regular</v>
          </cell>
          <cell r="D32" t="str">
            <v>CEP (138)</v>
          </cell>
          <cell r="F32" t="str">
            <v>Q</v>
          </cell>
        </row>
        <row r="33">
          <cell r="A33">
            <v>96230730316</v>
          </cell>
          <cell r="B33">
            <v>45002</v>
          </cell>
          <cell r="C33" t="str">
            <v>Regular</v>
          </cell>
          <cell r="D33" t="str">
            <v>HUYEN 709</v>
          </cell>
          <cell r="F33" t="str">
            <v>AVQ</v>
          </cell>
          <cell r="J33">
            <v>0</v>
          </cell>
        </row>
        <row r="34">
          <cell r="A34">
            <v>96230730320</v>
          </cell>
          <cell r="B34">
            <v>45002</v>
          </cell>
          <cell r="C34" t="str">
            <v>Regular</v>
          </cell>
          <cell r="D34" t="str">
            <v>HUYEN 709</v>
          </cell>
          <cell r="F34" t="str">
            <v>AVQ</v>
          </cell>
          <cell r="J34">
            <v>0</v>
          </cell>
        </row>
        <row r="35">
          <cell r="A35">
            <v>96230740544</v>
          </cell>
          <cell r="B35">
            <v>45003</v>
          </cell>
          <cell r="C35" t="str">
            <v>Regular</v>
          </cell>
          <cell r="D35" t="str">
            <v>HUYEN 709</v>
          </cell>
          <cell r="F35" t="str">
            <v>QV</v>
          </cell>
          <cell r="G35">
            <v>0</v>
          </cell>
          <cell r="J35">
            <v>0</v>
          </cell>
        </row>
        <row r="36">
          <cell r="A36">
            <v>96230720456</v>
          </cell>
          <cell r="B36">
            <v>45003</v>
          </cell>
          <cell r="C36" t="str">
            <v>Regular</v>
          </cell>
          <cell r="D36" t="str">
            <v>HAO 718</v>
          </cell>
          <cell r="F36" t="str">
            <v>Q</v>
          </cell>
          <cell r="G36">
            <v>0</v>
          </cell>
          <cell r="I36">
            <v>0</v>
          </cell>
          <cell r="J36">
            <v>0</v>
          </cell>
        </row>
        <row r="37">
          <cell r="A37">
            <v>96230760582</v>
          </cell>
          <cell r="B37">
            <v>45003</v>
          </cell>
          <cell r="C37" t="str">
            <v>Regular</v>
          </cell>
          <cell r="D37" t="str">
            <v>JH 698</v>
          </cell>
          <cell r="E37" t="str">
            <v>RF SP 96230760569</v>
          </cell>
          <cell r="F37" t="str">
            <v>Q,V,A</v>
          </cell>
          <cell r="J37">
            <v>0</v>
          </cell>
        </row>
        <row r="38">
          <cell r="A38">
            <v>96230750730</v>
          </cell>
          <cell r="B38">
            <v>45003</v>
          </cell>
          <cell r="C38" t="str">
            <v>Regular</v>
          </cell>
          <cell r="D38" t="str">
            <v>HUYEN 709</v>
          </cell>
          <cell r="F38" t="str">
            <v>Q V A</v>
          </cell>
          <cell r="J38">
            <v>0</v>
          </cell>
        </row>
        <row r="39">
          <cell r="A39">
            <v>96230690022</v>
          </cell>
          <cell r="B39">
            <v>45005</v>
          </cell>
          <cell r="C39" t="str">
            <v>Regular</v>
          </cell>
          <cell r="D39" t="str">
            <v>HAO 718</v>
          </cell>
          <cell r="F39" t="str">
            <v>Q</v>
          </cell>
          <cell r="G39">
            <v>0</v>
          </cell>
          <cell r="I39">
            <v>0</v>
          </cell>
          <cell r="J39">
            <v>0</v>
          </cell>
        </row>
        <row r="40">
          <cell r="A40">
            <v>96230770380</v>
          </cell>
          <cell r="B40">
            <v>45005</v>
          </cell>
          <cell r="C40" t="str">
            <v>Regular</v>
          </cell>
          <cell r="D40" t="str">
            <v>HUYEN 709</v>
          </cell>
          <cell r="F40" t="str">
            <v>Q</v>
          </cell>
          <cell r="G40">
            <v>0</v>
          </cell>
          <cell r="I40">
            <v>0</v>
          </cell>
          <cell r="J40">
            <v>0</v>
          </cell>
        </row>
        <row r="41">
          <cell r="A41">
            <v>96230730406</v>
          </cell>
          <cell r="B41">
            <v>45005</v>
          </cell>
          <cell r="C41" t="str">
            <v>Regular</v>
          </cell>
          <cell r="D41" t="str">
            <v>HOANG 738</v>
          </cell>
          <cell r="F41" t="str">
            <v>Q V</v>
          </cell>
          <cell r="G41">
            <v>0</v>
          </cell>
          <cell r="J41">
            <v>0</v>
          </cell>
        </row>
        <row r="42">
          <cell r="A42">
            <v>96230730409</v>
          </cell>
          <cell r="B42">
            <v>45005</v>
          </cell>
          <cell r="C42" t="str">
            <v>Regular</v>
          </cell>
          <cell r="D42" t="str">
            <v>HOANG 738</v>
          </cell>
          <cell r="F42" t="str">
            <v>Q V</v>
          </cell>
          <cell r="G42">
            <v>0</v>
          </cell>
          <cell r="J42">
            <v>0</v>
          </cell>
        </row>
        <row r="43">
          <cell r="A43">
            <v>96230700356</v>
          </cell>
          <cell r="B43">
            <v>45006</v>
          </cell>
          <cell r="C43" t="str">
            <v>Regular</v>
          </cell>
          <cell r="D43" t="str">
            <v>GIB 718</v>
          </cell>
          <cell r="F43" t="str">
            <v>QVA</v>
          </cell>
          <cell r="J43">
            <v>0</v>
          </cell>
        </row>
        <row r="44">
          <cell r="A44">
            <v>96230790402</v>
          </cell>
          <cell r="B44">
            <v>45006</v>
          </cell>
          <cell r="C44" t="str">
            <v>Regular</v>
          </cell>
          <cell r="D44" t="str">
            <v>NGOC 697</v>
          </cell>
          <cell r="E44" t="str">
            <v>DISNEY</v>
          </cell>
          <cell r="F44" t="str">
            <v>A Q V</v>
          </cell>
          <cell r="J44">
            <v>0</v>
          </cell>
        </row>
        <row r="45">
          <cell r="A45" t="str">
            <v>96230730406(2)</v>
          </cell>
          <cell r="B45">
            <v>45006</v>
          </cell>
          <cell r="C45" t="str">
            <v>Regular</v>
          </cell>
          <cell r="D45" t="str">
            <v>HOANG 738</v>
          </cell>
          <cell r="F45" t="str">
            <v>Q V</v>
          </cell>
          <cell r="G45">
            <v>0</v>
          </cell>
          <cell r="J45">
            <v>0</v>
          </cell>
        </row>
        <row r="46">
          <cell r="A46">
            <v>96230770276</v>
          </cell>
          <cell r="B46">
            <v>45006</v>
          </cell>
          <cell r="C46" t="str">
            <v>Regular</v>
          </cell>
          <cell r="D46" t="str">
            <v>VINCENT (698)</v>
          </cell>
          <cell r="F46" t="str">
            <v>Q</v>
          </cell>
          <cell r="G46">
            <v>0</v>
          </cell>
          <cell r="H46" t="str">
            <v>Q</v>
          </cell>
          <cell r="I46">
            <v>0</v>
          </cell>
          <cell r="J46">
            <v>0</v>
          </cell>
        </row>
        <row r="47">
          <cell r="A47">
            <v>96230790488</v>
          </cell>
          <cell r="B47">
            <v>45006</v>
          </cell>
          <cell r="C47" t="str">
            <v>Regular</v>
          </cell>
          <cell r="D47" t="str">
            <v>LUK 138</v>
          </cell>
          <cell r="F47" t="str">
            <v>Q</v>
          </cell>
          <cell r="G47">
            <v>0</v>
          </cell>
          <cell r="I47">
            <v>0</v>
          </cell>
          <cell r="J47">
            <v>0</v>
          </cell>
        </row>
        <row r="48">
          <cell r="A48">
            <v>96230790404</v>
          </cell>
          <cell r="B48">
            <v>45006</v>
          </cell>
          <cell r="C48" t="str">
            <v>Regular</v>
          </cell>
          <cell r="D48" t="str">
            <v>NGOC 697</v>
          </cell>
          <cell r="E48" t="str">
            <v>DISNEY</v>
          </cell>
          <cell r="F48" t="str">
            <v>Q V A</v>
          </cell>
          <cell r="J48">
            <v>0</v>
          </cell>
        </row>
        <row r="49">
          <cell r="A49">
            <v>96230800476</v>
          </cell>
          <cell r="B49">
            <v>45006</v>
          </cell>
          <cell r="C49" t="str">
            <v>Regular</v>
          </cell>
          <cell r="D49" t="str">
            <v>MARIS (731)</v>
          </cell>
          <cell r="E49" t="str">
            <v>DISNEY</v>
          </cell>
          <cell r="F49" t="str">
            <v>Q V</v>
          </cell>
          <cell r="G49">
            <v>0</v>
          </cell>
          <cell r="J49">
            <v>0</v>
          </cell>
        </row>
        <row r="50">
          <cell r="A50">
            <v>96230760149</v>
          </cell>
          <cell r="B50">
            <v>45007</v>
          </cell>
          <cell r="C50" t="str">
            <v>Regular</v>
          </cell>
          <cell r="D50" t="str">
            <v>Phuc 138</v>
          </cell>
          <cell r="E50" t="str">
            <v>COSTCO</v>
          </cell>
          <cell r="F50" t="str">
            <v>AVQ</v>
          </cell>
          <cell r="J50">
            <v>0</v>
          </cell>
        </row>
        <row r="51">
          <cell r="A51">
            <v>96230650239</v>
          </cell>
          <cell r="B51">
            <v>45007</v>
          </cell>
          <cell r="C51" t="str">
            <v>Regular</v>
          </cell>
          <cell r="D51" t="str">
            <v>Duy (738)</v>
          </cell>
          <cell r="F51" t="str">
            <v xml:space="preserve">Q </v>
          </cell>
          <cell r="G51">
            <v>0</v>
          </cell>
          <cell r="I51">
            <v>0</v>
          </cell>
          <cell r="J51">
            <v>0</v>
          </cell>
        </row>
        <row r="52">
          <cell r="A52">
            <v>96230650242</v>
          </cell>
          <cell r="B52">
            <v>45007</v>
          </cell>
          <cell r="C52" t="str">
            <v>Regular</v>
          </cell>
          <cell r="D52" t="str">
            <v>Duy (738)</v>
          </cell>
          <cell r="F52" t="str">
            <v xml:space="preserve">Q </v>
          </cell>
          <cell r="G52">
            <v>0</v>
          </cell>
          <cell r="I52">
            <v>0</v>
          </cell>
          <cell r="J52">
            <v>0</v>
          </cell>
        </row>
        <row r="53">
          <cell r="A53">
            <v>96230650244</v>
          </cell>
          <cell r="B53">
            <v>45007</v>
          </cell>
          <cell r="C53" t="str">
            <v>Regular</v>
          </cell>
          <cell r="D53" t="str">
            <v>Duy (738)</v>
          </cell>
          <cell r="F53" t="str">
            <v xml:space="preserve">Q </v>
          </cell>
          <cell r="G53">
            <v>0</v>
          </cell>
          <cell r="I53">
            <v>0</v>
          </cell>
          <cell r="J53">
            <v>0</v>
          </cell>
        </row>
        <row r="54">
          <cell r="A54">
            <v>96230800237</v>
          </cell>
          <cell r="B54">
            <v>45007</v>
          </cell>
          <cell r="C54" t="str">
            <v>Regular</v>
          </cell>
          <cell r="D54" t="str">
            <v>FANTOM(719)</v>
          </cell>
          <cell r="F54" t="str">
            <v>Q, A, V</v>
          </cell>
          <cell r="J54">
            <v>0</v>
          </cell>
        </row>
        <row r="55">
          <cell r="A55">
            <v>96230650240</v>
          </cell>
          <cell r="B55">
            <v>45007</v>
          </cell>
          <cell r="C55" t="str">
            <v>Regular</v>
          </cell>
          <cell r="D55" t="str">
            <v>Duy (738)</v>
          </cell>
          <cell r="F55" t="str">
            <v>Q</v>
          </cell>
          <cell r="G55">
            <v>0</v>
          </cell>
          <cell r="I55">
            <v>0</v>
          </cell>
          <cell r="J55">
            <v>0</v>
          </cell>
        </row>
        <row r="56">
          <cell r="A56">
            <v>96230650241</v>
          </cell>
          <cell r="B56">
            <v>45007</v>
          </cell>
          <cell r="C56" t="str">
            <v>Regular</v>
          </cell>
          <cell r="D56" t="str">
            <v>Duy (738)</v>
          </cell>
          <cell r="F56" t="str">
            <v>Q</v>
          </cell>
          <cell r="G56">
            <v>0</v>
          </cell>
          <cell r="I56">
            <v>0</v>
          </cell>
          <cell r="J56">
            <v>0</v>
          </cell>
        </row>
        <row r="57">
          <cell r="A57">
            <v>96230650243</v>
          </cell>
          <cell r="B57">
            <v>45007</v>
          </cell>
          <cell r="C57" t="str">
            <v>Regular</v>
          </cell>
          <cell r="D57" t="str">
            <v>Duy (738)</v>
          </cell>
          <cell r="F57" t="str">
            <v>Q</v>
          </cell>
          <cell r="G57">
            <v>0</v>
          </cell>
          <cell r="I57">
            <v>0</v>
          </cell>
          <cell r="J57">
            <v>0</v>
          </cell>
        </row>
        <row r="58">
          <cell r="A58">
            <v>96230770290</v>
          </cell>
          <cell r="B58">
            <v>45008</v>
          </cell>
          <cell r="C58" t="str">
            <v>Regular</v>
          </cell>
          <cell r="D58" t="str">
            <v>JUN (334)</v>
          </cell>
          <cell r="E58" t="str">
            <v>1 pcs</v>
          </cell>
          <cell r="F58" t="str">
            <v>Q, V</v>
          </cell>
          <cell r="G58">
            <v>0</v>
          </cell>
          <cell r="J58">
            <v>0</v>
          </cell>
        </row>
        <row r="59">
          <cell r="A59">
            <v>96230690017</v>
          </cell>
          <cell r="B59">
            <v>45008</v>
          </cell>
          <cell r="C59" t="str">
            <v>Regular</v>
          </cell>
          <cell r="D59" t="str">
            <v>HAO 718</v>
          </cell>
          <cell r="F59" t="str">
            <v>A Q V</v>
          </cell>
          <cell r="J59">
            <v>0</v>
          </cell>
        </row>
        <row r="60">
          <cell r="A60">
            <v>96230770370</v>
          </cell>
          <cell r="B60">
            <v>45008</v>
          </cell>
          <cell r="C60" t="str">
            <v>Regular</v>
          </cell>
          <cell r="D60" t="str">
            <v>Phuc 138</v>
          </cell>
          <cell r="E60" t="str">
            <v>COSTCO
rf sample 0770364</v>
          </cell>
          <cell r="F60" t="str">
            <v>AVQ</v>
          </cell>
          <cell r="J60">
            <v>0</v>
          </cell>
        </row>
        <row r="61">
          <cell r="A61">
            <v>96230770379</v>
          </cell>
          <cell r="B61">
            <v>45008</v>
          </cell>
          <cell r="C61" t="str">
            <v>Regular</v>
          </cell>
          <cell r="D61" t="str">
            <v>Phuc 138</v>
          </cell>
          <cell r="E61" t="str">
            <v>COSTCO
rf sample 0770364</v>
          </cell>
          <cell r="F61" t="str">
            <v>AVQ</v>
          </cell>
          <cell r="J61">
            <v>0</v>
          </cell>
        </row>
        <row r="62">
          <cell r="A62">
            <v>96230760015</v>
          </cell>
          <cell r="B62">
            <v>45009</v>
          </cell>
          <cell r="C62" t="str">
            <v>Regular</v>
          </cell>
          <cell r="D62" t="str">
            <v>LUK 138</v>
          </cell>
          <cell r="F62" t="str">
            <v>Q V</v>
          </cell>
          <cell r="G62">
            <v>0</v>
          </cell>
          <cell r="J62">
            <v>0</v>
          </cell>
        </row>
        <row r="63">
          <cell r="A63">
            <v>96230820287</v>
          </cell>
          <cell r="B63">
            <v>45009</v>
          </cell>
          <cell r="C63" t="str">
            <v>Regular</v>
          </cell>
          <cell r="D63" t="str">
            <v>JH 698</v>
          </cell>
          <cell r="E63" t="str">
            <v>DISNEY</v>
          </cell>
          <cell r="F63" t="str">
            <v>Q,V,X</v>
          </cell>
          <cell r="G63">
            <v>0</v>
          </cell>
        </row>
        <row r="64">
          <cell r="A64">
            <v>96230810579</v>
          </cell>
          <cell r="B64">
            <v>45009</v>
          </cell>
          <cell r="C64" t="str">
            <v>Regular</v>
          </cell>
          <cell r="D64" t="str">
            <v>MINH 718</v>
          </cell>
          <cell r="F64" t="str">
            <v>Q</v>
          </cell>
          <cell r="G64">
            <v>0</v>
          </cell>
          <cell r="I64">
            <v>0</v>
          </cell>
          <cell r="J64">
            <v>0</v>
          </cell>
        </row>
        <row r="65">
          <cell r="A65">
            <v>96230770452</v>
          </cell>
          <cell r="B65">
            <v>45009</v>
          </cell>
          <cell r="C65" t="str">
            <v>Regular</v>
          </cell>
          <cell r="D65" t="str">
            <v>HOANG 738</v>
          </cell>
          <cell r="F65" t="str">
            <v>Q V</v>
          </cell>
          <cell r="G65">
            <v>0</v>
          </cell>
          <cell r="J65">
            <v>0</v>
          </cell>
        </row>
        <row r="66">
          <cell r="A66">
            <v>96230790436</v>
          </cell>
          <cell r="B66">
            <v>45009</v>
          </cell>
          <cell r="C66" t="str">
            <v>Regular</v>
          </cell>
          <cell r="D66" t="str">
            <v>JUN</v>
          </cell>
          <cell r="F66" t="str">
            <v>Q, V, A</v>
          </cell>
          <cell r="J66">
            <v>0</v>
          </cell>
        </row>
        <row r="67">
          <cell r="A67">
            <v>96230830234</v>
          </cell>
          <cell r="B67">
            <v>45010</v>
          </cell>
          <cell r="C67" t="str">
            <v>Regular</v>
          </cell>
          <cell r="D67" t="str">
            <v>HUYEN 709</v>
          </cell>
          <cell r="F67" t="str">
            <v>Q V</v>
          </cell>
          <cell r="G67">
            <v>0</v>
          </cell>
          <cell r="J67">
            <v>0</v>
          </cell>
        </row>
        <row r="68">
          <cell r="A68" t="str">
            <v>96230650571(2)</v>
          </cell>
          <cell r="B68">
            <v>45010</v>
          </cell>
          <cell r="C68" t="str">
            <v>Regular</v>
          </cell>
          <cell r="D68" t="str">
            <v>HAO 718</v>
          </cell>
          <cell r="F68" t="str">
            <v>Q</v>
          </cell>
          <cell r="G68">
            <v>0</v>
          </cell>
          <cell r="I68">
            <v>0</v>
          </cell>
          <cell r="J68">
            <v>0</v>
          </cell>
        </row>
        <row r="69">
          <cell r="A69">
            <v>96230800121</v>
          </cell>
          <cell r="B69">
            <v>45010</v>
          </cell>
          <cell r="C69" t="str">
            <v>Regular</v>
          </cell>
          <cell r="D69" t="str">
            <v>GIB 718</v>
          </cell>
          <cell r="F69" t="str">
            <v>Q</v>
          </cell>
          <cell r="G69">
            <v>0</v>
          </cell>
          <cell r="I69">
            <v>0</v>
          </cell>
          <cell r="J69">
            <v>0</v>
          </cell>
        </row>
        <row r="70">
          <cell r="A70">
            <v>96230800125</v>
          </cell>
          <cell r="B70">
            <v>45010</v>
          </cell>
          <cell r="C70" t="str">
            <v>Regular</v>
          </cell>
          <cell r="D70" t="str">
            <v>GIB 718</v>
          </cell>
          <cell r="F70" t="str">
            <v>V</v>
          </cell>
          <cell r="G70">
            <v>0</v>
          </cell>
          <cell r="H70">
            <v>0</v>
          </cell>
          <cell r="J70">
            <v>0</v>
          </cell>
        </row>
        <row r="71">
          <cell r="A71">
            <v>96230800468</v>
          </cell>
          <cell r="B71">
            <v>45010</v>
          </cell>
          <cell r="C71" t="str">
            <v>Regular</v>
          </cell>
          <cell r="D71" t="str">
            <v>Hardy 138</v>
          </cell>
          <cell r="E71" t="str">
            <v>COSTCO</v>
          </cell>
          <cell r="F71" t="str">
            <v>A Q V</v>
          </cell>
          <cell r="J71">
            <v>0</v>
          </cell>
        </row>
        <row r="72">
          <cell r="A72">
            <v>96230820444</v>
          </cell>
          <cell r="B72">
            <v>45010</v>
          </cell>
          <cell r="C72" t="str">
            <v>Regular</v>
          </cell>
          <cell r="D72" t="str">
            <v>HAO 718</v>
          </cell>
          <cell r="F72" t="str">
            <v>A V</v>
          </cell>
          <cell r="H72">
            <v>0</v>
          </cell>
          <cell r="J72">
            <v>0</v>
          </cell>
        </row>
        <row r="73">
          <cell r="A73">
            <v>96230820449</v>
          </cell>
          <cell r="B73">
            <v>45010</v>
          </cell>
          <cell r="C73" t="str">
            <v>Regular</v>
          </cell>
          <cell r="D73" t="str">
            <v>HAO 718</v>
          </cell>
          <cell r="F73" t="str">
            <v>A V</v>
          </cell>
          <cell r="H73">
            <v>0</v>
          </cell>
          <cell r="J73">
            <v>0</v>
          </cell>
        </row>
        <row r="74">
          <cell r="A74">
            <v>96230800480</v>
          </cell>
          <cell r="B74">
            <v>45010</v>
          </cell>
          <cell r="C74" t="str">
            <v>Regular</v>
          </cell>
          <cell r="D74" t="str">
            <v>Hardy 138</v>
          </cell>
          <cell r="E74" t="str">
            <v>COSTCO
Refer sample 96230800468</v>
          </cell>
          <cell r="F74" t="str">
            <v>A Q V</v>
          </cell>
          <cell r="J74">
            <v>0</v>
          </cell>
        </row>
        <row r="75">
          <cell r="A75" t="str">
            <v>96230700356(2)</v>
          </cell>
          <cell r="B75">
            <v>45010</v>
          </cell>
          <cell r="C75" t="str">
            <v>Regular</v>
          </cell>
          <cell r="D75" t="str">
            <v>GIB 718</v>
          </cell>
          <cell r="F75" t="str">
            <v>Q</v>
          </cell>
        </row>
        <row r="76">
          <cell r="A76">
            <v>96230800354</v>
          </cell>
          <cell r="B76">
            <v>45010</v>
          </cell>
          <cell r="C76" t="str">
            <v>Regular</v>
          </cell>
          <cell r="D76" t="str">
            <v>Hardy 138</v>
          </cell>
          <cell r="E76" t="str">
            <v>COSTCO
Refer sample 96230800468</v>
          </cell>
          <cell r="F76" t="str">
            <v>A Q V</v>
          </cell>
          <cell r="J76">
            <v>0</v>
          </cell>
        </row>
        <row r="77">
          <cell r="A77">
            <v>96230800409</v>
          </cell>
          <cell r="B77">
            <v>45010</v>
          </cell>
          <cell r="C77" t="str">
            <v>Regular</v>
          </cell>
          <cell r="D77" t="str">
            <v>Hardy 138</v>
          </cell>
          <cell r="E77" t="str">
            <v>COSTCO
Refer sample 96230800468</v>
          </cell>
          <cell r="F77" t="str">
            <v>A Q V</v>
          </cell>
          <cell r="J77">
            <v>0</v>
          </cell>
        </row>
        <row r="78">
          <cell r="A78">
            <v>96230800415</v>
          </cell>
          <cell r="B78">
            <v>45010</v>
          </cell>
          <cell r="C78" t="str">
            <v>Regular</v>
          </cell>
          <cell r="D78" t="str">
            <v>Hardy 138</v>
          </cell>
          <cell r="E78" t="str">
            <v>COSTCO
Refer sample 96230800468</v>
          </cell>
          <cell r="F78" t="str">
            <v>A Q V</v>
          </cell>
          <cell r="J78">
            <v>0</v>
          </cell>
        </row>
        <row r="79">
          <cell r="A79">
            <v>96230800422</v>
          </cell>
          <cell r="B79">
            <v>45010</v>
          </cell>
          <cell r="C79" t="str">
            <v>Regular</v>
          </cell>
          <cell r="D79" t="str">
            <v>Hardy 138</v>
          </cell>
          <cell r="E79" t="str">
            <v>COSTCO
Refer sample 96230800468</v>
          </cell>
          <cell r="F79" t="str">
            <v>A Q V</v>
          </cell>
          <cell r="J79">
            <v>0</v>
          </cell>
        </row>
        <row r="80">
          <cell r="A80">
            <v>96230800270</v>
          </cell>
          <cell r="B80">
            <v>45010</v>
          </cell>
          <cell r="C80" t="str">
            <v>Regular</v>
          </cell>
          <cell r="D80" t="str">
            <v>HUYEN 709</v>
          </cell>
          <cell r="F80" t="str">
            <v xml:space="preserve">Q V X </v>
          </cell>
          <cell r="G80">
            <v>0</v>
          </cell>
        </row>
        <row r="81">
          <cell r="A81">
            <v>96230800267</v>
          </cell>
          <cell r="B81">
            <v>45010</v>
          </cell>
          <cell r="C81" t="str">
            <v>Regular</v>
          </cell>
          <cell r="D81" t="str">
            <v>HUYEN 709</v>
          </cell>
          <cell r="F81" t="str">
            <v>Q V</v>
          </cell>
          <cell r="G81">
            <v>0</v>
          </cell>
          <cell r="J81">
            <v>0</v>
          </cell>
        </row>
        <row r="82">
          <cell r="A82">
            <v>96230800271</v>
          </cell>
          <cell r="B82">
            <v>45010</v>
          </cell>
          <cell r="C82" t="str">
            <v>Regular</v>
          </cell>
          <cell r="D82" t="str">
            <v>HUYEN 709</v>
          </cell>
          <cell r="F82" t="str">
            <v>Q V</v>
          </cell>
          <cell r="G82">
            <v>0</v>
          </cell>
          <cell r="J82">
            <v>0</v>
          </cell>
        </row>
        <row r="83">
          <cell r="A83">
            <v>96230830158</v>
          </cell>
          <cell r="B83">
            <v>45012</v>
          </cell>
          <cell r="C83" t="str">
            <v>Regular</v>
          </cell>
          <cell r="D83" t="str">
            <v>JH 698</v>
          </cell>
          <cell r="F83" t="str">
            <v>Q,V,X</v>
          </cell>
          <cell r="G83">
            <v>0</v>
          </cell>
          <cell r="J83" t="str">
            <v>X</v>
          </cell>
        </row>
        <row r="84">
          <cell r="A84">
            <v>96230800413</v>
          </cell>
          <cell r="B84">
            <v>45012</v>
          </cell>
          <cell r="C84" t="str">
            <v>Regular</v>
          </cell>
          <cell r="D84" t="str">
            <v>Hardy 138</v>
          </cell>
          <cell r="E84" t="str">
            <v>COSTCO
Refer sample 96230800468</v>
          </cell>
          <cell r="F84" t="str">
            <v>A Q V</v>
          </cell>
          <cell r="J84">
            <v>0</v>
          </cell>
        </row>
        <row r="85">
          <cell r="A85">
            <v>96230800403</v>
          </cell>
          <cell r="B85">
            <v>45012</v>
          </cell>
          <cell r="C85" t="str">
            <v>Regular</v>
          </cell>
          <cell r="D85" t="str">
            <v>Hardy 138</v>
          </cell>
          <cell r="E85" t="str">
            <v>COSTCO
Refer sample 96230800468</v>
          </cell>
          <cell r="F85" t="str">
            <v>A Q V</v>
          </cell>
          <cell r="J85">
            <v>0</v>
          </cell>
        </row>
        <row r="86">
          <cell r="A86">
            <v>96230810045</v>
          </cell>
          <cell r="B86">
            <v>45012</v>
          </cell>
          <cell r="C86" t="str">
            <v>Regular</v>
          </cell>
          <cell r="D86" t="str">
            <v>VINCENT (698)</v>
          </cell>
          <cell r="F86" t="str">
            <v>Q</v>
          </cell>
          <cell r="G86">
            <v>0</v>
          </cell>
          <cell r="I86">
            <v>0</v>
          </cell>
          <cell r="J86">
            <v>0</v>
          </cell>
        </row>
        <row r="87">
          <cell r="A87">
            <v>96230760734</v>
          </cell>
          <cell r="B87">
            <v>45012</v>
          </cell>
          <cell r="C87" t="str">
            <v>Regular</v>
          </cell>
          <cell r="D87" t="str">
            <v>HAO 718</v>
          </cell>
          <cell r="F87" t="str">
            <v>Q V</v>
          </cell>
          <cell r="G87">
            <v>0</v>
          </cell>
          <cell r="J87">
            <v>0</v>
          </cell>
        </row>
        <row r="88">
          <cell r="A88">
            <v>96230650147</v>
          </cell>
          <cell r="B88">
            <v>45012</v>
          </cell>
          <cell r="C88" t="str">
            <v>Regular</v>
          </cell>
          <cell r="D88" t="str">
            <v>Daniel (EE)</v>
          </cell>
          <cell r="F88" t="str">
            <v xml:space="preserve"> Q V</v>
          </cell>
          <cell r="G88">
            <v>0</v>
          </cell>
          <cell r="J88">
            <v>0</v>
          </cell>
        </row>
        <row r="89">
          <cell r="A89">
            <v>96230810444</v>
          </cell>
          <cell r="B89">
            <v>45012</v>
          </cell>
          <cell r="C89" t="str">
            <v>Regular</v>
          </cell>
          <cell r="D89" t="str">
            <v>FANTOM(719)</v>
          </cell>
          <cell r="F89" t="str">
            <v>A, V</v>
          </cell>
          <cell r="J89">
            <v>0</v>
          </cell>
        </row>
        <row r="90">
          <cell r="A90">
            <v>96230820484</v>
          </cell>
          <cell r="B90">
            <v>45012</v>
          </cell>
          <cell r="C90" t="str">
            <v>Regular</v>
          </cell>
          <cell r="D90" t="str">
            <v>HUYEN 709</v>
          </cell>
          <cell r="E90" t="str">
            <v>Refer sample 96230820481</v>
          </cell>
          <cell r="F90" t="str">
            <v>V</v>
          </cell>
          <cell r="G90">
            <v>0</v>
          </cell>
          <cell r="H90">
            <v>0</v>
          </cell>
          <cell r="J90">
            <v>0</v>
          </cell>
        </row>
        <row r="91">
          <cell r="A91">
            <v>96230820481</v>
          </cell>
          <cell r="B91">
            <v>45012</v>
          </cell>
          <cell r="C91" t="str">
            <v>Regular</v>
          </cell>
          <cell r="D91" t="str">
            <v>HUYEN 709</v>
          </cell>
          <cell r="F91" t="str">
            <v>Q</v>
          </cell>
          <cell r="G91">
            <v>0</v>
          </cell>
          <cell r="I91">
            <v>0</v>
          </cell>
          <cell r="J91">
            <v>0</v>
          </cell>
        </row>
        <row r="92">
          <cell r="A92">
            <v>96230690130</v>
          </cell>
          <cell r="B92">
            <v>45012</v>
          </cell>
          <cell r="C92" t="str">
            <v>Regular</v>
          </cell>
          <cell r="D92" t="str">
            <v>Daniel (EE)</v>
          </cell>
          <cell r="F92" t="str">
            <v>Q, V</v>
          </cell>
          <cell r="G92">
            <v>0</v>
          </cell>
          <cell r="J92">
            <v>0</v>
          </cell>
        </row>
        <row r="93">
          <cell r="A93">
            <v>96230790244</v>
          </cell>
          <cell r="B93">
            <v>45012</v>
          </cell>
          <cell r="C93" t="str">
            <v>Regular</v>
          </cell>
          <cell r="D93" t="str">
            <v>Vu 138</v>
          </cell>
          <cell r="F93" t="str">
            <v>Q</v>
          </cell>
          <cell r="G93">
            <v>0</v>
          </cell>
          <cell r="I93">
            <v>0</v>
          </cell>
          <cell r="J93">
            <v>0</v>
          </cell>
        </row>
        <row r="94">
          <cell r="A94">
            <v>96230840534</v>
          </cell>
          <cell r="B94">
            <v>45013</v>
          </cell>
          <cell r="C94" t="str">
            <v>Regular</v>
          </cell>
          <cell r="D94" t="str">
            <v>JH 698</v>
          </cell>
          <cell r="F94" t="str">
            <v>A,Q,V</v>
          </cell>
          <cell r="J94">
            <v>0</v>
          </cell>
        </row>
        <row r="95">
          <cell r="A95">
            <v>96230750666</v>
          </cell>
          <cell r="B95">
            <v>45009</v>
          </cell>
          <cell r="C95" t="str">
            <v>Regular</v>
          </cell>
          <cell r="D95" t="str">
            <v>Nhattien (EE)</v>
          </cell>
          <cell r="F95" t="str">
            <v>A, Q, V</v>
          </cell>
          <cell r="J95">
            <v>0</v>
          </cell>
        </row>
        <row r="96">
          <cell r="A96">
            <v>96230750659</v>
          </cell>
          <cell r="B96">
            <v>45009</v>
          </cell>
          <cell r="C96" t="str">
            <v>Regular</v>
          </cell>
          <cell r="D96" t="str">
            <v>Nhattien (EE)</v>
          </cell>
          <cell r="F96" t="str">
            <v>Q, V</v>
          </cell>
          <cell r="J96">
            <v>0</v>
          </cell>
        </row>
        <row r="97">
          <cell r="A97">
            <v>96230820540</v>
          </cell>
          <cell r="B97">
            <v>45013</v>
          </cell>
          <cell r="C97" t="str">
            <v>Regular</v>
          </cell>
          <cell r="D97" t="str">
            <v>LUK 138</v>
          </cell>
          <cell r="F97" t="str">
            <v>Q</v>
          </cell>
          <cell r="G97">
            <v>0</v>
          </cell>
          <cell r="I97">
            <v>0</v>
          </cell>
          <cell r="J97">
            <v>0</v>
          </cell>
        </row>
        <row r="98">
          <cell r="A98">
            <v>96230810073</v>
          </cell>
          <cell r="B98">
            <v>45013</v>
          </cell>
          <cell r="C98" t="str">
            <v>Regular</v>
          </cell>
          <cell r="D98" t="str">
            <v>LUK 138</v>
          </cell>
          <cell r="F98" t="str">
            <v>Q</v>
          </cell>
          <cell r="G98">
            <v>0</v>
          </cell>
          <cell r="I98">
            <v>0</v>
          </cell>
          <cell r="J98">
            <v>0</v>
          </cell>
        </row>
        <row r="99">
          <cell r="A99">
            <v>96230750749</v>
          </cell>
          <cell r="B99">
            <v>45013</v>
          </cell>
          <cell r="C99" t="str">
            <v>Regular</v>
          </cell>
          <cell r="D99" t="str">
            <v>Vu 138</v>
          </cell>
          <cell r="F99" t="str">
            <v>Q</v>
          </cell>
          <cell r="G99">
            <v>0</v>
          </cell>
          <cell r="I99">
            <v>0</v>
          </cell>
          <cell r="J99">
            <v>0</v>
          </cell>
        </row>
        <row r="100">
          <cell r="A100">
            <v>96230800504</v>
          </cell>
          <cell r="B100">
            <v>45013</v>
          </cell>
          <cell r="C100" t="str">
            <v>Regular</v>
          </cell>
          <cell r="D100" t="str">
            <v>Hardy 138</v>
          </cell>
          <cell r="E100" t="str">
            <v>COSTCO</v>
          </cell>
          <cell r="F100" t="str">
            <v>A Q V</v>
          </cell>
          <cell r="J100">
            <v>0</v>
          </cell>
        </row>
        <row r="101">
          <cell r="A101">
            <v>96230800505</v>
          </cell>
          <cell r="B101">
            <v>45013</v>
          </cell>
          <cell r="C101" t="str">
            <v>Regular</v>
          </cell>
          <cell r="D101" t="str">
            <v>Hardy 138</v>
          </cell>
          <cell r="E101" t="str">
            <v>COSTCO</v>
          </cell>
          <cell r="F101" t="str">
            <v>A Q V</v>
          </cell>
          <cell r="J101">
            <v>0</v>
          </cell>
        </row>
        <row r="102">
          <cell r="A102">
            <v>96230790435</v>
          </cell>
          <cell r="B102">
            <v>45014</v>
          </cell>
          <cell r="C102" t="str">
            <v>Regular</v>
          </cell>
          <cell r="D102" t="str">
            <v>NGOC 697</v>
          </cell>
          <cell r="F102" t="str">
            <v>A Q V</v>
          </cell>
          <cell r="J102">
            <v>0</v>
          </cell>
        </row>
        <row r="103">
          <cell r="A103">
            <v>96230790386</v>
          </cell>
          <cell r="B103">
            <v>45007</v>
          </cell>
          <cell r="C103" t="str">
            <v>Regular</v>
          </cell>
          <cell r="D103" t="str">
            <v>JH 698</v>
          </cell>
          <cell r="F103" t="str">
            <v>A,Q,V</v>
          </cell>
        </row>
        <row r="104">
          <cell r="A104">
            <v>96230740380</v>
          </cell>
          <cell r="B104">
            <v>45014</v>
          </cell>
          <cell r="C104" t="str">
            <v>Regular</v>
          </cell>
          <cell r="D104" t="str">
            <v>Duy (738)</v>
          </cell>
          <cell r="F104" t="str">
            <v>Q, V</v>
          </cell>
          <cell r="G104">
            <v>0</v>
          </cell>
          <cell r="J104">
            <v>0</v>
          </cell>
        </row>
        <row r="105">
          <cell r="A105">
            <v>96230750770</v>
          </cell>
          <cell r="B105">
            <v>45014</v>
          </cell>
          <cell r="C105" t="str">
            <v>Regular</v>
          </cell>
          <cell r="D105" t="str">
            <v>Duy (738)</v>
          </cell>
          <cell r="F105" t="str">
            <v>Q</v>
          </cell>
          <cell r="G105">
            <v>0</v>
          </cell>
          <cell r="I105">
            <v>0</v>
          </cell>
          <cell r="J105">
            <v>0</v>
          </cell>
        </row>
        <row r="106">
          <cell r="A106">
            <v>96230760619</v>
          </cell>
          <cell r="B106">
            <v>45014</v>
          </cell>
          <cell r="C106" t="str">
            <v>Regular</v>
          </cell>
          <cell r="D106" t="str">
            <v>Duy (738)</v>
          </cell>
          <cell r="F106" t="str">
            <v>Q, V</v>
          </cell>
          <cell r="G106">
            <v>0</v>
          </cell>
          <cell r="J106">
            <v>0</v>
          </cell>
        </row>
        <row r="107">
          <cell r="A107">
            <v>96230880371</v>
          </cell>
          <cell r="B107">
            <v>45014</v>
          </cell>
          <cell r="C107" t="str">
            <v>Regular</v>
          </cell>
          <cell r="D107" t="str">
            <v>XP 697</v>
          </cell>
          <cell r="E107" t="str">
            <v>4sets MATTEL</v>
          </cell>
          <cell r="F107" t="str">
            <v>Q,V</v>
          </cell>
          <cell r="G107">
            <v>0</v>
          </cell>
          <cell r="J107">
            <v>0</v>
          </cell>
        </row>
        <row r="108">
          <cell r="A108">
            <v>96230730274</v>
          </cell>
          <cell r="B108">
            <v>45014</v>
          </cell>
          <cell r="C108" t="str">
            <v>Regular</v>
          </cell>
          <cell r="D108" t="str">
            <v>Duy (738)</v>
          </cell>
          <cell r="F108" t="str">
            <v>Q, V</v>
          </cell>
          <cell r="G108">
            <v>0</v>
          </cell>
          <cell r="J108">
            <v>0</v>
          </cell>
        </row>
        <row r="109">
          <cell r="A109">
            <v>96230840072</v>
          </cell>
          <cell r="B109">
            <v>45014</v>
          </cell>
          <cell r="C109" t="str">
            <v>Regular</v>
          </cell>
          <cell r="D109" t="str">
            <v>MARIS (619)</v>
          </cell>
          <cell r="F109" t="str">
            <v>Q, V</v>
          </cell>
          <cell r="G109">
            <v>0</v>
          </cell>
          <cell r="J109">
            <v>0</v>
          </cell>
        </row>
        <row r="110">
          <cell r="A110">
            <v>96230860473</v>
          </cell>
          <cell r="B110">
            <v>45015</v>
          </cell>
          <cell r="C110" t="str">
            <v>Regular</v>
          </cell>
          <cell r="D110" t="str">
            <v>JUN (151)</v>
          </cell>
          <cell r="F110" t="str">
            <v>Q V</v>
          </cell>
          <cell r="G110">
            <v>0</v>
          </cell>
          <cell r="J110">
            <v>0</v>
          </cell>
        </row>
        <row r="111">
          <cell r="A111">
            <v>96230880479</v>
          </cell>
          <cell r="B111">
            <v>45015</v>
          </cell>
          <cell r="C111" t="str">
            <v>Regular</v>
          </cell>
          <cell r="D111" t="str">
            <v>NGOC 697</v>
          </cell>
          <cell r="E111" t="str">
            <v>DISNEY</v>
          </cell>
          <cell r="F111" t="str">
            <v>Q V</v>
          </cell>
          <cell r="G111">
            <v>0</v>
          </cell>
          <cell r="J111">
            <v>0</v>
          </cell>
        </row>
        <row r="112">
          <cell r="A112">
            <v>96230870621</v>
          </cell>
          <cell r="B112">
            <v>45015</v>
          </cell>
          <cell r="C112" t="str">
            <v>Regular</v>
          </cell>
          <cell r="D112" t="str">
            <v>NGOC 697</v>
          </cell>
          <cell r="E112" t="str">
            <v>DISNEY</v>
          </cell>
          <cell r="F112" t="str">
            <v>A Q V</v>
          </cell>
          <cell r="J112">
            <v>0</v>
          </cell>
        </row>
        <row r="113">
          <cell r="A113">
            <v>96230880145</v>
          </cell>
          <cell r="B113">
            <v>45015</v>
          </cell>
          <cell r="C113" t="str">
            <v>Regular</v>
          </cell>
          <cell r="D113" t="str">
            <v>NGOC 697</v>
          </cell>
          <cell r="E113" t="str">
            <v>DISNEY</v>
          </cell>
          <cell r="F113" t="str">
            <v>A Q V</v>
          </cell>
          <cell r="J113">
            <v>0</v>
          </cell>
        </row>
        <row r="114">
          <cell r="A114">
            <v>96230880153</v>
          </cell>
          <cell r="B114">
            <v>45015</v>
          </cell>
          <cell r="C114" t="str">
            <v>Regular</v>
          </cell>
          <cell r="D114" t="str">
            <v>NGOC 697</v>
          </cell>
          <cell r="E114" t="str">
            <v>DISNEY</v>
          </cell>
          <cell r="F114" t="str">
            <v>Q V</v>
          </cell>
          <cell r="G114">
            <v>0</v>
          </cell>
          <cell r="J114">
            <v>0</v>
          </cell>
        </row>
        <row r="115">
          <cell r="A115">
            <v>96230880154</v>
          </cell>
          <cell r="B115">
            <v>45015</v>
          </cell>
          <cell r="C115" t="str">
            <v>Regular</v>
          </cell>
          <cell r="D115" t="str">
            <v>NGOC 697</v>
          </cell>
          <cell r="E115" t="str">
            <v>DISNEY</v>
          </cell>
          <cell r="F115" t="str">
            <v>Q V</v>
          </cell>
          <cell r="G115">
            <v>0</v>
          </cell>
          <cell r="J115">
            <v>0</v>
          </cell>
        </row>
        <row r="116">
          <cell r="A116">
            <v>96230880157</v>
          </cell>
          <cell r="B116">
            <v>45015</v>
          </cell>
          <cell r="C116" t="str">
            <v>Regular</v>
          </cell>
          <cell r="D116" t="str">
            <v>NGOC 697</v>
          </cell>
          <cell r="E116" t="str">
            <v>DISNEY</v>
          </cell>
          <cell r="F116" t="str">
            <v>A Q V</v>
          </cell>
          <cell r="J116">
            <v>0</v>
          </cell>
        </row>
        <row r="117">
          <cell r="A117">
            <v>96230880159</v>
          </cell>
          <cell r="B117">
            <v>45015</v>
          </cell>
          <cell r="C117" t="str">
            <v>Regular</v>
          </cell>
          <cell r="D117" t="str">
            <v>NGOC 697</v>
          </cell>
          <cell r="E117" t="str">
            <v>DISNEY</v>
          </cell>
          <cell r="F117" t="str">
            <v>A Q V</v>
          </cell>
          <cell r="J117">
            <v>0</v>
          </cell>
        </row>
        <row r="118">
          <cell r="A118">
            <v>96230880160</v>
          </cell>
          <cell r="B118">
            <v>45015</v>
          </cell>
          <cell r="C118" t="str">
            <v>Regular</v>
          </cell>
          <cell r="D118" t="str">
            <v>NGOC 697</v>
          </cell>
          <cell r="E118" t="str">
            <v>DISNEY</v>
          </cell>
          <cell r="F118" t="str">
            <v>A Q V</v>
          </cell>
          <cell r="J118">
            <v>0</v>
          </cell>
        </row>
        <row r="119">
          <cell r="A119">
            <v>96230880163</v>
          </cell>
          <cell r="B119">
            <v>45015</v>
          </cell>
          <cell r="C119" t="str">
            <v>Regular</v>
          </cell>
          <cell r="D119" t="str">
            <v>NGOC 697</v>
          </cell>
          <cell r="E119" t="str">
            <v>DISNEY</v>
          </cell>
          <cell r="F119" t="str">
            <v>A Q V</v>
          </cell>
          <cell r="J119">
            <v>0</v>
          </cell>
        </row>
        <row r="120">
          <cell r="A120">
            <v>96230880166</v>
          </cell>
          <cell r="B120">
            <v>45015</v>
          </cell>
          <cell r="C120" t="str">
            <v>Regular</v>
          </cell>
          <cell r="D120" t="str">
            <v>NGOC 697</v>
          </cell>
          <cell r="E120" t="str">
            <v>DISNEY</v>
          </cell>
          <cell r="F120" t="str">
            <v>A Q V</v>
          </cell>
          <cell r="J120">
            <v>0</v>
          </cell>
        </row>
        <row r="121">
          <cell r="A121">
            <v>96230880171</v>
          </cell>
          <cell r="B121">
            <v>45015</v>
          </cell>
          <cell r="C121" t="str">
            <v>Regular</v>
          </cell>
          <cell r="D121" t="str">
            <v>NGOC 697</v>
          </cell>
          <cell r="E121" t="str">
            <v>DISNEY</v>
          </cell>
          <cell r="F121" t="str">
            <v>Q V</v>
          </cell>
          <cell r="G121">
            <v>0</v>
          </cell>
          <cell r="J121">
            <v>0</v>
          </cell>
        </row>
        <row r="122">
          <cell r="A122">
            <v>96230880172</v>
          </cell>
          <cell r="B122">
            <v>45015</v>
          </cell>
          <cell r="C122" t="str">
            <v>Regular</v>
          </cell>
          <cell r="D122" t="str">
            <v>NGOC 697</v>
          </cell>
          <cell r="E122" t="str">
            <v>DISNEY</v>
          </cell>
          <cell r="F122" t="str">
            <v>Q V</v>
          </cell>
          <cell r="G122">
            <v>0</v>
          </cell>
          <cell r="J122">
            <v>0</v>
          </cell>
        </row>
        <row r="123">
          <cell r="A123">
            <v>96230880180</v>
          </cell>
          <cell r="B123">
            <v>45015</v>
          </cell>
          <cell r="C123" t="str">
            <v>Regular</v>
          </cell>
          <cell r="D123" t="str">
            <v>NGOC 697</v>
          </cell>
          <cell r="E123" t="str">
            <v>DISNEY</v>
          </cell>
          <cell r="F123" t="str">
            <v>Q V</v>
          </cell>
          <cell r="J123">
            <v>0</v>
          </cell>
        </row>
        <row r="124">
          <cell r="A124">
            <v>96230820541</v>
          </cell>
          <cell r="B124">
            <v>45015</v>
          </cell>
          <cell r="C124" t="str">
            <v>Regular</v>
          </cell>
          <cell r="D124" t="str">
            <v>LUK 138</v>
          </cell>
          <cell r="F124" t="str">
            <v xml:space="preserve">Q A </v>
          </cell>
          <cell r="I124">
            <v>0</v>
          </cell>
          <cell r="J124">
            <v>0</v>
          </cell>
        </row>
        <row r="125">
          <cell r="A125">
            <v>96230880391</v>
          </cell>
          <cell r="B125">
            <v>45015</v>
          </cell>
          <cell r="C125" t="str">
            <v>Regular</v>
          </cell>
          <cell r="D125" t="str">
            <v>MARIS (619)</v>
          </cell>
          <cell r="E125" t="str">
            <v>DISNEY</v>
          </cell>
          <cell r="F125" t="str">
            <v>AVQX</v>
          </cell>
        </row>
        <row r="126">
          <cell r="A126">
            <v>96230870307</v>
          </cell>
          <cell r="B126">
            <v>45015</v>
          </cell>
          <cell r="C126" t="str">
            <v>Regular</v>
          </cell>
          <cell r="D126" t="str">
            <v>MARIS (619)</v>
          </cell>
          <cell r="E126" t="str">
            <v>Matel</v>
          </cell>
          <cell r="F126" t="str">
            <v>Q V</v>
          </cell>
          <cell r="G126">
            <v>0</v>
          </cell>
          <cell r="J126">
            <v>0</v>
          </cell>
        </row>
        <row r="127">
          <cell r="A127">
            <v>96230690151</v>
          </cell>
          <cell r="B127">
            <v>45015</v>
          </cell>
          <cell r="C127" t="str">
            <v>Regular</v>
          </cell>
          <cell r="D127" t="str">
            <v>Daniel (EE)</v>
          </cell>
          <cell r="F127" t="str">
            <v>Q V</v>
          </cell>
          <cell r="G127">
            <v>0</v>
          </cell>
          <cell r="J127">
            <v>0</v>
          </cell>
        </row>
        <row r="128">
          <cell r="A128">
            <v>96230690136</v>
          </cell>
          <cell r="B128">
            <v>45015</v>
          </cell>
          <cell r="C128" t="str">
            <v>Regular</v>
          </cell>
          <cell r="D128" t="str">
            <v>Daniel (EE)</v>
          </cell>
          <cell r="F128" t="str">
            <v>Q V</v>
          </cell>
          <cell r="G128">
            <v>0</v>
          </cell>
          <cell r="J128">
            <v>0</v>
          </cell>
        </row>
        <row r="129">
          <cell r="A129">
            <v>96230690144</v>
          </cell>
          <cell r="B129">
            <v>45015</v>
          </cell>
          <cell r="C129" t="str">
            <v>Regular</v>
          </cell>
          <cell r="D129" t="str">
            <v>Daniel (EE)</v>
          </cell>
          <cell r="F129" t="str">
            <v>Q V</v>
          </cell>
          <cell r="G129">
            <v>0</v>
          </cell>
          <cell r="J129">
            <v>0</v>
          </cell>
        </row>
        <row r="130">
          <cell r="A130">
            <v>96230690115</v>
          </cell>
          <cell r="B130">
            <v>45015</v>
          </cell>
          <cell r="C130" t="str">
            <v>Regular</v>
          </cell>
          <cell r="D130" t="str">
            <v>Daniel (EE)</v>
          </cell>
          <cell r="F130" t="str">
            <v>Q V</v>
          </cell>
          <cell r="G130">
            <v>0</v>
          </cell>
          <cell r="J130">
            <v>0</v>
          </cell>
        </row>
        <row r="131">
          <cell r="A131">
            <v>96230690130</v>
          </cell>
          <cell r="B131">
            <v>45015</v>
          </cell>
          <cell r="C131" t="str">
            <v>Regular</v>
          </cell>
          <cell r="D131" t="str">
            <v>Daniel (EE)</v>
          </cell>
          <cell r="F131" t="str">
            <v>Q V</v>
          </cell>
          <cell r="G131">
            <v>0</v>
          </cell>
          <cell r="J131">
            <v>0</v>
          </cell>
        </row>
        <row r="132">
          <cell r="A132">
            <v>96230840161</v>
          </cell>
          <cell r="B132">
            <v>45015</v>
          </cell>
          <cell r="C132" t="str">
            <v>Regular</v>
          </cell>
          <cell r="D132" t="str">
            <v>CEP (138)</v>
          </cell>
          <cell r="F132" t="str">
            <v>Q</v>
          </cell>
          <cell r="G132">
            <v>0</v>
          </cell>
          <cell r="I132">
            <v>0</v>
          </cell>
          <cell r="J132">
            <v>0</v>
          </cell>
        </row>
        <row r="133">
          <cell r="A133">
            <v>96230820520</v>
          </cell>
          <cell r="B133">
            <v>45015</v>
          </cell>
          <cell r="C133" t="str">
            <v>Regular</v>
          </cell>
          <cell r="D133" t="str">
            <v>JOHN 738</v>
          </cell>
          <cell r="F133" t="str">
            <v>Q</v>
          </cell>
          <cell r="G133">
            <v>0</v>
          </cell>
          <cell r="I133">
            <v>0</v>
          </cell>
          <cell r="J133">
            <v>0</v>
          </cell>
        </row>
        <row r="134">
          <cell r="A134">
            <v>96230840551</v>
          </cell>
          <cell r="B134">
            <v>45015</v>
          </cell>
          <cell r="C134" t="str">
            <v>Regular</v>
          </cell>
          <cell r="D134" t="str">
            <v>JOHN 738</v>
          </cell>
          <cell r="F134" t="str">
            <v>Q</v>
          </cell>
          <cell r="G134">
            <v>0</v>
          </cell>
          <cell r="J134">
            <v>0</v>
          </cell>
        </row>
        <row r="135">
          <cell r="A135">
            <v>96230880683</v>
          </cell>
          <cell r="B135">
            <v>45015</v>
          </cell>
          <cell r="C135" t="str">
            <v>PRIORITY</v>
          </cell>
          <cell r="D135" t="str">
            <v>VINCENT (698)</v>
          </cell>
          <cell r="F135" t="str">
            <v>Q</v>
          </cell>
          <cell r="G135">
            <v>0</v>
          </cell>
          <cell r="I135">
            <v>0</v>
          </cell>
          <cell r="J135">
            <v>0</v>
          </cell>
        </row>
        <row r="136">
          <cell r="A136">
            <v>96230730296</v>
          </cell>
          <cell r="B136">
            <v>45015</v>
          </cell>
          <cell r="C136" t="str">
            <v>Regular</v>
          </cell>
          <cell r="D136" t="str">
            <v>Duy (738)</v>
          </cell>
          <cell r="F136" t="str">
            <v>Q</v>
          </cell>
          <cell r="G136">
            <v>0</v>
          </cell>
          <cell r="I136">
            <v>0</v>
          </cell>
          <cell r="J136">
            <v>0</v>
          </cell>
        </row>
        <row r="137">
          <cell r="A137">
            <v>96230840264</v>
          </cell>
          <cell r="B137">
            <v>45015</v>
          </cell>
          <cell r="C137" t="str">
            <v>Regular</v>
          </cell>
          <cell r="D137" t="str">
            <v>CEP (138)</v>
          </cell>
          <cell r="F137" t="str">
            <v>Q</v>
          </cell>
          <cell r="G137">
            <v>0</v>
          </cell>
          <cell r="I137">
            <v>0</v>
          </cell>
          <cell r="J137">
            <v>0</v>
          </cell>
        </row>
        <row r="138">
          <cell r="A138">
            <v>96230840389</v>
          </cell>
          <cell r="B138">
            <v>45015</v>
          </cell>
          <cell r="C138" t="str">
            <v>Regular</v>
          </cell>
          <cell r="D138" t="str">
            <v>VINCENT (698)</v>
          </cell>
          <cell r="F138" t="str">
            <v>Q</v>
          </cell>
          <cell r="G138">
            <v>0</v>
          </cell>
          <cell r="I138">
            <v>0</v>
          </cell>
          <cell r="J138">
            <v>0</v>
          </cell>
        </row>
        <row r="139">
          <cell r="A139">
            <v>96230840391</v>
          </cell>
          <cell r="B139">
            <v>45015</v>
          </cell>
          <cell r="C139" t="str">
            <v>Regular</v>
          </cell>
          <cell r="D139" t="str">
            <v>VINCENT (698)</v>
          </cell>
          <cell r="F139" t="str">
            <v>Q</v>
          </cell>
          <cell r="G139">
            <v>0</v>
          </cell>
          <cell r="I139">
            <v>0</v>
          </cell>
          <cell r="J139">
            <v>0</v>
          </cell>
        </row>
        <row r="140">
          <cell r="A140">
            <v>96230840393</v>
          </cell>
          <cell r="B140">
            <v>45015</v>
          </cell>
          <cell r="C140" t="str">
            <v>Regular</v>
          </cell>
          <cell r="D140" t="str">
            <v>VINCENT (698)</v>
          </cell>
          <cell r="F140" t="str">
            <v>Q</v>
          </cell>
          <cell r="G140">
            <v>0</v>
          </cell>
          <cell r="I140">
            <v>0</v>
          </cell>
          <cell r="J140">
            <v>0</v>
          </cell>
        </row>
        <row r="141">
          <cell r="A141">
            <v>96230840395</v>
          </cell>
          <cell r="B141">
            <v>45015</v>
          </cell>
          <cell r="C141" t="str">
            <v>Regular</v>
          </cell>
          <cell r="D141" t="str">
            <v>VINCENT (698)</v>
          </cell>
          <cell r="F141" t="str">
            <v>Q</v>
          </cell>
          <cell r="G141">
            <v>0</v>
          </cell>
          <cell r="I141">
            <v>0</v>
          </cell>
          <cell r="J141">
            <v>0</v>
          </cell>
        </row>
        <row r="142">
          <cell r="A142">
            <v>96230840397</v>
          </cell>
          <cell r="B142">
            <v>45015</v>
          </cell>
          <cell r="C142" t="str">
            <v>Regular</v>
          </cell>
          <cell r="D142" t="str">
            <v>VINCENT (698)</v>
          </cell>
          <cell r="F142" t="str">
            <v>Q</v>
          </cell>
          <cell r="G142">
            <v>0</v>
          </cell>
          <cell r="I142">
            <v>0</v>
          </cell>
          <cell r="J142">
            <v>0</v>
          </cell>
        </row>
        <row r="143">
          <cell r="A143">
            <v>96230840398</v>
          </cell>
          <cell r="B143">
            <v>45015</v>
          </cell>
          <cell r="C143" t="str">
            <v>Regular</v>
          </cell>
          <cell r="D143" t="str">
            <v>VINCENT (698)</v>
          </cell>
          <cell r="F143" t="str">
            <v>Q</v>
          </cell>
          <cell r="G143">
            <v>0</v>
          </cell>
          <cell r="I143">
            <v>0</v>
          </cell>
          <cell r="J143">
            <v>0</v>
          </cell>
        </row>
        <row r="144">
          <cell r="A144">
            <v>96230840401</v>
          </cell>
          <cell r="B144">
            <v>45015</v>
          </cell>
          <cell r="C144" t="str">
            <v>Regular</v>
          </cell>
          <cell r="D144" t="str">
            <v>VINCENT (698)</v>
          </cell>
          <cell r="F144" t="str">
            <v>Q</v>
          </cell>
          <cell r="G144">
            <v>0</v>
          </cell>
          <cell r="I144">
            <v>0</v>
          </cell>
          <cell r="J144">
            <v>0</v>
          </cell>
        </row>
        <row r="145">
          <cell r="A145">
            <v>96230840402</v>
          </cell>
          <cell r="B145">
            <v>45015</v>
          </cell>
          <cell r="C145" t="str">
            <v>Regular</v>
          </cell>
          <cell r="D145" t="str">
            <v>VINCENT (698)</v>
          </cell>
          <cell r="F145" t="str">
            <v>Q</v>
          </cell>
          <cell r="G145">
            <v>0</v>
          </cell>
          <cell r="I145">
            <v>0</v>
          </cell>
          <cell r="J145">
            <v>0</v>
          </cell>
        </row>
        <row r="146">
          <cell r="A146">
            <v>96230840404</v>
          </cell>
          <cell r="B146">
            <v>45015</v>
          </cell>
          <cell r="C146" t="str">
            <v>Regular</v>
          </cell>
          <cell r="D146" t="str">
            <v>VINCENT (698)</v>
          </cell>
          <cell r="F146" t="str">
            <v>Q</v>
          </cell>
          <cell r="G146">
            <v>0</v>
          </cell>
          <cell r="I146">
            <v>0</v>
          </cell>
          <cell r="J146">
            <v>0</v>
          </cell>
        </row>
        <row r="147">
          <cell r="A147">
            <v>96230840405</v>
          </cell>
          <cell r="B147">
            <v>45015</v>
          </cell>
          <cell r="C147" t="str">
            <v>Regular</v>
          </cell>
          <cell r="D147" t="str">
            <v>VINCENT (698)</v>
          </cell>
          <cell r="F147" t="str">
            <v>Q</v>
          </cell>
          <cell r="G147">
            <v>0</v>
          </cell>
          <cell r="I147">
            <v>0</v>
          </cell>
          <cell r="J147">
            <v>0</v>
          </cell>
        </row>
        <row r="148">
          <cell r="A148">
            <v>96230880346</v>
          </cell>
          <cell r="B148">
            <v>45015</v>
          </cell>
          <cell r="C148" t="str">
            <v>Regular</v>
          </cell>
          <cell r="D148" t="str">
            <v>HUYEN 709</v>
          </cell>
          <cell r="F148" t="str">
            <v xml:space="preserve">Q V X </v>
          </cell>
          <cell r="G148">
            <v>0</v>
          </cell>
        </row>
        <row r="149">
          <cell r="A149">
            <v>96230880348</v>
          </cell>
          <cell r="B149">
            <v>45015</v>
          </cell>
          <cell r="C149" t="str">
            <v>Regular</v>
          </cell>
          <cell r="D149" t="str">
            <v>HUYEN 709</v>
          </cell>
          <cell r="F149" t="str">
            <v>Q X</v>
          </cell>
          <cell r="G149">
            <v>0</v>
          </cell>
          <cell r="I149">
            <v>0</v>
          </cell>
        </row>
        <row r="150">
          <cell r="A150">
            <v>96230820632</v>
          </cell>
          <cell r="B150">
            <v>45015</v>
          </cell>
          <cell r="C150" t="str">
            <v>Regular</v>
          </cell>
          <cell r="D150" t="str">
            <v>LUK 138</v>
          </cell>
          <cell r="F150" t="str">
            <v>V</v>
          </cell>
          <cell r="G150">
            <v>0</v>
          </cell>
          <cell r="H150">
            <v>0</v>
          </cell>
          <cell r="J150">
            <v>0</v>
          </cell>
        </row>
        <row r="151">
          <cell r="A151">
            <v>96230880272</v>
          </cell>
          <cell r="B151">
            <v>45015</v>
          </cell>
          <cell r="C151" t="str">
            <v>Regular</v>
          </cell>
          <cell r="D151" t="str">
            <v>MARIS (619)</v>
          </cell>
          <cell r="F151" t="str">
            <v>A Q V</v>
          </cell>
          <cell r="J151">
            <v>0</v>
          </cell>
        </row>
        <row r="152">
          <cell r="A152">
            <v>96230800481</v>
          </cell>
          <cell r="B152">
            <v>45015</v>
          </cell>
          <cell r="C152" t="str">
            <v>Regular</v>
          </cell>
          <cell r="D152" t="str">
            <v>HOANG 738</v>
          </cell>
          <cell r="F152" t="str">
            <v>Q V</v>
          </cell>
          <cell r="G152">
            <v>0</v>
          </cell>
          <cell r="J152">
            <v>0</v>
          </cell>
        </row>
        <row r="153">
          <cell r="A153">
            <v>96230800482</v>
          </cell>
          <cell r="B153">
            <v>45015</v>
          </cell>
          <cell r="C153" t="str">
            <v>Regular</v>
          </cell>
          <cell r="D153" t="str">
            <v>HOANG 738</v>
          </cell>
          <cell r="F153" t="str">
            <v>V</v>
          </cell>
          <cell r="G153">
            <v>0</v>
          </cell>
          <cell r="H153">
            <v>0</v>
          </cell>
          <cell r="J153">
            <v>0</v>
          </cell>
        </row>
        <row r="154">
          <cell r="A154">
            <v>96230880432</v>
          </cell>
          <cell r="B154">
            <v>45015</v>
          </cell>
          <cell r="C154" t="str">
            <v>Regular</v>
          </cell>
          <cell r="D154" t="str">
            <v>NGOC 697</v>
          </cell>
          <cell r="F154" t="str">
            <v>Q V</v>
          </cell>
          <cell r="G154">
            <v>0</v>
          </cell>
          <cell r="J154">
            <v>0</v>
          </cell>
        </row>
        <row r="155">
          <cell r="A155">
            <v>96230870124</v>
          </cell>
          <cell r="B155">
            <v>45016</v>
          </cell>
          <cell r="C155" t="str">
            <v>Regular</v>
          </cell>
          <cell r="D155" t="str">
            <v>JH 698</v>
          </cell>
          <cell r="F155" t="str">
            <v>Q, V</v>
          </cell>
          <cell r="G155">
            <v>0</v>
          </cell>
          <cell r="J155">
            <v>0</v>
          </cell>
        </row>
        <row r="156">
          <cell r="A156">
            <v>96230890547</v>
          </cell>
          <cell r="B156">
            <v>45016</v>
          </cell>
          <cell r="C156" t="str">
            <v>Regular</v>
          </cell>
          <cell r="D156" t="str">
            <v>VYN 731</v>
          </cell>
          <cell r="E156" t="str">
            <v>DISNEY</v>
          </cell>
          <cell r="F156" t="str">
            <v>QV</v>
          </cell>
          <cell r="G156">
            <v>0</v>
          </cell>
          <cell r="J156">
            <v>0</v>
          </cell>
        </row>
        <row r="157">
          <cell r="A157">
            <v>96230890549</v>
          </cell>
          <cell r="B157">
            <v>45016</v>
          </cell>
          <cell r="C157" t="str">
            <v>Regular</v>
          </cell>
          <cell r="D157" t="str">
            <v>VYN 731</v>
          </cell>
          <cell r="E157" t="str">
            <v>RF SP96230890547, DISNEY</v>
          </cell>
          <cell r="F157" t="str">
            <v>QV</v>
          </cell>
          <cell r="G157">
            <v>0</v>
          </cell>
          <cell r="J157">
            <v>0</v>
          </cell>
        </row>
        <row r="158">
          <cell r="A158">
            <v>96230890563</v>
          </cell>
          <cell r="B158">
            <v>45016</v>
          </cell>
          <cell r="C158" t="str">
            <v>Regular</v>
          </cell>
          <cell r="D158" t="str">
            <v>VYN 731</v>
          </cell>
          <cell r="E158" t="str">
            <v>RF SP96230890547, DISNEY</v>
          </cell>
          <cell r="F158" t="str">
            <v>AQV</v>
          </cell>
          <cell r="J158">
            <v>0</v>
          </cell>
        </row>
        <row r="159">
          <cell r="A159">
            <v>96230890564</v>
          </cell>
          <cell r="B159">
            <v>45016</v>
          </cell>
          <cell r="C159" t="str">
            <v>Regular</v>
          </cell>
          <cell r="D159" t="str">
            <v>VYN 731</v>
          </cell>
          <cell r="E159" t="str">
            <v>RF SP96230890547, DISNEY</v>
          </cell>
          <cell r="F159" t="str">
            <v>AQV</v>
          </cell>
          <cell r="J159">
            <v>0</v>
          </cell>
        </row>
        <row r="160">
          <cell r="A160">
            <v>96230890659</v>
          </cell>
          <cell r="B160">
            <v>45016</v>
          </cell>
          <cell r="C160" t="str">
            <v>Regular</v>
          </cell>
          <cell r="D160" t="str">
            <v>VYN 731</v>
          </cell>
          <cell r="F160" t="str">
            <v>Q</v>
          </cell>
          <cell r="G160">
            <v>0</v>
          </cell>
          <cell r="I160">
            <v>0</v>
          </cell>
          <cell r="J160">
            <v>0</v>
          </cell>
        </row>
        <row r="161">
          <cell r="A161">
            <v>96230870049</v>
          </cell>
          <cell r="B161">
            <v>45016</v>
          </cell>
          <cell r="C161" t="str">
            <v>Regular</v>
          </cell>
          <cell r="D161" t="str">
            <v>JH 698</v>
          </cell>
          <cell r="F161" t="str">
            <v>Q,V</v>
          </cell>
          <cell r="G161">
            <v>0</v>
          </cell>
          <cell r="J161">
            <v>0</v>
          </cell>
        </row>
        <row r="162">
          <cell r="A162">
            <v>96230870304</v>
          </cell>
          <cell r="B162">
            <v>45016</v>
          </cell>
          <cell r="C162" t="str">
            <v>Regular</v>
          </cell>
          <cell r="D162" t="str">
            <v>JH 698</v>
          </cell>
          <cell r="F162" t="str">
            <v>Q,V</v>
          </cell>
          <cell r="G162">
            <v>0</v>
          </cell>
          <cell r="J162">
            <v>0</v>
          </cell>
        </row>
        <row r="163">
          <cell r="A163">
            <v>96230880290</v>
          </cell>
          <cell r="B163">
            <v>45016</v>
          </cell>
          <cell r="C163" t="str">
            <v>Regular</v>
          </cell>
          <cell r="D163" t="str">
            <v>JH 698</v>
          </cell>
          <cell r="F163" t="str">
            <v>Q,V,A,X</v>
          </cell>
        </row>
        <row r="164">
          <cell r="A164">
            <v>96230880226</v>
          </cell>
          <cell r="B164">
            <v>45016</v>
          </cell>
          <cell r="C164" t="str">
            <v>Regular</v>
          </cell>
          <cell r="D164" t="str">
            <v>JH 698</v>
          </cell>
          <cell r="F164" t="str">
            <v>Q,V,A</v>
          </cell>
          <cell r="J164">
            <v>0</v>
          </cell>
        </row>
        <row r="165">
          <cell r="A165">
            <v>96230890660</v>
          </cell>
          <cell r="B165">
            <v>45016</v>
          </cell>
          <cell r="C165" t="str">
            <v>Regular</v>
          </cell>
          <cell r="D165" t="str">
            <v>HUYEN 709</v>
          </cell>
          <cell r="F165" t="str">
            <v>Q V</v>
          </cell>
          <cell r="G165">
            <v>0</v>
          </cell>
          <cell r="J165">
            <v>0</v>
          </cell>
        </row>
        <row r="166">
          <cell r="A166">
            <v>96230880671</v>
          </cell>
          <cell r="B166">
            <v>45016</v>
          </cell>
          <cell r="C166" t="str">
            <v>Regular</v>
          </cell>
          <cell r="D166" t="str">
            <v>HUYEN 709</v>
          </cell>
          <cell r="F166" t="str">
            <v>Q V</v>
          </cell>
          <cell r="G166">
            <v>0</v>
          </cell>
          <cell r="J166">
            <v>0</v>
          </cell>
        </row>
        <row r="167">
          <cell r="A167">
            <v>96230900362</v>
          </cell>
          <cell r="B167">
            <v>45016</v>
          </cell>
          <cell r="C167" t="str">
            <v>Regular</v>
          </cell>
          <cell r="D167" t="str">
            <v>MARIS (619)</v>
          </cell>
          <cell r="F167" t="str">
            <v>Q,V</v>
          </cell>
          <cell r="G167">
            <v>0</v>
          </cell>
          <cell r="J167">
            <v>0</v>
          </cell>
        </row>
        <row r="168">
          <cell r="A168">
            <v>96230900368</v>
          </cell>
          <cell r="B168">
            <v>45016</v>
          </cell>
          <cell r="C168" t="str">
            <v>Regular</v>
          </cell>
          <cell r="D168" t="str">
            <v>MARIS (619)</v>
          </cell>
          <cell r="F168" t="str">
            <v>Q,V</v>
          </cell>
          <cell r="G168">
            <v>0</v>
          </cell>
          <cell r="J168">
            <v>0</v>
          </cell>
        </row>
        <row r="169">
          <cell r="A169">
            <v>96230890541</v>
          </cell>
          <cell r="B169">
            <v>45016</v>
          </cell>
          <cell r="C169" t="str">
            <v>Regular</v>
          </cell>
          <cell r="D169" t="str">
            <v>JUN (151)</v>
          </cell>
          <cell r="E169" t="str">
            <v>H&amp;M- Jewelry</v>
          </cell>
          <cell r="F169" t="str">
            <v>Q</v>
          </cell>
          <cell r="G169">
            <v>0</v>
          </cell>
          <cell r="I169">
            <v>0</v>
          </cell>
          <cell r="J169">
            <v>0</v>
          </cell>
        </row>
        <row r="170">
          <cell r="A170">
            <v>96230890531</v>
          </cell>
          <cell r="B170">
            <v>45016</v>
          </cell>
          <cell r="C170" t="str">
            <v>Regular</v>
          </cell>
          <cell r="D170" t="str">
            <v>JUN (151)</v>
          </cell>
          <cell r="E170" t="str">
            <v>H&amp;M- Jewelry</v>
          </cell>
          <cell r="F170" t="str">
            <v>Q</v>
          </cell>
          <cell r="G170">
            <v>0</v>
          </cell>
          <cell r="I170">
            <v>0</v>
          </cell>
          <cell r="J170">
            <v>0</v>
          </cell>
        </row>
        <row r="171">
          <cell r="A171">
            <v>96230890532</v>
          </cell>
          <cell r="B171">
            <v>45016</v>
          </cell>
          <cell r="C171" t="str">
            <v>Regular</v>
          </cell>
          <cell r="D171" t="str">
            <v>JUN (151)</v>
          </cell>
          <cell r="E171" t="str">
            <v>H&amp;M- Jewelry</v>
          </cell>
          <cell r="F171" t="str">
            <v>Q</v>
          </cell>
          <cell r="G171">
            <v>0</v>
          </cell>
          <cell r="I171">
            <v>0</v>
          </cell>
          <cell r="J171">
            <v>0</v>
          </cell>
        </row>
        <row r="172">
          <cell r="A172">
            <v>96230880131</v>
          </cell>
          <cell r="B172">
            <v>45016</v>
          </cell>
          <cell r="C172" t="str">
            <v>Regular</v>
          </cell>
          <cell r="D172" t="str">
            <v>JUN (151)</v>
          </cell>
          <cell r="E172" t="str">
            <v>Jewelry</v>
          </cell>
          <cell r="F172" t="str">
            <v>Q</v>
          </cell>
          <cell r="G172">
            <v>0</v>
          </cell>
          <cell r="I172">
            <v>0</v>
          </cell>
          <cell r="J172">
            <v>0</v>
          </cell>
        </row>
        <row r="173">
          <cell r="A173">
            <v>96230880126</v>
          </cell>
          <cell r="B173">
            <v>45016</v>
          </cell>
          <cell r="C173" t="str">
            <v>Regular</v>
          </cell>
          <cell r="D173" t="str">
            <v>JUN (151)</v>
          </cell>
          <cell r="E173" t="str">
            <v>Jewelry</v>
          </cell>
          <cell r="F173" t="str">
            <v>Q</v>
          </cell>
          <cell r="G173">
            <v>0</v>
          </cell>
          <cell r="I173">
            <v>0</v>
          </cell>
          <cell r="J173">
            <v>0</v>
          </cell>
        </row>
        <row r="174">
          <cell r="A174">
            <v>96230880106</v>
          </cell>
          <cell r="B174">
            <v>45016</v>
          </cell>
          <cell r="C174" t="str">
            <v>Regular</v>
          </cell>
          <cell r="D174" t="str">
            <v>JUN (151)</v>
          </cell>
          <cell r="E174" t="str">
            <v>Jewelry</v>
          </cell>
          <cell r="F174" t="str">
            <v>Q</v>
          </cell>
          <cell r="G174">
            <v>0</v>
          </cell>
          <cell r="I174">
            <v>0</v>
          </cell>
          <cell r="J174">
            <v>0</v>
          </cell>
        </row>
        <row r="175">
          <cell r="A175">
            <v>96230880114</v>
          </cell>
          <cell r="B175">
            <v>45017</v>
          </cell>
          <cell r="C175" t="str">
            <v>Regular</v>
          </cell>
          <cell r="D175" t="str">
            <v>JUN (151)</v>
          </cell>
          <cell r="E175" t="str">
            <v>Jewelry</v>
          </cell>
          <cell r="F175" t="str">
            <v>Q</v>
          </cell>
          <cell r="G175">
            <v>0</v>
          </cell>
          <cell r="I175">
            <v>0</v>
          </cell>
          <cell r="J175">
            <v>0</v>
          </cell>
        </row>
        <row r="176">
          <cell r="A176">
            <v>96230900449</v>
          </cell>
          <cell r="B176">
            <v>45017</v>
          </cell>
          <cell r="C176" t="str">
            <v>Regular</v>
          </cell>
          <cell r="D176" t="str">
            <v>MARIS (619)</v>
          </cell>
          <cell r="F176" t="str">
            <v>Q V</v>
          </cell>
          <cell r="G176">
            <v>0</v>
          </cell>
          <cell r="J176">
            <v>0</v>
          </cell>
        </row>
        <row r="177">
          <cell r="A177">
            <v>96230890661</v>
          </cell>
          <cell r="B177">
            <v>45017</v>
          </cell>
          <cell r="C177" t="str">
            <v>Regular</v>
          </cell>
          <cell r="D177" t="str">
            <v>JUN (151)</v>
          </cell>
          <cell r="E177" t="str">
            <v>Jewelry</v>
          </cell>
          <cell r="F177" t="str">
            <v>Q, V</v>
          </cell>
          <cell r="G177">
            <v>0</v>
          </cell>
          <cell r="J177">
            <v>0</v>
          </cell>
        </row>
        <row r="178">
          <cell r="A178">
            <v>96230900208</v>
          </cell>
          <cell r="B178">
            <v>45017</v>
          </cell>
          <cell r="C178" t="str">
            <v>Regular</v>
          </cell>
          <cell r="D178" t="str">
            <v>JH 698</v>
          </cell>
          <cell r="F178" t="str">
            <v>Q,V,X</v>
          </cell>
          <cell r="G178">
            <v>0</v>
          </cell>
          <cell r="I178" t="str">
            <v>V</v>
          </cell>
          <cell r="J178" t="str">
            <v>X</v>
          </cell>
        </row>
        <row r="179">
          <cell r="A179">
            <v>96230890120</v>
          </cell>
          <cell r="B179">
            <v>45017</v>
          </cell>
          <cell r="C179" t="str">
            <v>Regular</v>
          </cell>
          <cell r="D179" t="str">
            <v>VYN 731</v>
          </cell>
          <cell r="E179" t="str">
            <v>DISNEY</v>
          </cell>
          <cell r="F179" t="str">
            <v>AQVX</v>
          </cell>
        </row>
        <row r="180">
          <cell r="A180">
            <v>96230890132</v>
          </cell>
          <cell r="B180">
            <v>45017</v>
          </cell>
          <cell r="C180" t="str">
            <v>Regular</v>
          </cell>
          <cell r="D180" t="str">
            <v>VYN 731</v>
          </cell>
          <cell r="E180" t="str">
            <v>DISNEY</v>
          </cell>
          <cell r="F180" t="str">
            <v>AQVX</v>
          </cell>
        </row>
        <row r="181">
          <cell r="A181" t="str">
            <v>96230800481(2)</v>
          </cell>
          <cell r="B181">
            <v>45017</v>
          </cell>
          <cell r="C181" t="str">
            <v>Regular</v>
          </cell>
          <cell r="D181" t="str">
            <v>HOANG 738</v>
          </cell>
          <cell r="F181" t="str">
            <v>Q V</v>
          </cell>
          <cell r="G181">
            <v>0</v>
          </cell>
          <cell r="J181">
            <v>0</v>
          </cell>
        </row>
        <row r="182">
          <cell r="A182" t="str">
            <v>96230800482(2)</v>
          </cell>
          <cell r="B182">
            <v>45017</v>
          </cell>
          <cell r="C182" t="str">
            <v>Regular</v>
          </cell>
          <cell r="D182" t="str">
            <v>HOANG 738</v>
          </cell>
          <cell r="F182" t="str">
            <v>V</v>
          </cell>
          <cell r="G182">
            <v>0</v>
          </cell>
          <cell r="H182">
            <v>0</v>
          </cell>
          <cell r="J182">
            <v>0</v>
          </cell>
        </row>
        <row r="183">
          <cell r="A183">
            <v>96230860427</v>
          </cell>
          <cell r="B183">
            <v>45017</v>
          </cell>
          <cell r="C183" t="str">
            <v>Regular</v>
          </cell>
          <cell r="D183" t="str">
            <v>Hardy 138</v>
          </cell>
          <cell r="E183" t="str">
            <v>COSTCO</v>
          </cell>
          <cell r="F183" t="str">
            <v>A Q V</v>
          </cell>
          <cell r="J183">
            <v>0</v>
          </cell>
        </row>
        <row r="184">
          <cell r="A184">
            <v>96230680409</v>
          </cell>
          <cell r="B184">
            <v>45017</v>
          </cell>
          <cell r="C184" t="str">
            <v>Regular</v>
          </cell>
          <cell r="D184" t="str">
            <v>HOANG 738</v>
          </cell>
          <cell r="F184" t="str">
            <v>Q V</v>
          </cell>
          <cell r="G184">
            <v>0</v>
          </cell>
          <cell r="J184">
            <v>0</v>
          </cell>
        </row>
        <row r="185">
          <cell r="A185">
            <v>96230900534</v>
          </cell>
          <cell r="B185">
            <v>45017</v>
          </cell>
          <cell r="C185" t="str">
            <v>RUSH</v>
          </cell>
          <cell r="D185" t="str">
            <v>LUK 138</v>
          </cell>
          <cell r="F185" t="str">
            <v>Q</v>
          </cell>
          <cell r="G185">
            <v>0</v>
          </cell>
          <cell r="I185">
            <v>0</v>
          </cell>
          <cell r="J185">
            <v>0</v>
          </cell>
        </row>
        <row r="186">
          <cell r="A186">
            <v>96230680278</v>
          </cell>
          <cell r="B186">
            <v>45017</v>
          </cell>
          <cell r="C186" t="str">
            <v>Regular</v>
          </cell>
          <cell r="D186" t="str">
            <v>Duy (738)</v>
          </cell>
          <cell r="F186" t="str">
            <v>Q</v>
          </cell>
          <cell r="G186">
            <v>0</v>
          </cell>
          <cell r="I186">
            <v>0</v>
          </cell>
          <cell r="J186">
            <v>0</v>
          </cell>
        </row>
        <row r="187">
          <cell r="A187">
            <v>96230880176</v>
          </cell>
          <cell r="B187">
            <v>45017</v>
          </cell>
          <cell r="C187" t="str">
            <v>Regular</v>
          </cell>
          <cell r="D187" t="str">
            <v>NGOC 697</v>
          </cell>
          <cell r="F187" t="str">
            <v>A Q V</v>
          </cell>
          <cell r="J187">
            <v>0</v>
          </cell>
        </row>
        <row r="188">
          <cell r="A188">
            <v>96230900322</v>
          </cell>
          <cell r="B188">
            <v>45017</v>
          </cell>
          <cell r="C188" t="str">
            <v>Regular</v>
          </cell>
          <cell r="D188" t="str">
            <v>VYN 731</v>
          </cell>
          <cell r="F188" t="str">
            <v>QV</v>
          </cell>
          <cell r="G188">
            <v>0</v>
          </cell>
          <cell r="J188">
            <v>0</v>
          </cell>
        </row>
        <row r="189">
          <cell r="A189">
            <v>96230900326</v>
          </cell>
          <cell r="B189">
            <v>45017</v>
          </cell>
          <cell r="C189" t="str">
            <v>Regular</v>
          </cell>
          <cell r="D189" t="str">
            <v>VYN 731</v>
          </cell>
          <cell r="F189" t="str">
            <v>QV</v>
          </cell>
          <cell r="G189">
            <v>0</v>
          </cell>
          <cell r="J189">
            <v>0</v>
          </cell>
        </row>
        <row r="190">
          <cell r="A190">
            <v>96230890327</v>
          </cell>
          <cell r="B190">
            <v>45019</v>
          </cell>
          <cell r="C190" t="str">
            <v>Regular</v>
          </cell>
          <cell r="D190" t="str">
            <v>VINCENT (698)</v>
          </cell>
          <cell r="F190" t="str">
            <v>Q</v>
          </cell>
          <cell r="G190">
            <v>0</v>
          </cell>
          <cell r="I190">
            <v>0</v>
          </cell>
          <cell r="J190">
            <v>0</v>
          </cell>
        </row>
        <row r="191">
          <cell r="A191">
            <v>96230810555</v>
          </cell>
          <cell r="B191">
            <v>45019</v>
          </cell>
          <cell r="C191" t="str">
            <v>Regular</v>
          </cell>
          <cell r="D191" t="str">
            <v>Vu 138</v>
          </cell>
          <cell r="F191" t="str">
            <v>Q</v>
          </cell>
          <cell r="G191">
            <v>0</v>
          </cell>
          <cell r="I191">
            <v>0</v>
          </cell>
          <cell r="J191">
            <v>0</v>
          </cell>
        </row>
        <row r="192">
          <cell r="A192">
            <v>96230910377</v>
          </cell>
          <cell r="B192">
            <v>45019</v>
          </cell>
          <cell r="C192" t="str">
            <v>Regular</v>
          </cell>
          <cell r="D192" t="str">
            <v>JUN (151)</v>
          </cell>
          <cell r="F192" t="str">
            <v>Q</v>
          </cell>
          <cell r="G192">
            <v>0</v>
          </cell>
          <cell r="I192">
            <v>0</v>
          </cell>
          <cell r="J192">
            <v>0</v>
          </cell>
        </row>
        <row r="193">
          <cell r="A193">
            <v>96230910378</v>
          </cell>
          <cell r="B193">
            <v>45019</v>
          </cell>
          <cell r="C193" t="str">
            <v>Regular</v>
          </cell>
          <cell r="D193" t="str">
            <v>JUN (151)</v>
          </cell>
          <cell r="F193" t="str">
            <v>Q</v>
          </cell>
          <cell r="G193">
            <v>0</v>
          </cell>
          <cell r="I193">
            <v>0</v>
          </cell>
          <cell r="J193">
            <v>0</v>
          </cell>
        </row>
        <row r="194">
          <cell r="A194">
            <v>96230840145</v>
          </cell>
          <cell r="B194">
            <v>45019</v>
          </cell>
          <cell r="C194" t="str">
            <v>Regular</v>
          </cell>
          <cell r="D194" t="str">
            <v>Vu 138</v>
          </cell>
          <cell r="F194" t="str">
            <v>Q</v>
          </cell>
          <cell r="G194">
            <v>0</v>
          </cell>
          <cell r="I194">
            <v>0</v>
          </cell>
          <cell r="J194">
            <v>0</v>
          </cell>
        </row>
        <row r="195">
          <cell r="A195">
            <v>96230900206</v>
          </cell>
          <cell r="B195">
            <v>45019</v>
          </cell>
          <cell r="C195" t="str">
            <v>Regular</v>
          </cell>
          <cell r="D195" t="str">
            <v>MINH 718</v>
          </cell>
          <cell r="F195" t="str">
            <v>Q</v>
          </cell>
          <cell r="G195">
            <v>0</v>
          </cell>
          <cell r="I195">
            <v>0</v>
          </cell>
          <cell r="J195">
            <v>0</v>
          </cell>
        </row>
        <row r="196">
          <cell r="A196">
            <v>96230900086</v>
          </cell>
          <cell r="B196">
            <v>45017</v>
          </cell>
          <cell r="C196" t="str">
            <v>Regular</v>
          </cell>
          <cell r="D196" t="str">
            <v>JOHN 738</v>
          </cell>
          <cell r="F196" t="str">
            <v>Q,V</v>
          </cell>
          <cell r="G196">
            <v>0</v>
          </cell>
          <cell r="J196">
            <v>0</v>
          </cell>
        </row>
        <row r="197">
          <cell r="A197">
            <v>96230910192</v>
          </cell>
          <cell r="B197">
            <v>45019</v>
          </cell>
          <cell r="C197" t="str">
            <v>Regular</v>
          </cell>
          <cell r="D197" t="str">
            <v>JUN (151)</v>
          </cell>
          <cell r="F197" t="str">
            <v>V</v>
          </cell>
          <cell r="G197">
            <v>0</v>
          </cell>
          <cell r="H197">
            <v>0</v>
          </cell>
          <cell r="J197">
            <v>0</v>
          </cell>
        </row>
        <row r="198">
          <cell r="A198">
            <v>96230910195</v>
          </cell>
          <cell r="B198">
            <v>45019</v>
          </cell>
          <cell r="C198" t="str">
            <v>Regular</v>
          </cell>
          <cell r="D198" t="str">
            <v>JUN (151)</v>
          </cell>
          <cell r="F198" t="str">
            <v>Q</v>
          </cell>
          <cell r="G198">
            <v>0</v>
          </cell>
          <cell r="I198">
            <v>0</v>
          </cell>
          <cell r="J198">
            <v>0</v>
          </cell>
        </row>
        <row r="199">
          <cell r="A199">
            <v>96230880339</v>
          </cell>
          <cell r="B199">
            <v>45019</v>
          </cell>
          <cell r="C199" t="str">
            <v>Regular</v>
          </cell>
          <cell r="D199" t="str">
            <v>JUN (151)</v>
          </cell>
          <cell r="F199" t="str">
            <v>Q</v>
          </cell>
          <cell r="G199">
            <v>0</v>
          </cell>
          <cell r="I199">
            <v>0</v>
          </cell>
          <cell r="J199">
            <v>0</v>
          </cell>
        </row>
        <row r="200">
          <cell r="A200">
            <v>96230910187</v>
          </cell>
          <cell r="B200">
            <v>45019</v>
          </cell>
          <cell r="C200" t="str">
            <v>Regular</v>
          </cell>
          <cell r="D200" t="str">
            <v>VYN 731</v>
          </cell>
          <cell r="E200" t="str">
            <v>DISNEY</v>
          </cell>
          <cell r="F200" t="str">
            <v>AQV</v>
          </cell>
          <cell r="J200">
            <v>0</v>
          </cell>
        </row>
        <row r="201">
          <cell r="A201">
            <v>96230910188</v>
          </cell>
          <cell r="B201">
            <v>45020</v>
          </cell>
          <cell r="C201" t="str">
            <v>Regular</v>
          </cell>
          <cell r="D201" t="str">
            <v>VYN 732</v>
          </cell>
          <cell r="E201" t="str">
            <v>DISNEY</v>
          </cell>
          <cell r="F201" t="str">
            <v>QV</v>
          </cell>
          <cell r="G201">
            <v>0</v>
          </cell>
          <cell r="J201">
            <v>0</v>
          </cell>
        </row>
        <row r="202">
          <cell r="A202">
            <v>96230910424</v>
          </cell>
          <cell r="B202">
            <v>45019</v>
          </cell>
          <cell r="C202" t="str">
            <v>Regular</v>
          </cell>
          <cell r="D202" t="str">
            <v>MINH 718</v>
          </cell>
          <cell r="F202" t="str">
            <v>Q</v>
          </cell>
          <cell r="G202">
            <v>0</v>
          </cell>
          <cell r="I202">
            <v>0</v>
          </cell>
          <cell r="J202">
            <v>0</v>
          </cell>
        </row>
        <row r="203">
          <cell r="A203">
            <v>96230930168</v>
          </cell>
          <cell r="B203">
            <v>45019</v>
          </cell>
          <cell r="C203" t="str">
            <v>Regular</v>
          </cell>
          <cell r="D203" t="str">
            <v>MARIS (619)</v>
          </cell>
          <cell r="E203" t="str">
            <v>DISNEY</v>
          </cell>
          <cell r="F203" t="str">
            <v>Q V</v>
          </cell>
          <cell r="G203">
            <v>0</v>
          </cell>
          <cell r="J203">
            <v>0</v>
          </cell>
        </row>
        <row r="204">
          <cell r="A204">
            <v>96230930170</v>
          </cell>
          <cell r="B204">
            <v>45020</v>
          </cell>
          <cell r="C204" t="str">
            <v>Regular</v>
          </cell>
          <cell r="D204" t="str">
            <v>MARIS (619)</v>
          </cell>
          <cell r="E204" t="str">
            <v>DISNEY</v>
          </cell>
          <cell r="F204" t="str">
            <v>Q V</v>
          </cell>
          <cell r="G204">
            <v>0</v>
          </cell>
          <cell r="J204">
            <v>0</v>
          </cell>
        </row>
        <row r="205">
          <cell r="A205">
            <v>96230330386</v>
          </cell>
          <cell r="B205">
            <v>45020</v>
          </cell>
          <cell r="C205" t="str">
            <v>Regular</v>
          </cell>
          <cell r="D205" t="str">
            <v>HAO 718</v>
          </cell>
          <cell r="F205" t="str">
            <v>A Q V</v>
          </cell>
          <cell r="J205">
            <v>0</v>
          </cell>
        </row>
        <row r="206">
          <cell r="A206">
            <v>96230910447</v>
          </cell>
          <cell r="B206">
            <v>45019</v>
          </cell>
          <cell r="C206" t="str">
            <v>RUSH</v>
          </cell>
          <cell r="D206" t="str">
            <v>JUN (151)</v>
          </cell>
          <cell r="F206" t="str">
            <v>A Q V</v>
          </cell>
          <cell r="J206">
            <v>0</v>
          </cell>
        </row>
        <row r="207">
          <cell r="A207">
            <v>96230910448</v>
          </cell>
          <cell r="B207">
            <v>45019</v>
          </cell>
          <cell r="C207" t="str">
            <v>RUSH</v>
          </cell>
          <cell r="D207" t="str">
            <v>JUN (151)</v>
          </cell>
          <cell r="F207" t="str">
            <v>A Q V</v>
          </cell>
          <cell r="J207">
            <v>0</v>
          </cell>
        </row>
        <row r="208">
          <cell r="A208">
            <v>96230910416</v>
          </cell>
          <cell r="B208">
            <v>45020</v>
          </cell>
          <cell r="C208" t="str">
            <v>Regular</v>
          </cell>
          <cell r="D208" t="str">
            <v>JUN (151)</v>
          </cell>
          <cell r="F208" t="str">
            <v>Q V</v>
          </cell>
          <cell r="G208">
            <v>0</v>
          </cell>
          <cell r="J208">
            <v>0</v>
          </cell>
        </row>
        <row r="209">
          <cell r="A209" t="str">
            <v>96230760734(2)</v>
          </cell>
          <cell r="B209">
            <v>45020</v>
          </cell>
          <cell r="C209" t="str">
            <v>Regular</v>
          </cell>
          <cell r="D209" t="str">
            <v>HAO 718</v>
          </cell>
          <cell r="F209" t="str">
            <v>Q V</v>
          </cell>
          <cell r="G209">
            <v>0</v>
          </cell>
          <cell r="J209">
            <v>0</v>
          </cell>
        </row>
        <row r="210">
          <cell r="A210">
            <v>96230930410</v>
          </cell>
          <cell r="B210">
            <v>45020</v>
          </cell>
          <cell r="C210" t="str">
            <v>Regular</v>
          </cell>
          <cell r="D210" t="str">
            <v>NGOC 697</v>
          </cell>
          <cell r="F210" t="str">
            <v>Q V</v>
          </cell>
          <cell r="G210">
            <v>0</v>
          </cell>
          <cell r="J210">
            <v>0</v>
          </cell>
        </row>
        <row r="211">
          <cell r="A211" t="str">
            <v>96230770452(2)</v>
          </cell>
          <cell r="B211">
            <v>45020</v>
          </cell>
          <cell r="C211" t="str">
            <v>Regular</v>
          </cell>
          <cell r="D211" t="str">
            <v>HOANG 738</v>
          </cell>
          <cell r="F211" t="str">
            <v>Q V</v>
          </cell>
          <cell r="G211">
            <v>0</v>
          </cell>
          <cell r="J211">
            <v>0</v>
          </cell>
        </row>
        <row r="212">
          <cell r="A212">
            <v>96230910428</v>
          </cell>
          <cell r="B212">
            <v>45020</v>
          </cell>
          <cell r="C212" t="str">
            <v>Regular</v>
          </cell>
          <cell r="D212" t="str">
            <v>JH 698</v>
          </cell>
          <cell r="E212" t="str">
            <v>Greenbier 2 box</v>
          </cell>
          <cell r="F212" t="str">
            <v>A,Q,V</v>
          </cell>
          <cell r="J212">
            <v>0</v>
          </cell>
        </row>
        <row r="213">
          <cell r="A213">
            <v>96230870173</v>
          </cell>
          <cell r="B213">
            <v>45020</v>
          </cell>
          <cell r="C213" t="str">
            <v>Regular</v>
          </cell>
          <cell r="D213" t="str">
            <v>Duy (738)</v>
          </cell>
          <cell r="F213" t="str">
            <v>Q</v>
          </cell>
          <cell r="G213">
            <v>0</v>
          </cell>
          <cell r="I213">
            <v>0</v>
          </cell>
          <cell r="J213">
            <v>0</v>
          </cell>
        </row>
        <row r="214">
          <cell r="A214">
            <v>96230760664</v>
          </cell>
          <cell r="B214">
            <v>45020</v>
          </cell>
          <cell r="C214" t="str">
            <v>Regular</v>
          </cell>
          <cell r="D214" t="str">
            <v>HOANG 738</v>
          </cell>
          <cell r="F214" t="str">
            <v>Q V</v>
          </cell>
          <cell r="G214">
            <v>0</v>
          </cell>
          <cell r="J214">
            <v>0</v>
          </cell>
        </row>
        <row r="215">
          <cell r="A215">
            <v>96230870113</v>
          </cell>
          <cell r="B215">
            <v>45014</v>
          </cell>
          <cell r="C215" t="str">
            <v>Regular</v>
          </cell>
          <cell r="D215" t="str">
            <v>Ducthang(EE)</v>
          </cell>
          <cell r="E215" t="str">
            <v>8 pcs</v>
          </cell>
          <cell r="F215" t="str">
            <v>Q, V, A</v>
          </cell>
          <cell r="J215">
            <v>0</v>
          </cell>
        </row>
        <row r="216">
          <cell r="A216">
            <v>96230760738</v>
          </cell>
          <cell r="B216">
            <v>45020</v>
          </cell>
          <cell r="C216" t="str">
            <v>Regular</v>
          </cell>
          <cell r="D216" t="str">
            <v>GIB 718</v>
          </cell>
          <cell r="F216" t="str">
            <v>Q</v>
          </cell>
          <cell r="G216">
            <v>0</v>
          </cell>
          <cell r="I216">
            <v>0</v>
          </cell>
          <cell r="J216">
            <v>0</v>
          </cell>
        </row>
        <row r="217">
          <cell r="A217">
            <v>96230870157</v>
          </cell>
          <cell r="B217">
            <v>45020</v>
          </cell>
          <cell r="C217" t="str">
            <v>Regular</v>
          </cell>
          <cell r="D217" t="str">
            <v>Duy (738)</v>
          </cell>
          <cell r="F217" t="str">
            <v>Q</v>
          </cell>
          <cell r="G217">
            <v>0</v>
          </cell>
          <cell r="I217">
            <v>0</v>
          </cell>
          <cell r="J217">
            <v>0</v>
          </cell>
        </row>
        <row r="218">
          <cell r="A218">
            <v>96230810334</v>
          </cell>
          <cell r="B218">
            <v>45020</v>
          </cell>
          <cell r="C218" t="str">
            <v>Regular</v>
          </cell>
          <cell r="D218" t="str">
            <v>CEP (138)</v>
          </cell>
          <cell r="F218" t="str">
            <v>Q</v>
          </cell>
          <cell r="G218">
            <v>0</v>
          </cell>
          <cell r="I218">
            <v>0</v>
          </cell>
          <cell r="J218">
            <v>0</v>
          </cell>
        </row>
        <row r="219">
          <cell r="A219" t="str">
            <v>96230650240(2)</v>
          </cell>
          <cell r="B219">
            <v>45020</v>
          </cell>
          <cell r="C219" t="str">
            <v>Regular</v>
          </cell>
          <cell r="D219" t="str">
            <v>Duy (738)</v>
          </cell>
          <cell r="F219" t="str">
            <v>Q</v>
          </cell>
          <cell r="G219">
            <v>0</v>
          </cell>
          <cell r="I219">
            <v>0</v>
          </cell>
          <cell r="J219">
            <v>0</v>
          </cell>
        </row>
        <row r="220">
          <cell r="A220" t="str">
            <v>96230900534(2)</v>
          </cell>
          <cell r="B220">
            <v>45020</v>
          </cell>
          <cell r="C220" t="str">
            <v>RUSH</v>
          </cell>
          <cell r="D220" t="str">
            <v>LUK 138</v>
          </cell>
          <cell r="F220" t="str">
            <v>Q</v>
          </cell>
          <cell r="G220">
            <v>0</v>
          </cell>
          <cell r="I220">
            <v>0</v>
          </cell>
          <cell r="J220">
            <v>0</v>
          </cell>
        </row>
        <row r="221">
          <cell r="A221">
            <v>96230930440</v>
          </cell>
          <cell r="B221">
            <v>45020</v>
          </cell>
          <cell r="C221" t="str">
            <v>Regular</v>
          </cell>
          <cell r="D221" t="str">
            <v>MARIS (619)</v>
          </cell>
          <cell r="F221" t="str">
            <v>Q V</v>
          </cell>
          <cell r="G221">
            <v>0</v>
          </cell>
          <cell r="J221">
            <v>0</v>
          </cell>
        </row>
        <row r="222">
          <cell r="A222">
            <v>96230930382</v>
          </cell>
          <cell r="B222">
            <v>45020</v>
          </cell>
          <cell r="C222" t="str">
            <v>Regular</v>
          </cell>
          <cell r="D222" t="str">
            <v>MINH 718</v>
          </cell>
          <cell r="F222" t="str">
            <v>V</v>
          </cell>
          <cell r="G222">
            <v>0</v>
          </cell>
          <cell r="H222">
            <v>0</v>
          </cell>
          <cell r="J222">
            <v>0</v>
          </cell>
        </row>
        <row r="223">
          <cell r="A223">
            <v>96230930385</v>
          </cell>
          <cell r="B223">
            <v>45020</v>
          </cell>
          <cell r="C223" t="str">
            <v>Regular</v>
          </cell>
          <cell r="D223" t="str">
            <v>MINH 718</v>
          </cell>
          <cell r="F223" t="str">
            <v>V</v>
          </cell>
          <cell r="G223">
            <v>0</v>
          </cell>
          <cell r="H223">
            <v>0</v>
          </cell>
          <cell r="J223">
            <v>0</v>
          </cell>
        </row>
        <row r="224">
          <cell r="A224">
            <v>96230730411</v>
          </cell>
          <cell r="B224">
            <v>45020</v>
          </cell>
          <cell r="C224" t="str">
            <v>Regular</v>
          </cell>
          <cell r="D224" t="str">
            <v>GIB 718</v>
          </cell>
          <cell r="F224" t="str">
            <v>Q</v>
          </cell>
          <cell r="G224">
            <v>0</v>
          </cell>
          <cell r="I224">
            <v>0</v>
          </cell>
          <cell r="J224">
            <v>0</v>
          </cell>
        </row>
        <row r="225">
          <cell r="A225" t="str">
            <v>96230700356(3)</v>
          </cell>
          <cell r="B225">
            <v>45020</v>
          </cell>
          <cell r="C225" t="str">
            <v>Regular</v>
          </cell>
          <cell r="D225" t="str">
            <v>GIB 718</v>
          </cell>
          <cell r="F225" t="str">
            <v>Q</v>
          </cell>
          <cell r="G225">
            <v>0</v>
          </cell>
          <cell r="I225">
            <v>0</v>
          </cell>
          <cell r="J225">
            <v>0</v>
          </cell>
        </row>
        <row r="226">
          <cell r="A226">
            <v>96230910064</v>
          </cell>
          <cell r="B226">
            <v>45020</v>
          </cell>
          <cell r="C226" t="str">
            <v>RUSH</v>
          </cell>
          <cell r="D226" t="str">
            <v>Duy (738)</v>
          </cell>
          <cell r="F226" t="str">
            <v>Q</v>
          </cell>
          <cell r="G226">
            <v>0</v>
          </cell>
          <cell r="I226">
            <v>0</v>
          </cell>
          <cell r="J226">
            <v>0</v>
          </cell>
        </row>
        <row r="227">
          <cell r="A227">
            <v>96230820368</v>
          </cell>
          <cell r="B227">
            <v>45020</v>
          </cell>
          <cell r="C227" t="str">
            <v>Regular</v>
          </cell>
          <cell r="D227" t="str">
            <v>CEP (138)</v>
          </cell>
          <cell r="F227" t="str">
            <v>Q</v>
          </cell>
          <cell r="G227">
            <v>0</v>
          </cell>
          <cell r="I227">
            <v>0</v>
          </cell>
          <cell r="J227">
            <v>0</v>
          </cell>
        </row>
        <row r="228">
          <cell r="A228">
            <v>96230760661</v>
          </cell>
          <cell r="B228">
            <v>45020</v>
          </cell>
          <cell r="C228" t="str">
            <v>Regular</v>
          </cell>
          <cell r="D228" t="str">
            <v>HOANG 738</v>
          </cell>
          <cell r="F228" t="str">
            <v>Q V</v>
          </cell>
          <cell r="G228">
            <v>0</v>
          </cell>
          <cell r="J228">
            <v>0</v>
          </cell>
        </row>
        <row r="229">
          <cell r="A229">
            <v>96230750673</v>
          </cell>
          <cell r="B229">
            <v>45020</v>
          </cell>
          <cell r="C229" t="str">
            <v>Regular</v>
          </cell>
          <cell r="D229" t="str">
            <v>Vu 138</v>
          </cell>
          <cell r="F229" t="str">
            <v>Q</v>
          </cell>
          <cell r="G229">
            <v>0</v>
          </cell>
          <cell r="I229">
            <v>0</v>
          </cell>
          <cell r="J229">
            <v>0</v>
          </cell>
        </row>
        <row r="230">
          <cell r="A230">
            <v>96230750678</v>
          </cell>
          <cell r="B230">
            <v>45020</v>
          </cell>
          <cell r="C230" t="str">
            <v>Regular</v>
          </cell>
          <cell r="D230" t="str">
            <v>Vu 138</v>
          </cell>
          <cell r="E230" t="str">
            <v>Refer sample 075-0673</v>
          </cell>
          <cell r="F230" t="str">
            <v>Q</v>
          </cell>
          <cell r="G230">
            <v>0</v>
          </cell>
          <cell r="I230">
            <v>0</v>
          </cell>
          <cell r="J230">
            <v>0</v>
          </cell>
        </row>
        <row r="231">
          <cell r="A231">
            <v>96230750693</v>
          </cell>
          <cell r="B231">
            <v>45020</v>
          </cell>
          <cell r="C231" t="str">
            <v>Regular</v>
          </cell>
          <cell r="D231" t="str">
            <v>Vu 138</v>
          </cell>
          <cell r="F231" t="str">
            <v>Q</v>
          </cell>
          <cell r="G231">
            <v>0</v>
          </cell>
          <cell r="I231">
            <v>0</v>
          </cell>
          <cell r="J231">
            <v>0</v>
          </cell>
        </row>
        <row r="232">
          <cell r="A232">
            <v>96230750697</v>
          </cell>
          <cell r="B232">
            <v>45020</v>
          </cell>
          <cell r="C232" t="str">
            <v>Regular</v>
          </cell>
          <cell r="D232" t="str">
            <v>Vu 138</v>
          </cell>
          <cell r="E232" t="str">
            <v>Refer sample 075-0673</v>
          </cell>
          <cell r="F232" t="str">
            <v>Q</v>
          </cell>
          <cell r="G232">
            <v>0</v>
          </cell>
          <cell r="I232">
            <v>0</v>
          </cell>
          <cell r="J232">
            <v>0</v>
          </cell>
        </row>
        <row r="233">
          <cell r="A233">
            <v>96230750701</v>
          </cell>
          <cell r="B233">
            <v>45020</v>
          </cell>
          <cell r="C233" t="str">
            <v>Regular</v>
          </cell>
          <cell r="D233" t="str">
            <v>Vu 138</v>
          </cell>
          <cell r="E233" t="str">
            <v>Refer sample 075-0693</v>
          </cell>
          <cell r="F233" t="str">
            <v>Q</v>
          </cell>
          <cell r="G233">
            <v>0</v>
          </cell>
          <cell r="I233">
            <v>0</v>
          </cell>
          <cell r="J233">
            <v>0</v>
          </cell>
        </row>
        <row r="234">
          <cell r="A234">
            <v>96230770173</v>
          </cell>
          <cell r="B234">
            <v>45020</v>
          </cell>
          <cell r="C234" t="str">
            <v>Regular</v>
          </cell>
          <cell r="D234" t="str">
            <v>Vu 138</v>
          </cell>
          <cell r="E234" t="str">
            <v>Refer sample 075-0693</v>
          </cell>
          <cell r="F234" t="str">
            <v>Q</v>
          </cell>
          <cell r="G234">
            <v>0</v>
          </cell>
          <cell r="I234">
            <v>0</v>
          </cell>
          <cell r="J234">
            <v>0</v>
          </cell>
        </row>
        <row r="235">
          <cell r="A235">
            <v>96230820071</v>
          </cell>
          <cell r="B235">
            <v>45020</v>
          </cell>
          <cell r="C235" t="str">
            <v>Regular</v>
          </cell>
          <cell r="D235" t="str">
            <v>CEP (138)</v>
          </cell>
          <cell r="F235" t="str">
            <v>Q</v>
          </cell>
          <cell r="G235">
            <v>0</v>
          </cell>
          <cell r="I235">
            <v>0</v>
          </cell>
          <cell r="J235">
            <v>0</v>
          </cell>
        </row>
        <row r="236">
          <cell r="A236">
            <v>96230790245</v>
          </cell>
          <cell r="B236">
            <v>45020</v>
          </cell>
          <cell r="C236" t="str">
            <v>Regular</v>
          </cell>
          <cell r="D236" t="str">
            <v>Vu 138</v>
          </cell>
          <cell r="F236" t="str">
            <v>Q</v>
          </cell>
          <cell r="G236">
            <v>0</v>
          </cell>
          <cell r="I236">
            <v>0</v>
          </cell>
          <cell r="J236">
            <v>0</v>
          </cell>
        </row>
        <row r="237">
          <cell r="A237">
            <v>96230820063</v>
          </cell>
          <cell r="B237">
            <v>45020</v>
          </cell>
          <cell r="C237" t="str">
            <v>Regular</v>
          </cell>
          <cell r="D237" t="str">
            <v>CEP (138)</v>
          </cell>
          <cell r="F237" t="str">
            <v>Q</v>
          </cell>
          <cell r="G237">
            <v>0</v>
          </cell>
          <cell r="I237">
            <v>0</v>
          </cell>
          <cell r="J237">
            <v>0</v>
          </cell>
        </row>
        <row r="238">
          <cell r="A238">
            <v>96230870122</v>
          </cell>
          <cell r="B238">
            <v>45020</v>
          </cell>
          <cell r="C238" t="str">
            <v>Regular</v>
          </cell>
          <cell r="D238" t="str">
            <v>GIB 718</v>
          </cell>
          <cell r="F238" t="str">
            <v>Q</v>
          </cell>
          <cell r="G238">
            <v>0</v>
          </cell>
          <cell r="I238">
            <v>0</v>
          </cell>
          <cell r="J238">
            <v>0</v>
          </cell>
        </row>
        <row r="239">
          <cell r="A239">
            <v>96230930367</v>
          </cell>
          <cell r="B239">
            <v>45020</v>
          </cell>
          <cell r="C239" t="str">
            <v>Regular</v>
          </cell>
          <cell r="D239" t="str">
            <v>LUK 138</v>
          </cell>
          <cell r="F239" t="str">
            <v>Q</v>
          </cell>
          <cell r="G239">
            <v>0</v>
          </cell>
          <cell r="I239">
            <v>0</v>
          </cell>
          <cell r="J239">
            <v>0</v>
          </cell>
        </row>
        <row r="240">
          <cell r="A240">
            <v>96230820076</v>
          </cell>
          <cell r="B240">
            <v>45020</v>
          </cell>
          <cell r="C240" t="str">
            <v>Regular</v>
          </cell>
          <cell r="D240" t="str">
            <v>CEP (138)</v>
          </cell>
          <cell r="F240" t="str">
            <v>Q</v>
          </cell>
          <cell r="G240">
            <v>0</v>
          </cell>
          <cell r="I240">
            <v>0</v>
          </cell>
          <cell r="J240">
            <v>0</v>
          </cell>
        </row>
        <row r="241">
          <cell r="A241">
            <v>96230870515</v>
          </cell>
          <cell r="B241">
            <v>45020</v>
          </cell>
          <cell r="C241" t="str">
            <v>Regular</v>
          </cell>
          <cell r="D241" t="str">
            <v>HOANG 738</v>
          </cell>
          <cell r="F241" t="str">
            <v>Q</v>
          </cell>
          <cell r="G241">
            <v>0</v>
          </cell>
          <cell r="I241">
            <v>0</v>
          </cell>
          <cell r="J241">
            <v>0</v>
          </cell>
        </row>
        <row r="242">
          <cell r="A242">
            <v>96230930426</v>
          </cell>
          <cell r="B242">
            <v>45020</v>
          </cell>
          <cell r="C242" t="str">
            <v>Regular</v>
          </cell>
          <cell r="D242" t="str">
            <v>VYN 731</v>
          </cell>
          <cell r="E242" t="str">
            <v>DISNEY</v>
          </cell>
          <cell r="F242" t="str">
            <v>QVX</v>
          </cell>
          <cell r="G242">
            <v>0</v>
          </cell>
        </row>
        <row r="243">
          <cell r="A243">
            <v>96230940020</v>
          </cell>
          <cell r="B243">
            <v>45020</v>
          </cell>
          <cell r="C243" t="str">
            <v>Regular</v>
          </cell>
          <cell r="D243" t="str">
            <v>VYN 731</v>
          </cell>
          <cell r="E243" t="str">
            <v>DISNEY</v>
          </cell>
          <cell r="F243" t="str">
            <v>AQVX</v>
          </cell>
        </row>
        <row r="244">
          <cell r="A244">
            <v>96230940026</v>
          </cell>
          <cell r="B244">
            <v>45020</v>
          </cell>
          <cell r="C244" t="str">
            <v>Regular</v>
          </cell>
          <cell r="D244" t="str">
            <v>VYN 731</v>
          </cell>
          <cell r="E244" t="str">
            <v>DISNEY</v>
          </cell>
          <cell r="F244" t="str">
            <v>AQVX</v>
          </cell>
        </row>
        <row r="245">
          <cell r="A245">
            <v>96230940186</v>
          </cell>
          <cell r="B245">
            <v>45020</v>
          </cell>
          <cell r="C245" t="str">
            <v>Regular</v>
          </cell>
          <cell r="D245" t="str">
            <v>VYN 731</v>
          </cell>
          <cell r="E245" t="str">
            <v>DISNEY</v>
          </cell>
          <cell r="F245" t="str">
            <v>QV</v>
          </cell>
          <cell r="G245">
            <v>0</v>
          </cell>
          <cell r="J245">
            <v>0</v>
          </cell>
        </row>
        <row r="246">
          <cell r="A246">
            <v>96230940199</v>
          </cell>
          <cell r="B246">
            <v>45020</v>
          </cell>
          <cell r="C246" t="str">
            <v>Regular</v>
          </cell>
          <cell r="D246" t="str">
            <v>VYN 731</v>
          </cell>
          <cell r="E246" t="str">
            <v>DISNEY, RF SP 094-0186</v>
          </cell>
          <cell r="F246" t="str">
            <v>QV</v>
          </cell>
          <cell r="G246">
            <v>0</v>
          </cell>
          <cell r="J246">
            <v>0</v>
          </cell>
        </row>
        <row r="247">
          <cell r="A247">
            <v>96230940202</v>
          </cell>
          <cell r="B247">
            <v>45020</v>
          </cell>
          <cell r="C247" t="str">
            <v>Regular</v>
          </cell>
          <cell r="D247" t="str">
            <v>VYN 731</v>
          </cell>
          <cell r="E247" t="str">
            <v>DISNEY, RF SP 094-0186</v>
          </cell>
          <cell r="F247" t="str">
            <v>QV</v>
          </cell>
          <cell r="G247">
            <v>0</v>
          </cell>
          <cell r="J247">
            <v>0</v>
          </cell>
        </row>
        <row r="248">
          <cell r="A248">
            <v>96230940204</v>
          </cell>
          <cell r="B248">
            <v>45020</v>
          </cell>
          <cell r="C248" t="str">
            <v>Regular</v>
          </cell>
          <cell r="D248" t="str">
            <v>VYN 731</v>
          </cell>
          <cell r="E248" t="str">
            <v>DISNEY, RF SP 094-0186</v>
          </cell>
          <cell r="F248" t="str">
            <v>AQV</v>
          </cell>
          <cell r="J248">
            <v>0</v>
          </cell>
        </row>
        <row r="249">
          <cell r="A249">
            <v>96230940208</v>
          </cell>
          <cell r="B249">
            <v>45020</v>
          </cell>
          <cell r="C249" t="str">
            <v>Regular</v>
          </cell>
          <cell r="D249" t="str">
            <v>VYN 731</v>
          </cell>
          <cell r="E249" t="str">
            <v>DISNEY, RF SP 094-0186</v>
          </cell>
          <cell r="F249" t="str">
            <v>QV</v>
          </cell>
          <cell r="G249">
            <v>0</v>
          </cell>
          <cell r="J249">
            <v>0</v>
          </cell>
        </row>
        <row r="250">
          <cell r="A250">
            <v>96230940209</v>
          </cell>
          <cell r="B250">
            <v>45020</v>
          </cell>
          <cell r="C250" t="str">
            <v>Regular</v>
          </cell>
          <cell r="D250" t="str">
            <v>VYN 731</v>
          </cell>
          <cell r="E250" t="str">
            <v>DISNEY, RF SP 094-0186</v>
          </cell>
          <cell r="F250" t="str">
            <v>QV</v>
          </cell>
          <cell r="G250">
            <v>0</v>
          </cell>
          <cell r="J250">
            <v>0</v>
          </cell>
        </row>
        <row r="251">
          <cell r="A251">
            <v>96230940210</v>
          </cell>
          <cell r="B251">
            <v>45020</v>
          </cell>
          <cell r="C251" t="str">
            <v>Regular</v>
          </cell>
          <cell r="D251" t="str">
            <v>VYN 731</v>
          </cell>
          <cell r="E251" t="str">
            <v>DISNEY, RF SP 094-0186</v>
          </cell>
          <cell r="F251" t="str">
            <v>QV</v>
          </cell>
          <cell r="G251">
            <v>0</v>
          </cell>
          <cell r="J251">
            <v>0</v>
          </cell>
        </row>
        <row r="252">
          <cell r="A252">
            <v>96230940211</v>
          </cell>
          <cell r="B252">
            <v>45020</v>
          </cell>
          <cell r="C252" t="str">
            <v>Regular</v>
          </cell>
          <cell r="D252" t="str">
            <v>VYN 731</v>
          </cell>
          <cell r="E252" t="str">
            <v>DISNEY, RF SP 094-0186</v>
          </cell>
          <cell r="F252" t="str">
            <v>QV</v>
          </cell>
          <cell r="G252">
            <v>0</v>
          </cell>
          <cell r="J252">
            <v>0</v>
          </cell>
        </row>
        <row r="253">
          <cell r="A253">
            <v>96230940212</v>
          </cell>
          <cell r="B253">
            <v>45020</v>
          </cell>
          <cell r="C253" t="str">
            <v>Regular</v>
          </cell>
          <cell r="D253" t="str">
            <v>VYN 731</v>
          </cell>
          <cell r="E253" t="str">
            <v>DISNEY, RF SP 094-0186</v>
          </cell>
          <cell r="F253" t="str">
            <v>QV</v>
          </cell>
          <cell r="G253">
            <v>0</v>
          </cell>
          <cell r="J253">
            <v>0</v>
          </cell>
        </row>
        <row r="254">
          <cell r="A254">
            <v>96230930108</v>
          </cell>
          <cell r="B254">
            <v>45020</v>
          </cell>
          <cell r="C254" t="str">
            <v>Regular</v>
          </cell>
          <cell r="D254" t="str">
            <v>HUYEN 151</v>
          </cell>
          <cell r="F254" t="str">
            <v>Q</v>
          </cell>
          <cell r="G254">
            <v>0</v>
          </cell>
          <cell r="I254">
            <v>0</v>
          </cell>
          <cell r="J254">
            <v>0</v>
          </cell>
        </row>
        <row r="255">
          <cell r="A255">
            <v>96230930106</v>
          </cell>
          <cell r="B255">
            <v>45020</v>
          </cell>
          <cell r="C255" t="str">
            <v>Regular</v>
          </cell>
          <cell r="D255" t="str">
            <v>HUYEN 151</v>
          </cell>
          <cell r="F255" t="str">
            <v>Q</v>
          </cell>
          <cell r="G255">
            <v>0</v>
          </cell>
          <cell r="I255">
            <v>0</v>
          </cell>
          <cell r="J255">
            <v>0</v>
          </cell>
        </row>
        <row r="256">
          <cell r="A256">
            <v>96230930105</v>
          </cell>
          <cell r="B256">
            <v>45020</v>
          </cell>
          <cell r="C256" t="str">
            <v>Regular</v>
          </cell>
          <cell r="D256" t="str">
            <v>HUYEN 151</v>
          </cell>
          <cell r="F256" t="str">
            <v>Q</v>
          </cell>
          <cell r="G256">
            <v>0</v>
          </cell>
          <cell r="I256">
            <v>0</v>
          </cell>
          <cell r="J256">
            <v>0</v>
          </cell>
        </row>
        <row r="257">
          <cell r="A257">
            <v>96230930103</v>
          </cell>
          <cell r="B257">
            <v>45020</v>
          </cell>
          <cell r="C257" t="str">
            <v>Regular</v>
          </cell>
          <cell r="D257" t="str">
            <v>HUYEN 151</v>
          </cell>
          <cell r="F257" t="str">
            <v>Q</v>
          </cell>
          <cell r="G257">
            <v>0</v>
          </cell>
          <cell r="I257">
            <v>0</v>
          </cell>
          <cell r="J257">
            <v>0</v>
          </cell>
        </row>
        <row r="258">
          <cell r="A258">
            <v>96230930102</v>
          </cell>
          <cell r="B258">
            <v>45020</v>
          </cell>
          <cell r="C258" t="str">
            <v>Regular</v>
          </cell>
          <cell r="D258" t="str">
            <v>HUYEN 151</v>
          </cell>
          <cell r="F258" t="str">
            <v>Q</v>
          </cell>
          <cell r="G258">
            <v>0</v>
          </cell>
          <cell r="I258">
            <v>0</v>
          </cell>
          <cell r="J258">
            <v>0</v>
          </cell>
        </row>
        <row r="259">
          <cell r="A259">
            <v>96230890184</v>
          </cell>
          <cell r="B259">
            <v>45021</v>
          </cell>
          <cell r="C259" t="str">
            <v>Regular</v>
          </cell>
          <cell r="D259" t="str">
            <v>VYN 731</v>
          </cell>
          <cell r="E259" t="str">
            <v>DISNEY</v>
          </cell>
          <cell r="F259" t="str">
            <v>QXV</v>
          </cell>
          <cell r="G259">
            <v>0</v>
          </cell>
        </row>
        <row r="260">
          <cell r="A260">
            <v>96230890187</v>
          </cell>
          <cell r="B260">
            <v>45021</v>
          </cell>
          <cell r="C260" t="str">
            <v>Regular</v>
          </cell>
          <cell r="D260" t="str">
            <v>VYN 731</v>
          </cell>
          <cell r="E260" t="str">
            <v>DISNEY</v>
          </cell>
          <cell r="F260" t="str">
            <v>QXV</v>
          </cell>
          <cell r="G260">
            <v>0</v>
          </cell>
        </row>
        <row r="261">
          <cell r="A261">
            <v>96230890190</v>
          </cell>
          <cell r="B261">
            <v>45021</v>
          </cell>
          <cell r="C261" t="str">
            <v>Regular</v>
          </cell>
          <cell r="D261" t="str">
            <v>VYN 731</v>
          </cell>
          <cell r="E261" t="str">
            <v>DISNEY</v>
          </cell>
          <cell r="F261" t="str">
            <v>QXV</v>
          </cell>
          <cell r="G261">
            <v>0</v>
          </cell>
        </row>
        <row r="262">
          <cell r="A262">
            <v>96230870786</v>
          </cell>
          <cell r="B262">
            <v>45021</v>
          </cell>
          <cell r="C262" t="str">
            <v>Regular</v>
          </cell>
          <cell r="D262" t="str">
            <v>CEP (138)</v>
          </cell>
          <cell r="F262" t="str">
            <v>Q</v>
          </cell>
          <cell r="G262">
            <v>0</v>
          </cell>
          <cell r="I262">
            <v>0</v>
          </cell>
          <cell r="J262">
            <v>0</v>
          </cell>
        </row>
        <row r="263">
          <cell r="A263">
            <v>96230940228</v>
          </cell>
          <cell r="B263">
            <v>45021</v>
          </cell>
          <cell r="C263" t="str">
            <v>Regular</v>
          </cell>
          <cell r="D263" t="str">
            <v>MINH 718</v>
          </cell>
          <cell r="F263" t="str">
            <v>Q</v>
          </cell>
          <cell r="G263">
            <v>0</v>
          </cell>
          <cell r="I263">
            <v>0</v>
          </cell>
          <cell r="J263">
            <v>0</v>
          </cell>
        </row>
        <row r="264">
          <cell r="A264">
            <v>96230940037</v>
          </cell>
          <cell r="B264">
            <v>45021</v>
          </cell>
          <cell r="C264" t="str">
            <v>Regular</v>
          </cell>
          <cell r="D264" t="str">
            <v>JH 698</v>
          </cell>
          <cell r="E264" t="str">
            <v>DISNEY</v>
          </cell>
          <cell r="F264" t="str">
            <v>A,Q,V,X</v>
          </cell>
        </row>
        <row r="265">
          <cell r="A265">
            <v>96230940041</v>
          </cell>
          <cell r="B265">
            <v>45021</v>
          </cell>
          <cell r="C265" t="str">
            <v>Regular</v>
          </cell>
          <cell r="D265" t="str">
            <v>JH 698</v>
          </cell>
          <cell r="E265" t="str">
            <v>RF SP 96230940037 - DISNEY</v>
          </cell>
          <cell r="F265" t="str">
            <v>A,Q,V,X</v>
          </cell>
        </row>
        <row r="266">
          <cell r="A266">
            <v>96230930111</v>
          </cell>
          <cell r="B266">
            <v>45021</v>
          </cell>
          <cell r="C266" t="str">
            <v>Regular</v>
          </cell>
          <cell r="D266" t="str">
            <v>JH 698</v>
          </cell>
          <cell r="E266" t="str">
            <v xml:space="preserve">DISNEY </v>
          </cell>
          <cell r="F266" t="str">
            <v>A,Q,V,X</v>
          </cell>
        </row>
        <row r="267">
          <cell r="A267">
            <v>96230860477</v>
          </cell>
          <cell r="B267">
            <v>45021</v>
          </cell>
          <cell r="C267" t="str">
            <v>RUSH</v>
          </cell>
          <cell r="D267" t="str">
            <v>GIB 718</v>
          </cell>
          <cell r="F267" t="str">
            <v>Q V</v>
          </cell>
          <cell r="G267">
            <v>0</v>
          </cell>
          <cell r="J267">
            <v>0</v>
          </cell>
        </row>
        <row r="268">
          <cell r="A268">
            <v>96230870651</v>
          </cell>
          <cell r="B268">
            <v>45021</v>
          </cell>
          <cell r="C268" t="str">
            <v>Regular</v>
          </cell>
          <cell r="D268" t="str">
            <v>HOANG 738</v>
          </cell>
          <cell r="F268" t="str">
            <v>Q</v>
          </cell>
          <cell r="G268">
            <v>0</v>
          </cell>
          <cell r="I268">
            <v>0</v>
          </cell>
          <cell r="J268">
            <v>0</v>
          </cell>
        </row>
        <row r="269">
          <cell r="A269">
            <v>96230930445</v>
          </cell>
          <cell r="B269">
            <v>45021</v>
          </cell>
          <cell r="C269" t="str">
            <v>Regular</v>
          </cell>
          <cell r="D269" t="str">
            <v>LUK 138</v>
          </cell>
          <cell r="F269" t="str">
            <v>Q V A</v>
          </cell>
          <cell r="J269">
            <v>0</v>
          </cell>
        </row>
        <row r="270">
          <cell r="A270">
            <v>96230940302</v>
          </cell>
          <cell r="B270">
            <v>45021</v>
          </cell>
          <cell r="C270" t="str">
            <v>Regular</v>
          </cell>
          <cell r="D270" t="str">
            <v>JH 698</v>
          </cell>
          <cell r="E270" t="str">
            <v>DISNEY</v>
          </cell>
          <cell r="F270" t="str">
            <v>Q,V</v>
          </cell>
          <cell r="G270">
            <v>0</v>
          </cell>
          <cell r="J270">
            <v>0</v>
          </cell>
        </row>
        <row r="271">
          <cell r="A271">
            <v>96230940303</v>
          </cell>
          <cell r="B271">
            <v>45021</v>
          </cell>
          <cell r="C271" t="str">
            <v>Regular</v>
          </cell>
          <cell r="D271" t="str">
            <v>JH 698</v>
          </cell>
          <cell r="E271" t="str">
            <v>DISNEY</v>
          </cell>
          <cell r="F271" t="str">
            <v>Q,V</v>
          </cell>
          <cell r="G271">
            <v>0</v>
          </cell>
          <cell r="J271">
            <v>0</v>
          </cell>
        </row>
        <row r="272">
          <cell r="A272">
            <v>96230940304</v>
          </cell>
          <cell r="B272">
            <v>45021</v>
          </cell>
          <cell r="C272" t="str">
            <v>Regular</v>
          </cell>
          <cell r="D272" t="str">
            <v>JH 698</v>
          </cell>
          <cell r="E272" t="str">
            <v>DISNEY</v>
          </cell>
          <cell r="F272" t="str">
            <v>Q,V</v>
          </cell>
          <cell r="G272">
            <v>0</v>
          </cell>
          <cell r="J272">
            <v>0</v>
          </cell>
        </row>
        <row r="273">
          <cell r="A273">
            <v>96230950078</v>
          </cell>
          <cell r="B273">
            <v>45021</v>
          </cell>
          <cell r="C273" t="str">
            <v>Regular</v>
          </cell>
          <cell r="D273" t="str">
            <v>JH 698</v>
          </cell>
          <cell r="E273" t="str">
            <v>MATTEL (2 set + raw)</v>
          </cell>
          <cell r="F273" t="str">
            <v>Q,V</v>
          </cell>
          <cell r="G273">
            <v>0</v>
          </cell>
          <cell r="J273">
            <v>0</v>
          </cell>
        </row>
        <row r="274">
          <cell r="A274">
            <v>96230860390</v>
          </cell>
          <cell r="B274">
            <v>45021</v>
          </cell>
          <cell r="C274" t="str">
            <v>Regular</v>
          </cell>
          <cell r="D274" t="str">
            <v>Vu 138</v>
          </cell>
          <cell r="F274" t="str">
            <v>Q</v>
          </cell>
          <cell r="G274">
            <v>0</v>
          </cell>
          <cell r="I274">
            <v>0</v>
          </cell>
          <cell r="J274">
            <v>0</v>
          </cell>
        </row>
        <row r="275">
          <cell r="A275">
            <v>96230930173</v>
          </cell>
          <cell r="B275">
            <v>45021</v>
          </cell>
          <cell r="C275" t="str">
            <v>Regular</v>
          </cell>
          <cell r="D275" t="str">
            <v>VINCENT (698)</v>
          </cell>
          <cell r="F275" t="str">
            <v>Q, V</v>
          </cell>
          <cell r="G275">
            <v>0</v>
          </cell>
          <cell r="J275">
            <v>0</v>
          </cell>
        </row>
        <row r="276">
          <cell r="A276">
            <v>96230930201</v>
          </cell>
          <cell r="B276">
            <v>45021</v>
          </cell>
          <cell r="C276" t="str">
            <v>Regular</v>
          </cell>
          <cell r="D276" t="str">
            <v>VINCENT (698)</v>
          </cell>
          <cell r="F276" t="str">
            <v>V</v>
          </cell>
          <cell r="G276">
            <v>0</v>
          </cell>
          <cell r="H276">
            <v>0</v>
          </cell>
          <cell r="J276">
            <v>0</v>
          </cell>
        </row>
        <row r="277">
          <cell r="A277">
            <v>96230930198</v>
          </cell>
          <cell r="B277">
            <v>45021</v>
          </cell>
          <cell r="C277" t="str">
            <v>Regular</v>
          </cell>
          <cell r="D277" t="str">
            <v>VINCENT (698)</v>
          </cell>
          <cell r="F277" t="str">
            <v>Q, V</v>
          </cell>
          <cell r="G277">
            <v>0</v>
          </cell>
          <cell r="J277">
            <v>0</v>
          </cell>
        </row>
        <row r="278">
          <cell r="A278">
            <v>96230670708</v>
          </cell>
          <cell r="B278">
            <v>45021</v>
          </cell>
          <cell r="C278" t="str">
            <v>Regular</v>
          </cell>
          <cell r="D278" t="str">
            <v>HOANG 738</v>
          </cell>
          <cell r="F278" t="str">
            <v>Q</v>
          </cell>
          <cell r="G278">
            <v>0</v>
          </cell>
          <cell r="I278">
            <v>0</v>
          </cell>
          <cell r="J278">
            <v>0</v>
          </cell>
        </row>
        <row r="279">
          <cell r="A279" t="str">
            <v>96230750770(2)</v>
          </cell>
          <cell r="B279">
            <v>45021</v>
          </cell>
          <cell r="C279" t="str">
            <v>Regular</v>
          </cell>
          <cell r="D279" t="str">
            <v>Duy (738)</v>
          </cell>
          <cell r="F279" t="str">
            <v>Q</v>
          </cell>
          <cell r="G279">
            <v>0</v>
          </cell>
          <cell r="I279">
            <v>0</v>
          </cell>
          <cell r="J279">
            <v>0</v>
          </cell>
        </row>
        <row r="280">
          <cell r="A280">
            <v>96230860392</v>
          </cell>
          <cell r="B280">
            <v>45021</v>
          </cell>
          <cell r="C280" t="str">
            <v>Regular</v>
          </cell>
          <cell r="D280" t="str">
            <v>Vu 138</v>
          </cell>
          <cell r="F280" t="str">
            <v>Q</v>
          </cell>
          <cell r="G280">
            <v>0</v>
          </cell>
          <cell r="I280">
            <v>0</v>
          </cell>
          <cell r="J280">
            <v>0</v>
          </cell>
        </row>
        <row r="281">
          <cell r="A281">
            <v>96230930373</v>
          </cell>
          <cell r="B281">
            <v>45021</v>
          </cell>
          <cell r="C281" t="str">
            <v>Regular</v>
          </cell>
          <cell r="D281" t="str">
            <v>HAO 718</v>
          </cell>
          <cell r="F281" t="str">
            <v>Q</v>
          </cell>
          <cell r="G281">
            <v>0</v>
          </cell>
          <cell r="I281">
            <v>0</v>
          </cell>
          <cell r="J281">
            <v>0</v>
          </cell>
        </row>
        <row r="282">
          <cell r="A282">
            <v>96230940006</v>
          </cell>
          <cell r="B282">
            <v>45021</v>
          </cell>
          <cell r="C282" t="str">
            <v>Regular</v>
          </cell>
          <cell r="D282" t="str">
            <v>NGOC 697</v>
          </cell>
          <cell r="E282" t="str">
            <v>DISNEY</v>
          </cell>
          <cell r="F282" t="str">
            <v>A Q V</v>
          </cell>
          <cell r="J282">
            <v>0</v>
          </cell>
        </row>
        <row r="283">
          <cell r="A283">
            <v>96230940074</v>
          </cell>
          <cell r="B283">
            <v>45021</v>
          </cell>
          <cell r="C283" t="str">
            <v>Regular</v>
          </cell>
          <cell r="D283" t="str">
            <v>NGOC 697</v>
          </cell>
          <cell r="E283" t="str">
            <v>DISNEY</v>
          </cell>
          <cell r="F283" t="str">
            <v>A Q V</v>
          </cell>
          <cell r="J283">
            <v>0</v>
          </cell>
        </row>
        <row r="284">
          <cell r="A284">
            <v>96230940365</v>
          </cell>
          <cell r="B284">
            <v>45021</v>
          </cell>
          <cell r="C284" t="str">
            <v>Regular</v>
          </cell>
          <cell r="D284" t="str">
            <v>NGOC 697</v>
          </cell>
          <cell r="E284" t="str">
            <v>DISNEY</v>
          </cell>
          <cell r="F284" t="str">
            <v>A Q V</v>
          </cell>
          <cell r="J284">
            <v>0</v>
          </cell>
        </row>
        <row r="285">
          <cell r="A285">
            <v>96230940366</v>
          </cell>
          <cell r="B285">
            <v>45021</v>
          </cell>
          <cell r="C285" t="str">
            <v>Regular</v>
          </cell>
          <cell r="D285" t="str">
            <v>NGOC 697</v>
          </cell>
          <cell r="E285" t="str">
            <v>DISNEY</v>
          </cell>
          <cell r="F285" t="str">
            <v>A Q V</v>
          </cell>
          <cell r="J285">
            <v>0</v>
          </cell>
        </row>
        <row r="286">
          <cell r="A286">
            <v>96230940368</v>
          </cell>
          <cell r="B286">
            <v>45021</v>
          </cell>
          <cell r="C286" t="str">
            <v>Regular</v>
          </cell>
          <cell r="D286" t="str">
            <v>NGOC 697</v>
          </cell>
          <cell r="E286" t="str">
            <v>DISNEY</v>
          </cell>
          <cell r="F286" t="str">
            <v>A Q V</v>
          </cell>
          <cell r="J286">
            <v>0</v>
          </cell>
        </row>
        <row r="287">
          <cell r="A287">
            <v>96230880332</v>
          </cell>
          <cell r="B287">
            <v>45021</v>
          </cell>
          <cell r="C287" t="str">
            <v>Regular</v>
          </cell>
          <cell r="D287" t="str">
            <v>Vu 138</v>
          </cell>
          <cell r="F287" t="str">
            <v>Q V</v>
          </cell>
          <cell r="G287">
            <v>0</v>
          </cell>
          <cell r="J287">
            <v>0</v>
          </cell>
        </row>
        <row r="288">
          <cell r="A288">
            <v>96230880334</v>
          </cell>
          <cell r="B288">
            <v>45021</v>
          </cell>
          <cell r="C288" t="str">
            <v>Regular</v>
          </cell>
          <cell r="D288" t="str">
            <v>Vu 138</v>
          </cell>
          <cell r="E288" t="str">
            <v>RF SP Packaging 088-0332</v>
          </cell>
          <cell r="F288" t="str">
            <v>Q V</v>
          </cell>
          <cell r="G288">
            <v>0</v>
          </cell>
          <cell r="J288">
            <v>0</v>
          </cell>
        </row>
        <row r="289">
          <cell r="A289">
            <v>96230950075</v>
          </cell>
          <cell r="B289">
            <v>45021</v>
          </cell>
          <cell r="C289" t="str">
            <v>Regular</v>
          </cell>
          <cell r="D289" t="str">
            <v>VYN 731</v>
          </cell>
          <cell r="E289" t="str">
            <v>DISNEY</v>
          </cell>
          <cell r="F289" t="str">
            <v>AQVX</v>
          </cell>
        </row>
        <row r="290">
          <cell r="A290">
            <v>96230950082</v>
          </cell>
          <cell r="B290">
            <v>45021</v>
          </cell>
          <cell r="C290" t="str">
            <v>Regular</v>
          </cell>
          <cell r="D290" t="str">
            <v>VYN 731</v>
          </cell>
          <cell r="E290" t="str">
            <v>DISNEY</v>
          </cell>
          <cell r="F290" t="str">
            <v>AQVX</v>
          </cell>
        </row>
        <row r="291">
          <cell r="A291">
            <v>96230950083</v>
          </cell>
          <cell r="B291">
            <v>45021</v>
          </cell>
          <cell r="C291" t="str">
            <v>Regular</v>
          </cell>
          <cell r="D291" t="str">
            <v>VYN 731</v>
          </cell>
          <cell r="E291" t="str">
            <v>DISNEY</v>
          </cell>
          <cell r="F291" t="str">
            <v>AQVX</v>
          </cell>
        </row>
        <row r="292">
          <cell r="A292">
            <v>96230930321</v>
          </cell>
          <cell r="B292">
            <v>45021</v>
          </cell>
          <cell r="C292" t="str">
            <v>Regular</v>
          </cell>
          <cell r="D292" t="str">
            <v>JH 698</v>
          </cell>
          <cell r="F292" t="str">
            <v>Q,V,X</v>
          </cell>
          <cell r="G292">
            <v>0</v>
          </cell>
          <cell r="J292" t="str">
            <v>X</v>
          </cell>
        </row>
        <row r="293">
          <cell r="A293">
            <v>96230930323</v>
          </cell>
          <cell r="B293">
            <v>45021</v>
          </cell>
          <cell r="C293" t="str">
            <v>Regular</v>
          </cell>
          <cell r="D293" t="str">
            <v>JH 698</v>
          </cell>
          <cell r="F293" t="str">
            <v>Q,V,X</v>
          </cell>
          <cell r="G293">
            <v>0</v>
          </cell>
          <cell r="J293" t="str">
            <v>X</v>
          </cell>
        </row>
        <row r="294">
          <cell r="A294">
            <v>96230930325</v>
          </cell>
          <cell r="B294">
            <v>45021</v>
          </cell>
          <cell r="C294" t="str">
            <v>Regular</v>
          </cell>
          <cell r="D294" t="str">
            <v>JH 698</v>
          </cell>
          <cell r="F294" t="str">
            <v>Q,V,X</v>
          </cell>
          <cell r="G294">
            <v>0</v>
          </cell>
          <cell r="J294" t="str">
            <v>X</v>
          </cell>
        </row>
        <row r="295">
          <cell r="A295">
            <v>96230930327</v>
          </cell>
          <cell r="B295">
            <v>45021</v>
          </cell>
          <cell r="C295" t="str">
            <v>Regular</v>
          </cell>
          <cell r="D295" t="str">
            <v>JH 698</v>
          </cell>
          <cell r="F295" t="str">
            <v>Q,V,X</v>
          </cell>
          <cell r="G295">
            <v>0</v>
          </cell>
          <cell r="J295" t="str">
            <v>X</v>
          </cell>
        </row>
        <row r="296">
          <cell r="A296">
            <v>96230820597</v>
          </cell>
          <cell r="B296">
            <v>45021</v>
          </cell>
          <cell r="C296" t="str">
            <v>Regular</v>
          </cell>
          <cell r="D296" t="str">
            <v>HOANG 738</v>
          </cell>
          <cell r="F296" t="str">
            <v>Q V</v>
          </cell>
          <cell r="G296">
            <v>0</v>
          </cell>
          <cell r="J296">
            <v>0</v>
          </cell>
        </row>
        <row r="297">
          <cell r="A297">
            <v>96230860198</v>
          </cell>
          <cell r="B297">
            <v>45021</v>
          </cell>
          <cell r="C297" t="str">
            <v>Regular</v>
          </cell>
          <cell r="D297" t="str">
            <v>HOANG 738</v>
          </cell>
          <cell r="F297" t="str">
            <v>Q</v>
          </cell>
          <cell r="G297">
            <v>0</v>
          </cell>
          <cell r="I297">
            <v>0</v>
          </cell>
          <cell r="J297">
            <v>0</v>
          </cell>
        </row>
        <row r="298">
          <cell r="A298">
            <v>96230940057</v>
          </cell>
          <cell r="B298">
            <v>45021</v>
          </cell>
          <cell r="C298" t="str">
            <v>Regular</v>
          </cell>
          <cell r="D298" t="str">
            <v>HUYEN 151</v>
          </cell>
          <cell r="F298" t="str">
            <v>Q</v>
          </cell>
          <cell r="G298">
            <v>0</v>
          </cell>
          <cell r="I298">
            <v>0</v>
          </cell>
          <cell r="J298">
            <v>0</v>
          </cell>
        </row>
        <row r="299">
          <cell r="A299">
            <v>96230950608</v>
          </cell>
          <cell r="B299">
            <v>45021</v>
          </cell>
          <cell r="C299" t="str">
            <v>Regular</v>
          </cell>
          <cell r="D299" t="str">
            <v>NGOC 697</v>
          </cell>
          <cell r="F299" t="str">
            <v>Q V</v>
          </cell>
          <cell r="G299">
            <v>0</v>
          </cell>
          <cell r="J299">
            <v>0</v>
          </cell>
        </row>
        <row r="300">
          <cell r="A300">
            <v>96230810128</v>
          </cell>
          <cell r="B300">
            <v>45021</v>
          </cell>
          <cell r="C300" t="str">
            <v>Regular</v>
          </cell>
          <cell r="D300" t="str">
            <v>GIB 718</v>
          </cell>
          <cell r="F300" t="str">
            <v>Q</v>
          </cell>
          <cell r="G300">
            <v>0</v>
          </cell>
          <cell r="I300">
            <v>0</v>
          </cell>
          <cell r="J300">
            <v>0</v>
          </cell>
        </row>
        <row r="301">
          <cell r="A301">
            <v>96230940116</v>
          </cell>
          <cell r="B301">
            <v>45021</v>
          </cell>
          <cell r="C301" t="str">
            <v>Regular</v>
          </cell>
          <cell r="D301" t="str">
            <v>VINCENT (698)</v>
          </cell>
          <cell r="F301" t="str">
            <v>Q, V</v>
          </cell>
          <cell r="G301">
            <v>0</v>
          </cell>
          <cell r="J301">
            <v>0</v>
          </cell>
        </row>
        <row r="302">
          <cell r="A302">
            <v>96230950070</v>
          </cell>
          <cell r="B302">
            <v>45021</v>
          </cell>
          <cell r="C302" t="str">
            <v>Regular</v>
          </cell>
          <cell r="D302" t="str">
            <v>MARIS (619)</v>
          </cell>
          <cell r="F302" t="str">
            <v>Q, V</v>
          </cell>
          <cell r="G302">
            <v>0</v>
          </cell>
          <cell r="J302">
            <v>0</v>
          </cell>
        </row>
        <row r="303">
          <cell r="A303">
            <v>96230940447</v>
          </cell>
          <cell r="B303">
            <v>45021</v>
          </cell>
          <cell r="C303" t="str">
            <v>Regular</v>
          </cell>
          <cell r="D303" t="str">
            <v>MARIS (619)</v>
          </cell>
          <cell r="F303" t="str">
            <v>Q</v>
          </cell>
          <cell r="G303">
            <v>0</v>
          </cell>
          <cell r="I303">
            <v>0</v>
          </cell>
          <cell r="J303">
            <v>0</v>
          </cell>
        </row>
        <row r="304">
          <cell r="A304">
            <v>96230950322</v>
          </cell>
          <cell r="B304">
            <v>45022</v>
          </cell>
          <cell r="C304" t="str">
            <v>Regular</v>
          </cell>
          <cell r="D304" t="str">
            <v>MARIS (619)</v>
          </cell>
          <cell r="E304" t="str">
            <v>DISNEY</v>
          </cell>
          <cell r="F304" t="str">
            <v>A Q V</v>
          </cell>
          <cell r="J304">
            <v>0</v>
          </cell>
        </row>
        <row r="305">
          <cell r="A305">
            <v>96230950323</v>
          </cell>
          <cell r="B305">
            <v>45022</v>
          </cell>
          <cell r="C305" t="str">
            <v>Regular</v>
          </cell>
          <cell r="D305" t="str">
            <v>MARIS (619)</v>
          </cell>
          <cell r="E305" t="str">
            <v>RF SP 96230950322 - DISNEY</v>
          </cell>
          <cell r="F305" t="str">
            <v>Q V</v>
          </cell>
          <cell r="G305">
            <v>0</v>
          </cell>
          <cell r="J305">
            <v>0</v>
          </cell>
        </row>
        <row r="306">
          <cell r="A306">
            <v>96230950330</v>
          </cell>
          <cell r="B306">
            <v>45022</v>
          </cell>
          <cell r="C306" t="str">
            <v>Regular</v>
          </cell>
          <cell r="D306" t="str">
            <v>MARIS (619)</v>
          </cell>
          <cell r="E306" t="str">
            <v>RF SP 96230950322 - DISNEY</v>
          </cell>
          <cell r="F306" t="str">
            <v>A Q V</v>
          </cell>
          <cell r="J306">
            <v>0</v>
          </cell>
        </row>
        <row r="307">
          <cell r="A307">
            <v>96230950328</v>
          </cell>
          <cell r="B307">
            <v>45022</v>
          </cell>
          <cell r="C307" t="str">
            <v>Regular</v>
          </cell>
          <cell r="D307" t="str">
            <v>MARIS (619)</v>
          </cell>
          <cell r="E307" t="str">
            <v>RF SP 96230950322 - DISNEY</v>
          </cell>
          <cell r="F307" t="str">
            <v>A Q V</v>
          </cell>
          <cell r="J307">
            <v>0</v>
          </cell>
        </row>
        <row r="308">
          <cell r="A308">
            <v>96230950329</v>
          </cell>
          <cell r="B308">
            <v>45022</v>
          </cell>
          <cell r="C308" t="str">
            <v>Regular</v>
          </cell>
          <cell r="D308" t="str">
            <v>MARIS (619)</v>
          </cell>
          <cell r="E308" t="str">
            <v>RF SP 96230950322 - DISNEY</v>
          </cell>
          <cell r="F308" t="str">
            <v>Q V</v>
          </cell>
          <cell r="G308">
            <v>0</v>
          </cell>
          <cell r="J308">
            <v>0</v>
          </cell>
        </row>
        <row r="309">
          <cell r="A309">
            <v>96230950327</v>
          </cell>
          <cell r="B309">
            <v>45022</v>
          </cell>
          <cell r="C309" t="str">
            <v>Regular</v>
          </cell>
          <cell r="D309" t="str">
            <v>MARIS (619)</v>
          </cell>
          <cell r="E309" t="str">
            <v>RF SP 96230950322 - DISNEY</v>
          </cell>
          <cell r="F309" t="str">
            <v>A Q V</v>
          </cell>
          <cell r="J309">
            <v>0</v>
          </cell>
        </row>
        <row r="310">
          <cell r="A310">
            <v>96230950326</v>
          </cell>
          <cell r="B310">
            <v>45022</v>
          </cell>
          <cell r="C310" t="str">
            <v>Regular</v>
          </cell>
          <cell r="D310" t="str">
            <v>MARIS (619)</v>
          </cell>
          <cell r="E310" t="str">
            <v>RF SP 96230950322 - DISNEY</v>
          </cell>
          <cell r="F310" t="str">
            <v>A Q V</v>
          </cell>
          <cell r="J310">
            <v>0</v>
          </cell>
        </row>
        <row r="311">
          <cell r="A311">
            <v>96230950325</v>
          </cell>
          <cell r="B311">
            <v>45022</v>
          </cell>
          <cell r="C311" t="str">
            <v>Regular</v>
          </cell>
          <cell r="D311" t="str">
            <v>MARIS (619)</v>
          </cell>
          <cell r="E311" t="str">
            <v>RF SP 96230950322 - DISNEY</v>
          </cell>
          <cell r="F311" t="str">
            <v>A Q V</v>
          </cell>
          <cell r="J311">
            <v>0</v>
          </cell>
        </row>
        <row r="312">
          <cell r="A312">
            <v>96230950324</v>
          </cell>
          <cell r="B312">
            <v>45022</v>
          </cell>
          <cell r="C312" t="str">
            <v>Regular</v>
          </cell>
          <cell r="D312" t="str">
            <v>MARIS (619)</v>
          </cell>
          <cell r="E312" t="str">
            <v>RF SP 96230950322 - DISNEY</v>
          </cell>
          <cell r="F312" t="str">
            <v>Q V</v>
          </cell>
          <cell r="G312">
            <v>0</v>
          </cell>
          <cell r="J312">
            <v>0</v>
          </cell>
        </row>
        <row r="313">
          <cell r="A313" t="str">
            <v>96230870651(2)</v>
          </cell>
          <cell r="B313">
            <v>45022</v>
          </cell>
          <cell r="C313" t="str">
            <v>Regular</v>
          </cell>
          <cell r="D313" t="str">
            <v>HOANG 738</v>
          </cell>
          <cell r="F313" t="str">
            <v>Q</v>
          </cell>
          <cell r="G313">
            <v>0</v>
          </cell>
          <cell r="I313">
            <v>0</v>
          </cell>
          <cell r="J313">
            <v>0</v>
          </cell>
        </row>
        <row r="314">
          <cell r="A314">
            <v>96230940275</v>
          </cell>
          <cell r="B314">
            <v>45020</v>
          </cell>
          <cell r="C314" t="str">
            <v>Regular</v>
          </cell>
          <cell r="D314" t="str">
            <v>Ducthang (EE)</v>
          </cell>
          <cell r="E314" t="str">
            <v>3 pcs</v>
          </cell>
          <cell r="F314" t="str">
            <v>Q, V</v>
          </cell>
          <cell r="G314">
            <v>0</v>
          </cell>
          <cell r="J314">
            <v>0</v>
          </cell>
        </row>
        <row r="315">
          <cell r="A315">
            <v>96230940277</v>
          </cell>
          <cell r="B315">
            <v>45020</v>
          </cell>
          <cell r="C315" t="str">
            <v>Regular</v>
          </cell>
          <cell r="D315" t="str">
            <v>Ducthang (EE)</v>
          </cell>
          <cell r="E315" t="str">
            <v>6 pcs</v>
          </cell>
          <cell r="F315" t="str">
            <v>A, Q, V</v>
          </cell>
          <cell r="J315">
            <v>0</v>
          </cell>
        </row>
        <row r="316">
          <cell r="A316">
            <v>96230940280</v>
          </cell>
          <cell r="B316">
            <v>45020</v>
          </cell>
          <cell r="C316" t="str">
            <v>Regular</v>
          </cell>
          <cell r="D316" t="str">
            <v>Ducthang (EE)</v>
          </cell>
          <cell r="E316" t="str">
            <v>4 pcs</v>
          </cell>
          <cell r="F316" t="str">
            <v>Q, V</v>
          </cell>
          <cell r="G316">
            <v>0</v>
          </cell>
          <cell r="J316">
            <v>0</v>
          </cell>
        </row>
        <row r="317">
          <cell r="A317">
            <v>96230950394</v>
          </cell>
          <cell r="B317">
            <v>45022</v>
          </cell>
          <cell r="C317" t="str">
            <v>Regular</v>
          </cell>
          <cell r="D317" t="str">
            <v>JUN (151)</v>
          </cell>
          <cell r="F317" t="str">
            <v>Q</v>
          </cell>
          <cell r="G317">
            <v>0</v>
          </cell>
          <cell r="I317">
            <v>0</v>
          </cell>
          <cell r="J317">
            <v>0</v>
          </cell>
        </row>
        <row r="318">
          <cell r="A318">
            <v>96230950379</v>
          </cell>
          <cell r="B318">
            <v>45022</v>
          </cell>
          <cell r="C318" t="str">
            <v>Regular</v>
          </cell>
          <cell r="D318" t="str">
            <v>JUN (151)</v>
          </cell>
          <cell r="F318" t="str">
            <v>Q</v>
          </cell>
          <cell r="G318">
            <v>0</v>
          </cell>
          <cell r="I318">
            <v>0</v>
          </cell>
          <cell r="J318">
            <v>0</v>
          </cell>
        </row>
        <row r="319">
          <cell r="A319">
            <v>96230940421</v>
          </cell>
          <cell r="B319">
            <v>45022</v>
          </cell>
          <cell r="C319" t="str">
            <v>Regular</v>
          </cell>
          <cell r="D319" t="str">
            <v>VINCENT (698)</v>
          </cell>
          <cell r="F319" t="str">
            <v>Q</v>
          </cell>
          <cell r="G319">
            <v>0</v>
          </cell>
          <cell r="I319">
            <v>0</v>
          </cell>
          <cell r="J319">
            <v>0</v>
          </cell>
        </row>
        <row r="320">
          <cell r="A320">
            <v>96230940425</v>
          </cell>
          <cell r="B320">
            <v>45022</v>
          </cell>
          <cell r="C320" t="str">
            <v>Regular</v>
          </cell>
          <cell r="D320" t="str">
            <v>VINCENT (698)</v>
          </cell>
          <cell r="F320" t="str">
            <v>Q</v>
          </cell>
          <cell r="G320">
            <v>0</v>
          </cell>
          <cell r="I320">
            <v>0</v>
          </cell>
          <cell r="J320">
            <v>0</v>
          </cell>
        </row>
        <row r="321">
          <cell r="A321">
            <v>96230890629</v>
          </cell>
          <cell r="B321">
            <v>45017</v>
          </cell>
          <cell r="C321" t="str">
            <v>Regular</v>
          </cell>
          <cell r="D321" t="str">
            <v>JUN (151)</v>
          </cell>
          <cell r="F321" t="str">
            <v>Q, V</v>
          </cell>
          <cell r="G321">
            <v>0</v>
          </cell>
          <cell r="J321">
            <v>0</v>
          </cell>
        </row>
        <row r="322">
          <cell r="A322">
            <v>96230940429</v>
          </cell>
          <cell r="B322">
            <v>45022</v>
          </cell>
          <cell r="C322" t="str">
            <v>Regular</v>
          </cell>
          <cell r="D322" t="str">
            <v>CEP (138)</v>
          </cell>
          <cell r="F322" t="str">
            <v>Q, V</v>
          </cell>
          <cell r="G322">
            <v>0</v>
          </cell>
          <cell r="J322">
            <v>0</v>
          </cell>
        </row>
        <row r="323">
          <cell r="A323">
            <v>96230770101</v>
          </cell>
          <cell r="B323">
            <v>45007</v>
          </cell>
          <cell r="C323" t="str">
            <v>Regular</v>
          </cell>
          <cell r="D323" t="str">
            <v>Duy (738)</v>
          </cell>
          <cell r="F323" t="str">
            <v>Q, V</v>
          </cell>
          <cell r="G323">
            <v>0</v>
          </cell>
          <cell r="J323">
            <v>0</v>
          </cell>
        </row>
        <row r="324">
          <cell r="A324">
            <v>96230900520</v>
          </cell>
          <cell r="B324">
            <v>45022</v>
          </cell>
          <cell r="C324" t="str">
            <v>Regular</v>
          </cell>
          <cell r="D324" t="str">
            <v>Vu 138</v>
          </cell>
          <cell r="F324" t="str">
            <v>Q</v>
          </cell>
          <cell r="G324">
            <v>0</v>
          </cell>
          <cell r="I324">
            <v>0</v>
          </cell>
          <cell r="J324">
            <v>0</v>
          </cell>
        </row>
        <row r="325">
          <cell r="A325">
            <v>96230960288</v>
          </cell>
          <cell r="B325">
            <v>45022</v>
          </cell>
          <cell r="C325" t="str">
            <v>Regular</v>
          </cell>
          <cell r="D325" t="str">
            <v>VINCENT (698)</v>
          </cell>
          <cell r="F325" t="str">
            <v>Q</v>
          </cell>
          <cell r="G325">
            <v>0</v>
          </cell>
          <cell r="I325">
            <v>0</v>
          </cell>
          <cell r="J325">
            <v>0</v>
          </cell>
        </row>
        <row r="326">
          <cell r="A326">
            <v>96230960304</v>
          </cell>
          <cell r="B326">
            <v>45022</v>
          </cell>
          <cell r="C326" t="str">
            <v>Regular</v>
          </cell>
          <cell r="D326" t="str">
            <v>VINCENT (698)</v>
          </cell>
          <cell r="F326" t="str">
            <v>Q</v>
          </cell>
          <cell r="G326">
            <v>0</v>
          </cell>
          <cell r="I326">
            <v>0</v>
          </cell>
          <cell r="J326">
            <v>0</v>
          </cell>
        </row>
        <row r="327">
          <cell r="A327">
            <v>96230960295</v>
          </cell>
          <cell r="B327">
            <v>45022</v>
          </cell>
          <cell r="C327" t="str">
            <v>Regular</v>
          </cell>
          <cell r="D327" t="str">
            <v>VINCENT (698)</v>
          </cell>
          <cell r="F327" t="str">
            <v>Q</v>
          </cell>
          <cell r="G327">
            <v>0</v>
          </cell>
          <cell r="I327">
            <v>0</v>
          </cell>
          <cell r="J327">
            <v>0</v>
          </cell>
        </row>
        <row r="328">
          <cell r="A328">
            <v>96230870591</v>
          </cell>
          <cell r="B328">
            <v>45022</v>
          </cell>
          <cell r="C328" t="str">
            <v>Regular</v>
          </cell>
          <cell r="D328" t="str">
            <v>HOANG 738</v>
          </cell>
          <cell r="F328" t="str">
            <v>Q V</v>
          </cell>
          <cell r="G328">
            <v>0</v>
          </cell>
          <cell r="J328">
            <v>0</v>
          </cell>
        </row>
        <row r="329">
          <cell r="A329">
            <v>96230950348</v>
          </cell>
          <cell r="B329">
            <v>45022</v>
          </cell>
          <cell r="C329" t="str">
            <v>Regular</v>
          </cell>
          <cell r="D329" t="str">
            <v>HUYEN 709</v>
          </cell>
          <cell r="F329" t="str">
            <v>Q V</v>
          </cell>
          <cell r="G329">
            <v>0</v>
          </cell>
          <cell r="J329">
            <v>0</v>
          </cell>
        </row>
        <row r="330">
          <cell r="A330">
            <v>96230960165</v>
          </cell>
          <cell r="B330">
            <v>45023</v>
          </cell>
          <cell r="C330" t="str">
            <v>Regular</v>
          </cell>
          <cell r="D330" t="str">
            <v>JH 698</v>
          </cell>
          <cell r="E330" t="str">
            <v>DISNEY</v>
          </cell>
          <cell r="F330" t="str">
            <v>Q,V</v>
          </cell>
          <cell r="G330">
            <v>0</v>
          </cell>
          <cell r="J330">
            <v>0</v>
          </cell>
        </row>
        <row r="331">
          <cell r="A331">
            <v>96230960219</v>
          </cell>
          <cell r="B331">
            <v>45023</v>
          </cell>
          <cell r="C331" t="str">
            <v>Regular</v>
          </cell>
          <cell r="D331" t="str">
            <v>NGOC 697</v>
          </cell>
          <cell r="E331" t="str">
            <v>DISNEY</v>
          </cell>
          <cell r="F331" t="str">
            <v>Q V</v>
          </cell>
          <cell r="G331">
            <v>0</v>
          </cell>
          <cell r="J331">
            <v>0</v>
          </cell>
        </row>
        <row r="332">
          <cell r="A332">
            <v>96230960227</v>
          </cell>
          <cell r="B332">
            <v>45023</v>
          </cell>
          <cell r="C332" t="str">
            <v>Regular</v>
          </cell>
          <cell r="D332" t="str">
            <v>NGOC 697</v>
          </cell>
          <cell r="E332" t="str">
            <v>DISNEY</v>
          </cell>
          <cell r="F332" t="str">
            <v>Q V</v>
          </cell>
          <cell r="G332">
            <v>0</v>
          </cell>
          <cell r="J332">
            <v>0</v>
          </cell>
        </row>
        <row r="333">
          <cell r="A333">
            <v>96230960229</v>
          </cell>
          <cell r="B333">
            <v>45023</v>
          </cell>
          <cell r="C333" t="str">
            <v>Regular</v>
          </cell>
          <cell r="D333" t="str">
            <v>NGOC 697</v>
          </cell>
          <cell r="E333" t="str">
            <v>DISNEY</v>
          </cell>
          <cell r="F333" t="str">
            <v>Q V</v>
          </cell>
          <cell r="G333">
            <v>0</v>
          </cell>
          <cell r="J333">
            <v>0</v>
          </cell>
        </row>
        <row r="334">
          <cell r="A334">
            <v>96230960231</v>
          </cell>
          <cell r="B334">
            <v>45023</v>
          </cell>
          <cell r="C334" t="str">
            <v>Regular</v>
          </cell>
          <cell r="D334" t="str">
            <v>NGOC 697</v>
          </cell>
          <cell r="E334" t="str">
            <v>DISNEY</v>
          </cell>
          <cell r="F334" t="str">
            <v>A Q V</v>
          </cell>
          <cell r="J334">
            <v>0</v>
          </cell>
        </row>
        <row r="335">
          <cell r="A335">
            <v>96230960232</v>
          </cell>
          <cell r="B335">
            <v>45023</v>
          </cell>
          <cell r="C335" t="str">
            <v>Regular</v>
          </cell>
          <cell r="D335" t="str">
            <v>NGOC 697</v>
          </cell>
          <cell r="E335" t="str">
            <v>DISNEY</v>
          </cell>
          <cell r="F335" t="str">
            <v>A Q V</v>
          </cell>
          <cell r="J335">
            <v>0</v>
          </cell>
        </row>
        <row r="336">
          <cell r="A336">
            <v>96230960234</v>
          </cell>
          <cell r="B336">
            <v>45023</v>
          </cell>
          <cell r="C336" t="str">
            <v>Regular</v>
          </cell>
          <cell r="D336" t="str">
            <v>NGOC 697</v>
          </cell>
          <cell r="E336" t="str">
            <v>DISNEY</v>
          </cell>
          <cell r="F336" t="str">
            <v>A Q V</v>
          </cell>
          <cell r="J336">
            <v>0</v>
          </cell>
        </row>
        <row r="337">
          <cell r="A337">
            <v>96230960236</v>
          </cell>
          <cell r="B337">
            <v>45023</v>
          </cell>
          <cell r="C337" t="str">
            <v>Regular</v>
          </cell>
          <cell r="D337" t="str">
            <v>NGOC 697</v>
          </cell>
          <cell r="E337" t="str">
            <v>DISNEY</v>
          </cell>
          <cell r="F337" t="str">
            <v>A Q V</v>
          </cell>
          <cell r="J337">
            <v>0</v>
          </cell>
        </row>
        <row r="338">
          <cell r="A338">
            <v>96230960238</v>
          </cell>
          <cell r="B338">
            <v>45023</v>
          </cell>
          <cell r="C338" t="str">
            <v>Regular</v>
          </cell>
          <cell r="D338" t="str">
            <v>NGOC 697</v>
          </cell>
          <cell r="E338" t="str">
            <v>DISNEY</v>
          </cell>
          <cell r="F338" t="str">
            <v>Q V</v>
          </cell>
          <cell r="G338">
            <v>0</v>
          </cell>
          <cell r="J338">
            <v>0</v>
          </cell>
        </row>
        <row r="339">
          <cell r="A339">
            <v>96230960240</v>
          </cell>
          <cell r="B339">
            <v>45023</v>
          </cell>
          <cell r="C339" t="str">
            <v>Regular</v>
          </cell>
          <cell r="D339" t="str">
            <v>NGOC 697</v>
          </cell>
          <cell r="E339" t="str">
            <v>DISNEY</v>
          </cell>
          <cell r="F339" t="str">
            <v>A Q V</v>
          </cell>
          <cell r="J339">
            <v>0</v>
          </cell>
        </row>
        <row r="340">
          <cell r="A340">
            <v>96230910210</v>
          </cell>
          <cell r="B340">
            <v>45023</v>
          </cell>
          <cell r="C340" t="str">
            <v>Regular</v>
          </cell>
          <cell r="D340" t="str">
            <v>HAO 718</v>
          </cell>
          <cell r="F340" t="str">
            <v>Q V</v>
          </cell>
          <cell r="G340">
            <v>0</v>
          </cell>
          <cell r="J340">
            <v>0</v>
          </cell>
        </row>
        <row r="341">
          <cell r="A341">
            <v>96230870121</v>
          </cell>
          <cell r="B341">
            <v>45023</v>
          </cell>
          <cell r="C341" t="str">
            <v>Regular</v>
          </cell>
          <cell r="D341" t="str">
            <v>GIB 718</v>
          </cell>
          <cell r="F341" t="str">
            <v>Q V</v>
          </cell>
          <cell r="G341">
            <v>0</v>
          </cell>
          <cell r="J341">
            <v>0</v>
          </cell>
        </row>
        <row r="342">
          <cell r="A342">
            <v>96230960504</v>
          </cell>
          <cell r="B342">
            <v>45023</v>
          </cell>
          <cell r="C342" t="str">
            <v>Regular</v>
          </cell>
          <cell r="D342" t="str">
            <v>MARIS (619)</v>
          </cell>
          <cell r="F342" t="str">
            <v>Q V</v>
          </cell>
          <cell r="G342">
            <v>0</v>
          </cell>
          <cell r="J342">
            <v>0</v>
          </cell>
        </row>
        <row r="343">
          <cell r="A343">
            <v>96230960500</v>
          </cell>
          <cell r="B343">
            <v>45023</v>
          </cell>
          <cell r="C343" t="str">
            <v>Regular</v>
          </cell>
          <cell r="D343" t="str">
            <v>MARIS (619)</v>
          </cell>
          <cell r="F343" t="str">
            <v>Q V</v>
          </cell>
          <cell r="G343">
            <v>0</v>
          </cell>
          <cell r="J343">
            <v>0</v>
          </cell>
        </row>
        <row r="344">
          <cell r="A344">
            <v>96230960465</v>
          </cell>
          <cell r="B344">
            <v>45023</v>
          </cell>
          <cell r="C344" t="str">
            <v>Regular</v>
          </cell>
          <cell r="D344" t="str">
            <v>VYN 731</v>
          </cell>
          <cell r="E344" t="str">
            <v>DISNEY</v>
          </cell>
          <cell r="F344" t="str">
            <v>AQV</v>
          </cell>
          <cell r="J344">
            <v>0</v>
          </cell>
        </row>
        <row r="345">
          <cell r="A345">
            <v>96230970324</v>
          </cell>
          <cell r="B345">
            <v>45023</v>
          </cell>
          <cell r="C345" t="str">
            <v>Regular</v>
          </cell>
          <cell r="D345" t="str">
            <v>NGOC 697</v>
          </cell>
          <cell r="E345" t="str">
            <v>MATTEL</v>
          </cell>
          <cell r="F345" t="str">
            <v>Q V</v>
          </cell>
          <cell r="G345">
            <v>0</v>
          </cell>
          <cell r="J345">
            <v>0</v>
          </cell>
        </row>
        <row r="346">
          <cell r="A346">
            <v>96230950080</v>
          </cell>
          <cell r="B346">
            <v>45023</v>
          </cell>
          <cell r="C346" t="str">
            <v>Regular</v>
          </cell>
          <cell r="D346" t="str">
            <v>VYN 731</v>
          </cell>
          <cell r="E346" t="str">
            <v>DISNEY, RF SP 0950075</v>
          </cell>
          <cell r="F346" t="str">
            <v>QV</v>
          </cell>
          <cell r="G346">
            <v>0</v>
          </cell>
          <cell r="J346">
            <v>0</v>
          </cell>
        </row>
        <row r="347">
          <cell r="A347">
            <v>96230960549</v>
          </cell>
          <cell r="B347">
            <v>45023</v>
          </cell>
          <cell r="C347" t="str">
            <v>Regular</v>
          </cell>
          <cell r="D347" t="str">
            <v>VYN 731</v>
          </cell>
          <cell r="E347" t="str">
            <v>MATTEL</v>
          </cell>
          <cell r="F347" t="str">
            <v>QV</v>
          </cell>
          <cell r="G347">
            <v>0</v>
          </cell>
          <cell r="J347">
            <v>0</v>
          </cell>
        </row>
        <row r="348">
          <cell r="A348">
            <v>96230760729</v>
          </cell>
          <cell r="B348">
            <v>45023</v>
          </cell>
          <cell r="C348" t="str">
            <v>Regular</v>
          </cell>
          <cell r="D348" t="str">
            <v>HOANG 738</v>
          </cell>
          <cell r="F348" t="str">
            <v>Q V</v>
          </cell>
          <cell r="G348">
            <v>0</v>
          </cell>
          <cell r="J348">
            <v>0</v>
          </cell>
        </row>
        <row r="349">
          <cell r="A349">
            <v>96230960466</v>
          </cell>
          <cell r="B349">
            <v>45023</v>
          </cell>
          <cell r="C349" t="str">
            <v>Regular</v>
          </cell>
          <cell r="D349" t="str">
            <v>LUK 138</v>
          </cell>
          <cell r="F349" t="str">
            <v>Q</v>
          </cell>
          <cell r="G349">
            <v>0</v>
          </cell>
          <cell r="I349">
            <v>0</v>
          </cell>
          <cell r="J349">
            <v>0</v>
          </cell>
        </row>
        <row r="350">
          <cell r="A350">
            <v>96230960467</v>
          </cell>
          <cell r="B350">
            <v>45023</v>
          </cell>
          <cell r="C350" t="str">
            <v>Regular</v>
          </cell>
          <cell r="D350" t="str">
            <v>LUK 138</v>
          </cell>
          <cell r="F350" t="str">
            <v>Q</v>
          </cell>
          <cell r="G350">
            <v>0</v>
          </cell>
          <cell r="I350">
            <v>0</v>
          </cell>
          <cell r="J350">
            <v>0</v>
          </cell>
        </row>
        <row r="351">
          <cell r="A351">
            <v>96230910429</v>
          </cell>
          <cell r="B351">
            <v>45023</v>
          </cell>
          <cell r="C351" t="str">
            <v>Regular</v>
          </cell>
          <cell r="D351" t="str">
            <v>GIB 718</v>
          </cell>
          <cell r="F351" t="str">
            <v>Q</v>
          </cell>
          <cell r="G351">
            <v>0</v>
          </cell>
          <cell r="I351">
            <v>0</v>
          </cell>
          <cell r="J351">
            <v>0</v>
          </cell>
        </row>
        <row r="352">
          <cell r="A352">
            <v>96230970194</v>
          </cell>
          <cell r="B352">
            <v>45023</v>
          </cell>
          <cell r="C352" t="str">
            <v>RUSH</v>
          </cell>
          <cell r="D352" t="str">
            <v>CEP (138)</v>
          </cell>
          <cell r="F352" t="str">
            <v>Q</v>
          </cell>
          <cell r="G352">
            <v>0</v>
          </cell>
          <cell r="I352">
            <v>0</v>
          </cell>
          <cell r="J352">
            <v>0</v>
          </cell>
        </row>
        <row r="353">
          <cell r="A353">
            <v>96230970199</v>
          </cell>
          <cell r="B353">
            <v>45023</v>
          </cell>
          <cell r="C353" t="str">
            <v>RUSH</v>
          </cell>
          <cell r="D353" t="str">
            <v>CEP (138)</v>
          </cell>
          <cell r="F353" t="str">
            <v>Q</v>
          </cell>
          <cell r="G353">
            <v>0</v>
          </cell>
          <cell r="I353">
            <v>0</v>
          </cell>
          <cell r="J353">
            <v>0</v>
          </cell>
        </row>
        <row r="354">
          <cell r="A354" t="str">
            <v>96230790244(2)</v>
          </cell>
          <cell r="B354">
            <v>45023</v>
          </cell>
          <cell r="C354" t="str">
            <v>Regular</v>
          </cell>
          <cell r="D354" t="str">
            <v>Vu 138</v>
          </cell>
          <cell r="F354" t="str">
            <v>Q</v>
          </cell>
          <cell r="G354">
            <v>0</v>
          </cell>
          <cell r="I354">
            <v>0</v>
          </cell>
          <cell r="J354">
            <v>0</v>
          </cell>
        </row>
        <row r="355">
          <cell r="A355">
            <v>96230790246</v>
          </cell>
          <cell r="B355">
            <v>45023</v>
          </cell>
          <cell r="C355" t="str">
            <v>Regular</v>
          </cell>
          <cell r="D355" t="str">
            <v>Vu 138</v>
          </cell>
          <cell r="F355" t="str">
            <v>Q</v>
          </cell>
          <cell r="G355">
            <v>0</v>
          </cell>
          <cell r="I355">
            <v>0</v>
          </cell>
          <cell r="J355">
            <v>0</v>
          </cell>
        </row>
        <row r="356">
          <cell r="A356">
            <v>96230790247</v>
          </cell>
          <cell r="B356">
            <v>45023</v>
          </cell>
          <cell r="C356" t="str">
            <v>Regular</v>
          </cell>
          <cell r="D356" t="str">
            <v>Vu 138</v>
          </cell>
          <cell r="F356" t="str">
            <v>Q</v>
          </cell>
          <cell r="G356">
            <v>0</v>
          </cell>
          <cell r="I356">
            <v>0</v>
          </cell>
          <cell r="J356">
            <v>0</v>
          </cell>
        </row>
        <row r="357">
          <cell r="A357">
            <v>96230970204</v>
          </cell>
          <cell r="B357">
            <v>45023</v>
          </cell>
          <cell r="C357" t="str">
            <v>RUSH</v>
          </cell>
          <cell r="D357" t="str">
            <v>CEP (138)</v>
          </cell>
          <cell r="F357" t="str">
            <v>Q</v>
          </cell>
          <cell r="G357">
            <v>0</v>
          </cell>
          <cell r="I357">
            <v>0</v>
          </cell>
          <cell r="J357">
            <v>0</v>
          </cell>
        </row>
        <row r="358">
          <cell r="A358">
            <v>96230940306</v>
          </cell>
          <cell r="B358">
            <v>45024</v>
          </cell>
          <cell r="C358" t="str">
            <v>Regular</v>
          </cell>
          <cell r="D358" t="str">
            <v>HOANG 738</v>
          </cell>
          <cell r="F358" t="str">
            <v>Q V</v>
          </cell>
          <cell r="G358">
            <v>0</v>
          </cell>
          <cell r="J358">
            <v>0</v>
          </cell>
        </row>
        <row r="359">
          <cell r="A359">
            <v>96230940308</v>
          </cell>
          <cell r="B359">
            <v>45024</v>
          </cell>
          <cell r="C359" t="str">
            <v>Regular</v>
          </cell>
          <cell r="D359" t="str">
            <v>HOANG 738</v>
          </cell>
          <cell r="F359" t="str">
            <v>Q V</v>
          </cell>
          <cell r="G359">
            <v>0</v>
          </cell>
          <cell r="J359">
            <v>0</v>
          </cell>
        </row>
        <row r="360">
          <cell r="A360">
            <v>96230960280</v>
          </cell>
          <cell r="B360">
            <v>45024</v>
          </cell>
          <cell r="C360" t="str">
            <v>Regular</v>
          </cell>
          <cell r="D360" t="str">
            <v>JUN (151)</v>
          </cell>
          <cell r="E360" t="str">
            <v>2 pcs (A1, A2)</v>
          </cell>
          <cell r="F360" t="str">
            <v>A</v>
          </cell>
          <cell r="H360">
            <v>0</v>
          </cell>
          <cell r="I360">
            <v>0</v>
          </cell>
          <cell r="J360">
            <v>0</v>
          </cell>
        </row>
        <row r="361">
          <cell r="A361">
            <v>96230930366</v>
          </cell>
          <cell r="B361">
            <v>45024</v>
          </cell>
          <cell r="C361" t="str">
            <v>Regular</v>
          </cell>
          <cell r="D361" t="str">
            <v>JOHN 738</v>
          </cell>
          <cell r="F361" t="str">
            <v>Q</v>
          </cell>
          <cell r="G361">
            <v>0</v>
          </cell>
          <cell r="I361">
            <v>0</v>
          </cell>
          <cell r="J361">
            <v>0</v>
          </cell>
        </row>
        <row r="362">
          <cell r="A362">
            <v>96230970503</v>
          </cell>
          <cell r="B362">
            <v>45024</v>
          </cell>
          <cell r="C362" t="str">
            <v>Regular</v>
          </cell>
          <cell r="D362" t="str">
            <v>JH 698</v>
          </cell>
          <cell r="E362" t="str">
            <v>Crayola</v>
          </cell>
          <cell r="F362" t="str">
            <v>Q,V</v>
          </cell>
          <cell r="G362">
            <v>0</v>
          </cell>
          <cell r="J362">
            <v>0</v>
          </cell>
        </row>
        <row r="363">
          <cell r="A363">
            <v>96230970225</v>
          </cell>
          <cell r="B363">
            <v>45024</v>
          </cell>
          <cell r="C363" t="str">
            <v>Regular</v>
          </cell>
          <cell r="D363" t="str">
            <v>MARIS (619)</v>
          </cell>
          <cell r="E363" t="str">
            <v>DISNEY</v>
          </cell>
          <cell r="F363" t="str">
            <v>Q,V</v>
          </cell>
          <cell r="G363">
            <v>0</v>
          </cell>
          <cell r="J363">
            <v>0</v>
          </cell>
        </row>
        <row r="364">
          <cell r="A364">
            <v>96230970522</v>
          </cell>
          <cell r="B364">
            <v>45024</v>
          </cell>
          <cell r="C364" t="str">
            <v>Regular</v>
          </cell>
          <cell r="D364" t="str">
            <v>MARIS (619)</v>
          </cell>
          <cell r="E364" t="str">
            <v>DISNEY</v>
          </cell>
          <cell r="F364" t="str">
            <v>A, Q, V</v>
          </cell>
          <cell r="J364">
            <v>0</v>
          </cell>
        </row>
        <row r="365">
          <cell r="A365">
            <v>96230910314</v>
          </cell>
          <cell r="B365">
            <v>45024</v>
          </cell>
          <cell r="C365" t="str">
            <v>Regular</v>
          </cell>
          <cell r="D365" t="str">
            <v>CEP (138)</v>
          </cell>
          <cell r="F365" t="str">
            <v>Q</v>
          </cell>
          <cell r="G365">
            <v>0</v>
          </cell>
          <cell r="I365">
            <v>0</v>
          </cell>
          <cell r="J365">
            <v>0</v>
          </cell>
        </row>
        <row r="366">
          <cell r="A366">
            <v>96230910320</v>
          </cell>
          <cell r="B366">
            <v>45024</v>
          </cell>
          <cell r="C366" t="str">
            <v>Regular</v>
          </cell>
          <cell r="D366" t="str">
            <v>CEP (138)</v>
          </cell>
          <cell r="F366" t="str">
            <v>Q</v>
          </cell>
          <cell r="G366">
            <v>0</v>
          </cell>
          <cell r="I366">
            <v>0</v>
          </cell>
          <cell r="J366">
            <v>0</v>
          </cell>
        </row>
        <row r="367">
          <cell r="A367">
            <v>96230910330</v>
          </cell>
          <cell r="B367">
            <v>45024</v>
          </cell>
          <cell r="C367" t="str">
            <v>Regular</v>
          </cell>
          <cell r="D367" t="str">
            <v>HAO 718</v>
          </cell>
          <cell r="F367" t="str">
            <v>Q</v>
          </cell>
          <cell r="G367">
            <v>0</v>
          </cell>
          <cell r="I367">
            <v>0</v>
          </cell>
          <cell r="J367">
            <v>0</v>
          </cell>
        </row>
        <row r="368">
          <cell r="A368">
            <v>96230940169</v>
          </cell>
          <cell r="B368">
            <v>45024</v>
          </cell>
          <cell r="C368" t="str">
            <v>Regular</v>
          </cell>
          <cell r="D368" t="str">
            <v>HAO 718</v>
          </cell>
          <cell r="F368" t="str">
            <v>Q</v>
          </cell>
          <cell r="G368">
            <v>0</v>
          </cell>
          <cell r="I368">
            <v>0</v>
          </cell>
          <cell r="J368">
            <v>0</v>
          </cell>
        </row>
        <row r="369">
          <cell r="A369">
            <v>96230840171</v>
          </cell>
          <cell r="B369">
            <v>45024</v>
          </cell>
          <cell r="C369" t="str">
            <v>Regular</v>
          </cell>
          <cell r="D369" t="str">
            <v>LUK 138</v>
          </cell>
          <cell r="F369" t="str">
            <v>Q</v>
          </cell>
          <cell r="G369">
            <v>0</v>
          </cell>
          <cell r="I369">
            <v>0</v>
          </cell>
          <cell r="J369">
            <v>0</v>
          </cell>
        </row>
        <row r="370">
          <cell r="A370">
            <v>96230930212</v>
          </cell>
          <cell r="B370">
            <v>45024</v>
          </cell>
          <cell r="C370" t="str">
            <v>Regular</v>
          </cell>
          <cell r="D370" t="str">
            <v>HAO 718</v>
          </cell>
          <cell r="F370" t="str">
            <v>V</v>
          </cell>
          <cell r="G370">
            <v>0</v>
          </cell>
          <cell r="H370">
            <v>0</v>
          </cell>
          <cell r="J370">
            <v>0</v>
          </cell>
        </row>
        <row r="371">
          <cell r="A371">
            <v>96230870554</v>
          </cell>
          <cell r="B371">
            <v>45024</v>
          </cell>
          <cell r="C371" t="str">
            <v>Regular</v>
          </cell>
          <cell r="D371" t="str">
            <v>HOANG 738</v>
          </cell>
          <cell r="F371" t="str">
            <v>Q</v>
          </cell>
          <cell r="G371">
            <v>0</v>
          </cell>
          <cell r="I371">
            <v>0</v>
          </cell>
          <cell r="J371">
            <v>0</v>
          </cell>
        </row>
        <row r="372">
          <cell r="A372">
            <v>96230970585</v>
          </cell>
          <cell r="B372">
            <v>45024</v>
          </cell>
          <cell r="C372" t="str">
            <v>Regular</v>
          </cell>
          <cell r="D372" t="str">
            <v>HOANG 738</v>
          </cell>
          <cell r="F372" t="str">
            <v>Q</v>
          </cell>
          <cell r="G372">
            <v>0</v>
          </cell>
          <cell r="I372">
            <v>0</v>
          </cell>
          <cell r="J372">
            <v>0</v>
          </cell>
        </row>
        <row r="373">
          <cell r="A373">
            <v>96230960151</v>
          </cell>
          <cell r="B373">
            <v>45024</v>
          </cell>
          <cell r="C373" t="str">
            <v>Regular</v>
          </cell>
          <cell r="D373" t="str">
            <v>HUYEN 151</v>
          </cell>
          <cell r="F373" t="str">
            <v>Q</v>
          </cell>
          <cell r="G373">
            <v>0</v>
          </cell>
          <cell r="I373">
            <v>0</v>
          </cell>
          <cell r="J373">
            <v>0</v>
          </cell>
        </row>
        <row r="374">
          <cell r="A374">
            <v>96230970590</v>
          </cell>
          <cell r="B374">
            <v>45024</v>
          </cell>
          <cell r="C374" t="str">
            <v>Regular</v>
          </cell>
          <cell r="D374" t="str">
            <v>MINH 718</v>
          </cell>
          <cell r="F374" t="str">
            <v>Q V</v>
          </cell>
          <cell r="G374">
            <v>0</v>
          </cell>
          <cell r="J374">
            <v>0</v>
          </cell>
        </row>
        <row r="375">
          <cell r="A375">
            <v>96230960454</v>
          </cell>
          <cell r="B375">
            <v>45024</v>
          </cell>
          <cell r="C375" t="str">
            <v>Regular</v>
          </cell>
          <cell r="D375" t="str">
            <v>JH 698</v>
          </cell>
          <cell r="E375" t="str">
            <v>DISNEY</v>
          </cell>
          <cell r="F375" t="str">
            <v>A,Q,V,X</v>
          </cell>
        </row>
        <row r="376">
          <cell r="A376">
            <v>96230960455</v>
          </cell>
          <cell r="B376">
            <v>45024</v>
          </cell>
          <cell r="C376" t="str">
            <v>Regular</v>
          </cell>
          <cell r="D376" t="str">
            <v>JH 698</v>
          </cell>
          <cell r="E376" t="str">
            <v>RF SP 96230960454 - DISNEY</v>
          </cell>
          <cell r="F376" t="str">
            <v>A,Q,V</v>
          </cell>
        </row>
        <row r="377">
          <cell r="A377">
            <v>96230970538</v>
          </cell>
          <cell r="B377">
            <v>45024</v>
          </cell>
          <cell r="C377" t="str">
            <v>Regular</v>
          </cell>
          <cell r="D377" t="str">
            <v>NGOC 697</v>
          </cell>
          <cell r="E377" t="str">
            <v>DISNEY</v>
          </cell>
          <cell r="F377" t="str">
            <v>Q V</v>
          </cell>
          <cell r="G377">
            <v>0</v>
          </cell>
          <cell r="J377">
            <v>0</v>
          </cell>
        </row>
        <row r="378">
          <cell r="A378">
            <v>96230970539</v>
          </cell>
          <cell r="B378">
            <v>45024</v>
          </cell>
          <cell r="C378" t="str">
            <v>Regular</v>
          </cell>
          <cell r="D378" t="str">
            <v>NGOC 697</v>
          </cell>
          <cell r="E378" t="str">
            <v>DISNEY</v>
          </cell>
          <cell r="F378" t="str">
            <v>Q V</v>
          </cell>
          <cell r="G378">
            <v>0</v>
          </cell>
          <cell r="J378">
            <v>0</v>
          </cell>
        </row>
        <row r="379">
          <cell r="A379">
            <v>96230980313</v>
          </cell>
          <cell r="B379">
            <v>45024</v>
          </cell>
          <cell r="C379" t="str">
            <v>PRIORITY</v>
          </cell>
          <cell r="D379" t="str">
            <v>NGOC 697</v>
          </cell>
          <cell r="F379" t="str">
            <v>Q V</v>
          </cell>
          <cell r="G379">
            <v>0</v>
          </cell>
          <cell r="J379">
            <v>0</v>
          </cell>
        </row>
        <row r="380">
          <cell r="A380">
            <v>96230970321</v>
          </cell>
          <cell r="B380">
            <v>45024</v>
          </cell>
          <cell r="C380" t="str">
            <v>Regular</v>
          </cell>
          <cell r="D380" t="str">
            <v>MINH 718</v>
          </cell>
          <cell r="F380" t="str">
            <v>Q</v>
          </cell>
          <cell r="G380">
            <v>0</v>
          </cell>
          <cell r="I380">
            <v>0</v>
          </cell>
          <cell r="J380">
            <v>0</v>
          </cell>
        </row>
        <row r="381">
          <cell r="A381">
            <v>96230980135</v>
          </cell>
          <cell r="B381">
            <v>45024</v>
          </cell>
          <cell r="C381" t="str">
            <v>Regular</v>
          </cell>
          <cell r="D381" t="str">
            <v>JH 698</v>
          </cell>
          <cell r="E381" t="str">
            <v>MATTEL</v>
          </cell>
          <cell r="F381" t="str">
            <v>Q,V</v>
          </cell>
          <cell r="G381">
            <v>0</v>
          </cell>
          <cell r="J381">
            <v>0</v>
          </cell>
        </row>
        <row r="382">
          <cell r="A382">
            <v>96230950280</v>
          </cell>
          <cell r="B382">
            <v>45024</v>
          </cell>
          <cell r="C382" t="str">
            <v>Regular</v>
          </cell>
          <cell r="D382" t="str">
            <v>JUN (151)</v>
          </cell>
          <cell r="F382" t="str">
            <v>Q</v>
          </cell>
          <cell r="G382">
            <v>0</v>
          </cell>
          <cell r="I382">
            <v>0</v>
          </cell>
          <cell r="J382">
            <v>0</v>
          </cell>
        </row>
        <row r="383">
          <cell r="A383">
            <v>96230980231</v>
          </cell>
          <cell r="B383">
            <v>45024</v>
          </cell>
          <cell r="C383" t="str">
            <v>Regular</v>
          </cell>
          <cell r="D383" t="str">
            <v>VINCENT (698)</v>
          </cell>
          <cell r="F383" t="str">
            <v>Q</v>
          </cell>
          <cell r="G383">
            <v>0</v>
          </cell>
          <cell r="I383">
            <v>0</v>
          </cell>
          <cell r="J383">
            <v>0</v>
          </cell>
        </row>
        <row r="384">
          <cell r="A384">
            <v>96230980237</v>
          </cell>
          <cell r="B384">
            <v>45024</v>
          </cell>
          <cell r="C384" t="str">
            <v>Regular</v>
          </cell>
          <cell r="D384" t="str">
            <v>VINCENT (698)</v>
          </cell>
          <cell r="F384" t="str">
            <v>Q,V</v>
          </cell>
          <cell r="G384">
            <v>0</v>
          </cell>
          <cell r="I384">
            <v>0</v>
          </cell>
          <cell r="J384">
            <v>0</v>
          </cell>
        </row>
        <row r="385">
          <cell r="A385">
            <v>96230970642</v>
          </cell>
          <cell r="B385">
            <v>45024</v>
          </cell>
          <cell r="C385" t="str">
            <v>Regular</v>
          </cell>
          <cell r="D385" t="str">
            <v>MARIS (619)</v>
          </cell>
          <cell r="E385" t="str">
            <v>MATTEL</v>
          </cell>
          <cell r="F385" t="str">
            <v>Q,V</v>
          </cell>
          <cell r="G385">
            <v>0</v>
          </cell>
          <cell r="J385">
            <v>0</v>
          </cell>
        </row>
        <row r="386">
          <cell r="A386">
            <v>96230980466</v>
          </cell>
          <cell r="B386">
            <v>45024</v>
          </cell>
          <cell r="C386" t="str">
            <v>Regular</v>
          </cell>
          <cell r="D386" t="str">
            <v>VYN 731</v>
          </cell>
          <cell r="F386" t="str">
            <v>QV</v>
          </cell>
          <cell r="G386">
            <v>0</v>
          </cell>
          <cell r="J386">
            <v>0</v>
          </cell>
        </row>
        <row r="387">
          <cell r="A387">
            <v>96230970325</v>
          </cell>
          <cell r="B387">
            <v>45024</v>
          </cell>
          <cell r="C387" t="str">
            <v>Regular</v>
          </cell>
          <cell r="D387" t="str">
            <v>HUYEN 151</v>
          </cell>
          <cell r="F387" t="str">
            <v>Q</v>
          </cell>
          <cell r="G387">
            <v>0</v>
          </cell>
          <cell r="I387">
            <v>0</v>
          </cell>
          <cell r="J387">
            <v>0</v>
          </cell>
        </row>
        <row r="388">
          <cell r="A388">
            <v>96230970334</v>
          </cell>
          <cell r="B388">
            <v>45024</v>
          </cell>
          <cell r="C388" t="str">
            <v>Regular</v>
          </cell>
          <cell r="D388" t="str">
            <v>HUYEN 151</v>
          </cell>
          <cell r="F388" t="str">
            <v>Q</v>
          </cell>
          <cell r="G388">
            <v>0</v>
          </cell>
          <cell r="I388">
            <v>0</v>
          </cell>
          <cell r="J388">
            <v>0</v>
          </cell>
        </row>
        <row r="389">
          <cell r="A389">
            <v>96230970333</v>
          </cell>
          <cell r="B389">
            <v>45024</v>
          </cell>
          <cell r="C389" t="str">
            <v>Regular</v>
          </cell>
          <cell r="D389" t="str">
            <v>HUYEN 151</v>
          </cell>
          <cell r="F389" t="str">
            <v>Q</v>
          </cell>
          <cell r="G389">
            <v>0</v>
          </cell>
          <cell r="I389">
            <v>0</v>
          </cell>
          <cell r="J389">
            <v>0</v>
          </cell>
        </row>
        <row r="390">
          <cell r="A390">
            <v>96230970331</v>
          </cell>
          <cell r="B390">
            <v>45024</v>
          </cell>
          <cell r="C390" t="str">
            <v>Regular</v>
          </cell>
          <cell r="D390" t="str">
            <v>HUYEN 151</v>
          </cell>
          <cell r="F390" t="str">
            <v>Q</v>
          </cell>
          <cell r="G390">
            <v>0</v>
          </cell>
          <cell r="I390">
            <v>0</v>
          </cell>
          <cell r="J390">
            <v>0</v>
          </cell>
        </row>
        <row r="391">
          <cell r="A391">
            <v>96230970329</v>
          </cell>
          <cell r="B391">
            <v>45024</v>
          </cell>
          <cell r="C391" t="str">
            <v>Regular</v>
          </cell>
          <cell r="D391" t="str">
            <v>HUYEN 151</v>
          </cell>
          <cell r="F391" t="str">
            <v>Q</v>
          </cell>
          <cell r="G391">
            <v>0</v>
          </cell>
          <cell r="I391">
            <v>0</v>
          </cell>
          <cell r="J391">
            <v>0</v>
          </cell>
        </row>
        <row r="392">
          <cell r="A392">
            <v>96230970340</v>
          </cell>
          <cell r="B392">
            <v>45024</v>
          </cell>
          <cell r="C392" t="str">
            <v>Regular</v>
          </cell>
          <cell r="D392" t="str">
            <v>HUYEN 151</v>
          </cell>
          <cell r="F392" t="str">
            <v>Q</v>
          </cell>
          <cell r="G392">
            <v>0</v>
          </cell>
          <cell r="I392">
            <v>0</v>
          </cell>
          <cell r="J392">
            <v>0</v>
          </cell>
        </row>
        <row r="393">
          <cell r="A393">
            <v>96230970328</v>
          </cell>
          <cell r="B393">
            <v>45024</v>
          </cell>
          <cell r="C393" t="str">
            <v>Regular</v>
          </cell>
          <cell r="D393" t="str">
            <v>HUYEN 151</v>
          </cell>
          <cell r="F393" t="str">
            <v>Q</v>
          </cell>
          <cell r="G393">
            <v>0</v>
          </cell>
          <cell r="I393">
            <v>0</v>
          </cell>
          <cell r="J393">
            <v>0</v>
          </cell>
        </row>
        <row r="394">
          <cell r="A394">
            <v>96230970085</v>
          </cell>
          <cell r="B394">
            <v>45024</v>
          </cell>
          <cell r="C394" t="str">
            <v>Regular</v>
          </cell>
          <cell r="D394" t="str">
            <v>HUYEN 151</v>
          </cell>
          <cell r="F394" t="str">
            <v>Q</v>
          </cell>
          <cell r="G394">
            <v>0</v>
          </cell>
          <cell r="I394">
            <v>0</v>
          </cell>
          <cell r="J394">
            <v>0</v>
          </cell>
        </row>
        <row r="395">
          <cell r="A395">
            <v>96230970089</v>
          </cell>
          <cell r="B395">
            <v>45024</v>
          </cell>
          <cell r="C395" t="str">
            <v>Regular</v>
          </cell>
          <cell r="D395" t="str">
            <v>HUYEN 151</v>
          </cell>
          <cell r="F395" t="str">
            <v>Q</v>
          </cell>
          <cell r="G395">
            <v>0</v>
          </cell>
          <cell r="I395">
            <v>0</v>
          </cell>
          <cell r="J395">
            <v>0</v>
          </cell>
        </row>
        <row r="396">
          <cell r="A396" t="str">
            <v>96230930445(2)</v>
          </cell>
          <cell r="B396">
            <v>45024</v>
          </cell>
          <cell r="C396" t="str">
            <v>Regular</v>
          </cell>
          <cell r="D396" t="str">
            <v>LUK 138</v>
          </cell>
          <cell r="F396" t="str">
            <v>Q</v>
          </cell>
          <cell r="G396">
            <v>0</v>
          </cell>
          <cell r="I396">
            <v>0</v>
          </cell>
          <cell r="J396">
            <v>0</v>
          </cell>
        </row>
        <row r="397">
          <cell r="A397" t="str">
            <v>96230880157(2)</v>
          </cell>
          <cell r="B397">
            <v>45026</v>
          </cell>
          <cell r="C397" t="str">
            <v>Regular</v>
          </cell>
          <cell r="D397" t="str">
            <v>NGOC 697</v>
          </cell>
          <cell r="E397" t="str">
            <v>SUB LẦN 2</v>
          </cell>
          <cell r="F397" t="str">
            <v>V</v>
          </cell>
          <cell r="G397">
            <v>0</v>
          </cell>
          <cell r="H397">
            <v>0</v>
          </cell>
          <cell r="J397">
            <v>0</v>
          </cell>
        </row>
        <row r="398">
          <cell r="A398" t="str">
            <v>96230880160(2)</v>
          </cell>
          <cell r="B398">
            <v>45026</v>
          </cell>
          <cell r="C398" t="str">
            <v>Regular</v>
          </cell>
          <cell r="D398" t="str">
            <v>NGOC 697</v>
          </cell>
          <cell r="E398" t="str">
            <v>SUB LẦN 2</v>
          </cell>
          <cell r="F398" t="str">
            <v>V</v>
          </cell>
          <cell r="G398">
            <v>0</v>
          </cell>
          <cell r="H398">
            <v>0</v>
          </cell>
          <cell r="J398">
            <v>0</v>
          </cell>
        </row>
        <row r="399">
          <cell r="A399">
            <v>96230980155</v>
          </cell>
          <cell r="B399">
            <v>45024</v>
          </cell>
          <cell r="C399" t="str">
            <v>Regular</v>
          </cell>
          <cell r="D399" t="str">
            <v>THE HIEN (EE)</v>
          </cell>
          <cell r="F399" t="str">
            <v>Q V</v>
          </cell>
          <cell r="G399">
            <v>0</v>
          </cell>
          <cell r="J399">
            <v>0</v>
          </cell>
        </row>
        <row r="400">
          <cell r="A400">
            <v>96230890331</v>
          </cell>
          <cell r="B400">
            <v>45026</v>
          </cell>
          <cell r="C400" t="str">
            <v>Regular</v>
          </cell>
          <cell r="D400" t="str">
            <v>LUK 138</v>
          </cell>
          <cell r="F400" t="str">
            <v>Q</v>
          </cell>
          <cell r="J400">
            <v>0</v>
          </cell>
        </row>
        <row r="401">
          <cell r="A401">
            <v>96230970557</v>
          </cell>
          <cell r="B401">
            <v>45026</v>
          </cell>
          <cell r="C401" t="str">
            <v>Regular</v>
          </cell>
          <cell r="D401" t="str">
            <v>VINCENT (698)</v>
          </cell>
          <cell r="F401" t="str">
            <v>Q, V</v>
          </cell>
          <cell r="G401">
            <v>0</v>
          </cell>
          <cell r="J401">
            <v>0</v>
          </cell>
        </row>
        <row r="402">
          <cell r="A402" t="str">
            <v>96230890313(2)</v>
          </cell>
          <cell r="B402">
            <v>45022</v>
          </cell>
          <cell r="C402" t="str">
            <v>RUSH</v>
          </cell>
          <cell r="D402" t="str">
            <v>HAO 718</v>
          </cell>
          <cell r="F402" t="str">
            <v>Q</v>
          </cell>
          <cell r="G402">
            <v>0</v>
          </cell>
          <cell r="I402">
            <v>0</v>
          </cell>
          <cell r="J402">
            <v>0</v>
          </cell>
        </row>
        <row r="403">
          <cell r="A403">
            <v>96230980065</v>
          </cell>
          <cell r="B403">
            <v>45026</v>
          </cell>
          <cell r="C403" t="str">
            <v>Regular</v>
          </cell>
          <cell r="D403" t="str">
            <v>MARIS (619)</v>
          </cell>
          <cell r="F403" t="str">
            <v>Q</v>
          </cell>
          <cell r="G403">
            <v>0</v>
          </cell>
          <cell r="I403">
            <v>0</v>
          </cell>
          <cell r="J403">
            <v>0</v>
          </cell>
        </row>
        <row r="404">
          <cell r="A404">
            <v>96230980123</v>
          </cell>
          <cell r="B404">
            <v>45026</v>
          </cell>
          <cell r="C404" t="str">
            <v>Regular</v>
          </cell>
          <cell r="D404" t="str">
            <v>MARIS (619)</v>
          </cell>
          <cell r="F404" t="str">
            <v>Q</v>
          </cell>
          <cell r="G404">
            <v>0</v>
          </cell>
          <cell r="I404">
            <v>0</v>
          </cell>
          <cell r="J404">
            <v>0</v>
          </cell>
        </row>
        <row r="405">
          <cell r="A405">
            <v>96230980116</v>
          </cell>
          <cell r="B405">
            <v>45026</v>
          </cell>
          <cell r="C405" t="str">
            <v>Regular</v>
          </cell>
          <cell r="D405" t="str">
            <v>MARIS (619)</v>
          </cell>
          <cell r="F405" t="str">
            <v>Q</v>
          </cell>
          <cell r="G405">
            <v>0</v>
          </cell>
          <cell r="I405">
            <v>0</v>
          </cell>
          <cell r="J405">
            <v>0</v>
          </cell>
        </row>
        <row r="406">
          <cell r="A406">
            <v>96230980115</v>
          </cell>
          <cell r="B406">
            <v>45026</v>
          </cell>
          <cell r="C406" t="str">
            <v>Regular</v>
          </cell>
          <cell r="D406" t="str">
            <v>MARIS (619)</v>
          </cell>
          <cell r="F406" t="str">
            <v>Q</v>
          </cell>
          <cell r="G406">
            <v>0</v>
          </cell>
          <cell r="I406">
            <v>0</v>
          </cell>
          <cell r="J406">
            <v>0</v>
          </cell>
        </row>
        <row r="407">
          <cell r="A407">
            <v>96230980067</v>
          </cell>
          <cell r="B407">
            <v>45026</v>
          </cell>
          <cell r="C407" t="str">
            <v>Regular</v>
          </cell>
          <cell r="D407" t="str">
            <v>MARIS (619)</v>
          </cell>
          <cell r="F407" t="str">
            <v>Q</v>
          </cell>
          <cell r="G407">
            <v>0</v>
          </cell>
          <cell r="I407">
            <v>0</v>
          </cell>
          <cell r="J407">
            <v>0</v>
          </cell>
        </row>
        <row r="408">
          <cell r="A408">
            <v>96230980019</v>
          </cell>
          <cell r="B408">
            <v>45026</v>
          </cell>
          <cell r="C408" t="str">
            <v>Regular</v>
          </cell>
          <cell r="D408" t="str">
            <v>MARIS (619)</v>
          </cell>
          <cell r="F408" t="str">
            <v>Q</v>
          </cell>
          <cell r="G408">
            <v>0</v>
          </cell>
          <cell r="I408">
            <v>0</v>
          </cell>
          <cell r="J408">
            <v>0</v>
          </cell>
        </row>
        <row r="409">
          <cell r="A409">
            <v>96230980061</v>
          </cell>
          <cell r="B409">
            <v>45026</v>
          </cell>
          <cell r="C409" t="str">
            <v>Regular</v>
          </cell>
          <cell r="D409" t="str">
            <v>MARIS (619)</v>
          </cell>
          <cell r="F409" t="str">
            <v>Q</v>
          </cell>
          <cell r="G409">
            <v>0</v>
          </cell>
          <cell r="I409">
            <v>0</v>
          </cell>
          <cell r="J409">
            <v>0</v>
          </cell>
        </row>
        <row r="410">
          <cell r="A410">
            <v>96230980063</v>
          </cell>
          <cell r="B410">
            <v>45026</v>
          </cell>
          <cell r="C410" t="str">
            <v>Regular</v>
          </cell>
          <cell r="D410" t="str">
            <v>MARIS (619)</v>
          </cell>
          <cell r="F410" t="str">
            <v>Q</v>
          </cell>
          <cell r="G410">
            <v>0</v>
          </cell>
          <cell r="I410">
            <v>0</v>
          </cell>
          <cell r="J410">
            <v>0</v>
          </cell>
        </row>
        <row r="411">
          <cell r="A411">
            <v>96230950346</v>
          </cell>
          <cell r="B411">
            <v>45026</v>
          </cell>
          <cell r="C411" t="str">
            <v>Regular</v>
          </cell>
          <cell r="D411" t="str">
            <v>VINCENT (698)</v>
          </cell>
          <cell r="F411" t="str">
            <v>Q</v>
          </cell>
          <cell r="G411">
            <v>0</v>
          </cell>
          <cell r="I411">
            <v>0</v>
          </cell>
          <cell r="J411">
            <v>0</v>
          </cell>
        </row>
        <row r="412">
          <cell r="A412">
            <v>96230980212</v>
          </cell>
          <cell r="B412">
            <v>45026</v>
          </cell>
          <cell r="C412" t="str">
            <v>Regular</v>
          </cell>
          <cell r="D412" t="str">
            <v>MINH 718</v>
          </cell>
          <cell r="F412" t="str">
            <v>Q A V</v>
          </cell>
          <cell r="J412">
            <v>0</v>
          </cell>
        </row>
        <row r="413">
          <cell r="A413">
            <v>96230980180</v>
          </cell>
          <cell r="B413">
            <v>45026</v>
          </cell>
          <cell r="C413" t="str">
            <v>Rush</v>
          </cell>
          <cell r="D413" t="str">
            <v>Daniel (EE)</v>
          </cell>
          <cell r="F413" t="str">
            <v>Q V</v>
          </cell>
          <cell r="G413">
            <v>0</v>
          </cell>
          <cell r="J413">
            <v>0</v>
          </cell>
        </row>
        <row r="414">
          <cell r="A414">
            <v>96230980173</v>
          </cell>
          <cell r="B414">
            <v>45026</v>
          </cell>
          <cell r="C414" t="str">
            <v>Rush</v>
          </cell>
          <cell r="D414" t="str">
            <v>Daniel (EE)</v>
          </cell>
          <cell r="F414" t="str">
            <v>Q V</v>
          </cell>
          <cell r="G414">
            <v>0</v>
          </cell>
          <cell r="J414">
            <v>0</v>
          </cell>
        </row>
        <row r="415">
          <cell r="A415">
            <v>96230870125</v>
          </cell>
          <cell r="B415">
            <v>45026</v>
          </cell>
          <cell r="C415" t="str">
            <v>Regular</v>
          </cell>
          <cell r="D415" t="str">
            <v>Vu 138</v>
          </cell>
          <cell r="F415" t="str">
            <v>Q</v>
          </cell>
          <cell r="G415">
            <v>0</v>
          </cell>
          <cell r="I415">
            <v>0</v>
          </cell>
          <cell r="J415">
            <v>0</v>
          </cell>
        </row>
        <row r="416">
          <cell r="A416">
            <v>96230930210</v>
          </cell>
          <cell r="B416">
            <v>45026</v>
          </cell>
          <cell r="C416" t="str">
            <v>Regular</v>
          </cell>
          <cell r="D416" t="str">
            <v>HAO 718</v>
          </cell>
          <cell r="F416" t="str">
            <v>V</v>
          </cell>
          <cell r="G416">
            <v>0</v>
          </cell>
          <cell r="H416">
            <v>0</v>
          </cell>
          <cell r="J416">
            <v>0</v>
          </cell>
        </row>
        <row r="417">
          <cell r="A417">
            <v>96230870381</v>
          </cell>
          <cell r="B417">
            <v>45026</v>
          </cell>
          <cell r="C417" t="str">
            <v>Regular</v>
          </cell>
          <cell r="D417" t="str">
            <v>Vu 138</v>
          </cell>
          <cell r="F417" t="str">
            <v>Q</v>
          </cell>
          <cell r="G417">
            <v>0</v>
          </cell>
          <cell r="I417">
            <v>0</v>
          </cell>
          <cell r="J417">
            <v>0</v>
          </cell>
        </row>
        <row r="418">
          <cell r="A418">
            <v>96230970652</v>
          </cell>
          <cell r="B418">
            <v>45026</v>
          </cell>
          <cell r="C418" t="str">
            <v>Regular</v>
          </cell>
          <cell r="D418" t="str">
            <v>NGOC 697</v>
          </cell>
          <cell r="E418" t="str">
            <v>TRACTOR</v>
          </cell>
          <cell r="F418" t="str">
            <v>Q V</v>
          </cell>
          <cell r="G418">
            <v>0</v>
          </cell>
          <cell r="J418">
            <v>0</v>
          </cell>
        </row>
        <row r="419">
          <cell r="A419">
            <v>96230970653</v>
          </cell>
          <cell r="B419">
            <v>45026</v>
          </cell>
          <cell r="C419" t="str">
            <v>Regular</v>
          </cell>
          <cell r="D419" t="str">
            <v>NGOC 697</v>
          </cell>
          <cell r="E419" t="str">
            <v>TRACTOR</v>
          </cell>
          <cell r="F419" t="str">
            <v>Q V</v>
          </cell>
          <cell r="G419">
            <v>0</v>
          </cell>
          <cell r="J419">
            <v>0</v>
          </cell>
        </row>
        <row r="420">
          <cell r="A420">
            <v>96230970654</v>
          </cell>
          <cell r="B420">
            <v>45026</v>
          </cell>
          <cell r="C420" t="str">
            <v>Regular</v>
          </cell>
          <cell r="D420" t="str">
            <v>NGOC 697</v>
          </cell>
          <cell r="E420" t="str">
            <v>TRACTOR</v>
          </cell>
          <cell r="F420" t="str">
            <v>Q V</v>
          </cell>
          <cell r="G420">
            <v>0</v>
          </cell>
          <cell r="J420">
            <v>0</v>
          </cell>
        </row>
        <row r="421">
          <cell r="A421">
            <v>96231000007</v>
          </cell>
          <cell r="B421">
            <v>45026</v>
          </cell>
          <cell r="C421" t="str">
            <v>Regular</v>
          </cell>
          <cell r="D421" t="str">
            <v>NGOC 697</v>
          </cell>
          <cell r="E421" t="str">
            <v>MATTEL</v>
          </cell>
          <cell r="F421" t="str">
            <v>Q V</v>
          </cell>
          <cell r="G421">
            <v>0</v>
          </cell>
          <cell r="J421">
            <v>0</v>
          </cell>
        </row>
        <row r="422">
          <cell r="A422">
            <v>96230980321</v>
          </cell>
          <cell r="B422">
            <v>45026</v>
          </cell>
          <cell r="C422" t="str">
            <v>Regular</v>
          </cell>
          <cell r="D422" t="str">
            <v>NGOC 697</v>
          </cell>
          <cell r="E422" t="str">
            <v>DISNEY</v>
          </cell>
          <cell r="F422" t="str">
            <v>Q V</v>
          </cell>
          <cell r="G422">
            <v>0</v>
          </cell>
          <cell r="J422">
            <v>0</v>
          </cell>
        </row>
        <row r="423">
          <cell r="A423">
            <v>96230980209</v>
          </cell>
          <cell r="B423">
            <v>45026</v>
          </cell>
          <cell r="C423" t="str">
            <v>Regular</v>
          </cell>
          <cell r="D423" t="str">
            <v>MINH 718</v>
          </cell>
          <cell r="F423" t="str">
            <v>Q A V</v>
          </cell>
          <cell r="J423">
            <v>0</v>
          </cell>
        </row>
        <row r="424">
          <cell r="A424">
            <v>96230970655</v>
          </cell>
          <cell r="B424">
            <v>45026</v>
          </cell>
          <cell r="C424" t="str">
            <v>Regular</v>
          </cell>
          <cell r="D424" t="str">
            <v>JH 698</v>
          </cell>
          <cell r="F424" t="str">
            <v>Q,V</v>
          </cell>
          <cell r="G424">
            <v>0</v>
          </cell>
          <cell r="J424">
            <v>0</v>
          </cell>
        </row>
        <row r="425">
          <cell r="A425">
            <v>96230970656</v>
          </cell>
          <cell r="B425">
            <v>45026</v>
          </cell>
          <cell r="C425" t="str">
            <v>Regular</v>
          </cell>
          <cell r="D425" t="str">
            <v>JH 698</v>
          </cell>
          <cell r="F425" t="str">
            <v>Q,V</v>
          </cell>
          <cell r="G425">
            <v>0</v>
          </cell>
          <cell r="J425">
            <v>0</v>
          </cell>
        </row>
        <row r="426">
          <cell r="A426">
            <v>96230980521</v>
          </cell>
          <cell r="B426">
            <v>45026</v>
          </cell>
          <cell r="C426" t="str">
            <v>Regular</v>
          </cell>
          <cell r="D426" t="str">
            <v>JH 698</v>
          </cell>
          <cell r="F426" t="str">
            <v>Q,V</v>
          </cell>
          <cell r="G426">
            <v>0</v>
          </cell>
          <cell r="J426">
            <v>0</v>
          </cell>
        </row>
        <row r="427">
          <cell r="A427">
            <v>96230940487</v>
          </cell>
          <cell r="B427">
            <v>45021</v>
          </cell>
          <cell r="C427" t="str">
            <v>Regular</v>
          </cell>
          <cell r="D427" t="str">
            <v>JUN (151)</v>
          </cell>
          <cell r="F427" t="str">
            <v>Q V</v>
          </cell>
          <cell r="G427">
            <v>0</v>
          </cell>
          <cell r="J427">
            <v>0</v>
          </cell>
        </row>
        <row r="428">
          <cell r="A428">
            <v>96230940482</v>
          </cell>
          <cell r="B428">
            <v>45021</v>
          </cell>
          <cell r="C428" t="str">
            <v>Regular</v>
          </cell>
          <cell r="D428" t="str">
            <v>JUN (151)</v>
          </cell>
          <cell r="F428" t="str">
            <v>Q V</v>
          </cell>
          <cell r="G428">
            <v>0</v>
          </cell>
          <cell r="J428">
            <v>0</v>
          </cell>
        </row>
        <row r="429">
          <cell r="A429">
            <v>96230940471</v>
          </cell>
          <cell r="B429">
            <v>45021</v>
          </cell>
          <cell r="C429" t="str">
            <v>Regular</v>
          </cell>
          <cell r="D429" t="str">
            <v>JUN (151)</v>
          </cell>
          <cell r="F429" t="str">
            <v>Q V</v>
          </cell>
          <cell r="G429">
            <v>0</v>
          </cell>
          <cell r="J429">
            <v>0</v>
          </cell>
        </row>
        <row r="430">
          <cell r="A430">
            <v>96230940043</v>
          </cell>
          <cell r="B430">
            <v>45026</v>
          </cell>
          <cell r="C430" t="str">
            <v>Regular</v>
          </cell>
          <cell r="D430" t="str">
            <v>HAO 718</v>
          </cell>
          <cell r="F430" t="str">
            <v>Q V</v>
          </cell>
          <cell r="G430">
            <v>0</v>
          </cell>
          <cell r="J430">
            <v>0</v>
          </cell>
        </row>
        <row r="431">
          <cell r="A431">
            <v>96230940311</v>
          </cell>
          <cell r="B431">
            <v>45026</v>
          </cell>
          <cell r="C431" t="str">
            <v>PRIORITY</v>
          </cell>
          <cell r="D431" t="str">
            <v>GIB 718</v>
          </cell>
          <cell r="F431" t="str">
            <v>Q</v>
          </cell>
          <cell r="G431">
            <v>0</v>
          </cell>
          <cell r="I431">
            <v>0</v>
          </cell>
          <cell r="J431">
            <v>0</v>
          </cell>
        </row>
        <row r="432">
          <cell r="A432">
            <v>96230900496</v>
          </cell>
          <cell r="B432">
            <v>45026</v>
          </cell>
          <cell r="C432" t="str">
            <v>Regular</v>
          </cell>
          <cell r="D432" t="str">
            <v>Duy (738)</v>
          </cell>
          <cell r="F432" t="str">
            <v>Q</v>
          </cell>
          <cell r="G432">
            <v>0</v>
          </cell>
          <cell r="I432">
            <v>0</v>
          </cell>
          <cell r="J432">
            <v>0</v>
          </cell>
        </row>
        <row r="433">
          <cell r="A433">
            <v>96230910277</v>
          </cell>
          <cell r="B433">
            <v>45026</v>
          </cell>
          <cell r="C433" t="str">
            <v>Regular</v>
          </cell>
          <cell r="D433" t="str">
            <v>Vu 138</v>
          </cell>
          <cell r="F433" t="str">
            <v>Q</v>
          </cell>
          <cell r="G433">
            <v>0</v>
          </cell>
          <cell r="I433">
            <v>0</v>
          </cell>
          <cell r="J433">
            <v>0</v>
          </cell>
        </row>
        <row r="434">
          <cell r="A434">
            <v>96230910310</v>
          </cell>
          <cell r="B434">
            <v>45026</v>
          </cell>
          <cell r="C434" t="str">
            <v>Regular</v>
          </cell>
          <cell r="D434" t="str">
            <v>Vu 138</v>
          </cell>
          <cell r="F434" t="str">
            <v>Q</v>
          </cell>
          <cell r="G434">
            <v>0</v>
          </cell>
          <cell r="I434">
            <v>0</v>
          </cell>
          <cell r="J434">
            <v>0</v>
          </cell>
        </row>
        <row r="435">
          <cell r="A435">
            <v>96230770462</v>
          </cell>
          <cell r="B435">
            <v>45026</v>
          </cell>
          <cell r="C435" t="str">
            <v>Regular</v>
          </cell>
          <cell r="D435" t="str">
            <v>HOANG 738</v>
          </cell>
          <cell r="F435" t="str">
            <v xml:space="preserve">Q V </v>
          </cell>
          <cell r="G435">
            <v>0</v>
          </cell>
          <cell r="J435">
            <v>0</v>
          </cell>
        </row>
        <row r="436">
          <cell r="A436">
            <v>96230940310</v>
          </cell>
          <cell r="B436">
            <v>45027</v>
          </cell>
          <cell r="C436" t="str">
            <v>Regular</v>
          </cell>
          <cell r="D436" t="str">
            <v>HOANG 738</v>
          </cell>
          <cell r="F436" t="str">
            <v>Q V</v>
          </cell>
          <cell r="G436">
            <v>0</v>
          </cell>
          <cell r="J436">
            <v>0</v>
          </cell>
        </row>
        <row r="437">
          <cell r="A437">
            <v>96231000363</v>
          </cell>
          <cell r="B437">
            <v>45027</v>
          </cell>
          <cell r="C437" t="str">
            <v>PRIORITY</v>
          </cell>
          <cell r="D437" t="str">
            <v>MINH 718</v>
          </cell>
          <cell r="F437" t="str">
            <v>Q</v>
          </cell>
          <cell r="G437">
            <v>0</v>
          </cell>
          <cell r="I437">
            <v>0</v>
          </cell>
          <cell r="J437">
            <v>0</v>
          </cell>
        </row>
        <row r="438">
          <cell r="A438">
            <v>96230960401</v>
          </cell>
          <cell r="B438">
            <v>45027</v>
          </cell>
          <cell r="C438" t="str">
            <v>Regular</v>
          </cell>
          <cell r="D438" t="str">
            <v>VINCENT (698)</v>
          </cell>
          <cell r="F438" t="str">
            <v>Q</v>
          </cell>
          <cell r="G438">
            <v>0</v>
          </cell>
          <cell r="I438">
            <v>0</v>
          </cell>
          <cell r="J438">
            <v>0</v>
          </cell>
        </row>
        <row r="439">
          <cell r="A439">
            <v>96230960463</v>
          </cell>
          <cell r="B439">
            <v>45027</v>
          </cell>
          <cell r="C439" t="str">
            <v>Regular</v>
          </cell>
          <cell r="D439" t="str">
            <v>JOHN 738</v>
          </cell>
          <cell r="F439" t="str">
            <v>Q,V</v>
          </cell>
          <cell r="G439">
            <v>0</v>
          </cell>
          <cell r="J439">
            <v>0</v>
          </cell>
        </row>
        <row r="440">
          <cell r="A440">
            <v>96230960464</v>
          </cell>
          <cell r="B440">
            <v>45027</v>
          </cell>
          <cell r="C440" t="str">
            <v>Regular</v>
          </cell>
          <cell r="D440" t="str">
            <v>JOHN 738</v>
          </cell>
          <cell r="F440" t="str">
            <v>Q,V</v>
          </cell>
          <cell r="G440">
            <v>0</v>
          </cell>
          <cell r="J440">
            <v>0</v>
          </cell>
        </row>
        <row r="441">
          <cell r="A441">
            <v>96230970648</v>
          </cell>
          <cell r="B441">
            <v>45024</v>
          </cell>
          <cell r="C441" t="str">
            <v>Regular</v>
          </cell>
          <cell r="D441" t="str">
            <v>Ducthang (EE)</v>
          </cell>
          <cell r="E441" t="str">
            <v>12 pcs</v>
          </cell>
          <cell r="F441" t="str">
            <v>Q, V</v>
          </cell>
          <cell r="G441">
            <v>0</v>
          </cell>
          <cell r="J441">
            <v>0</v>
          </cell>
        </row>
        <row r="442">
          <cell r="A442">
            <v>96230900596</v>
          </cell>
          <cell r="B442">
            <v>45023</v>
          </cell>
          <cell r="C442" t="str">
            <v>Regular</v>
          </cell>
          <cell r="D442" t="str">
            <v>Ducthang (EE)</v>
          </cell>
          <cell r="E442" t="str">
            <v>Retest 96230530334</v>
          </cell>
          <cell r="F442" t="str">
            <v>V</v>
          </cell>
          <cell r="G442">
            <v>0</v>
          </cell>
          <cell r="H442">
            <v>0</v>
          </cell>
          <cell r="J442">
            <v>0</v>
          </cell>
        </row>
        <row r="443">
          <cell r="A443">
            <v>96230970566</v>
          </cell>
          <cell r="B443">
            <v>45027</v>
          </cell>
          <cell r="C443" t="str">
            <v>Regular</v>
          </cell>
          <cell r="D443" t="str">
            <v>HAO 718</v>
          </cell>
          <cell r="F443" t="str">
            <v>A</v>
          </cell>
          <cell r="G443" t="str">
            <v>A</v>
          </cell>
          <cell r="H443">
            <v>0</v>
          </cell>
          <cell r="I443">
            <v>0</v>
          </cell>
          <cell r="J443">
            <v>0</v>
          </cell>
        </row>
        <row r="444">
          <cell r="A444">
            <v>96231000354</v>
          </cell>
          <cell r="B444">
            <v>45027</v>
          </cell>
          <cell r="C444" t="str">
            <v>Regular</v>
          </cell>
          <cell r="D444" t="str">
            <v>JUN (151)</v>
          </cell>
          <cell r="E444" t="str">
            <v>13 pcs/styles (A1~A5)</v>
          </cell>
          <cell r="F444" t="str">
            <v>Q</v>
          </cell>
          <cell r="G444">
            <v>0</v>
          </cell>
          <cell r="I444">
            <v>0</v>
          </cell>
          <cell r="J444">
            <v>0</v>
          </cell>
        </row>
        <row r="445">
          <cell r="A445">
            <v>96230970649</v>
          </cell>
          <cell r="B445">
            <v>45027</v>
          </cell>
          <cell r="C445" t="str">
            <v>Regular</v>
          </cell>
          <cell r="D445" t="str">
            <v>VYN 731</v>
          </cell>
          <cell r="F445" t="str">
            <v>QV</v>
          </cell>
          <cell r="G445">
            <v>0</v>
          </cell>
          <cell r="J445">
            <v>0</v>
          </cell>
        </row>
        <row r="446">
          <cell r="A446">
            <v>96230970650</v>
          </cell>
          <cell r="B446">
            <v>45027</v>
          </cell>
          <cell r="C446" t="str">
            <v>Regular</v>
          </cell>
          <cell r="D446" t="str">
            <v>VYN 731</v>
          </cell>
          <cell r="F446" t="str">
            <v>QV</v>
          </cell>
          <cell r="G446">
            <v>0</v>
          </cell>
          <cell r="J446">
            <v>0</v>
          </cell>
        </row>
        <row r="447">
          <cell r="A447">
            <v>96230970651</v>
          </cell>
          <cell r="B447">
            <v>45027</v>
          </cell>
          <cell r="C447" t="str">
            <v>Regular</v>
          </cell>
          <cell r="D447" t="str">
            <v>VYN 731</v>
          </cell>
          <cell r="F447" t="str">
            <v>QV</v>
          </cell>
          <cell r="G447">
            <v>0</v>
          </cell>
          <cell r="J447">
            <v>0</v>
          </cell>
        </row>
        <row r="448">
          <cell r="A448">
            <v>96230980474</v>
          </cell>
          <cell r="B448">
            <v>45027</v>
          </cell>
          <cell r="C448" t="str">
            <v>Regular</v>
          </cell>
          <cell r="D448" t="str">
            <v>VYN 731</v>
          </cell>
          <cell r="F448" t="str">
            <v>QV</v>
          </cell>
          <cell r="G448">
            <v>0</v>
          </cell>
          <cell r="J448">
            <v>0</v>
          </cell>
        </row>
        <row r="449">
          <cell r="A449">
            <v>96230980527</v>
          </cell>
          <cell r="B449">
            <v>45027</v>
          </cell>
          <cell r="C449" t="str">
            <v>Regular</v>
          </cell>
          <cell r="D449" t="str">
            <v>VYN 731</v>
          </cell>
          <cell r="F449" t="str">
            <v>AQ</v>
          </cell>
          <cell r="I449">
            <v>0</v>
          </cell>
          <cell r="J449">
            <v>0</v>
          </cell>
        </row>
        <row r="450">
          <cell r="A450">
            <v>96230980315</v>
          </cell>
          <cell r="B450">
            <v>45027</v>
          </cell>
          <cell r="C450" t="str">
            <v>Regular</v>
          </cell>
          <cell r="D450" t="str">
            <v>JH 698</v>
          </cell>
          <cell r="E450" t="str">
            <v>DISNEY</v>
          </cell>
          <cell r="F450" t="str">
            <v>QVX</v>
          </cell>
          <cell r="G450">
            <v>0</v>
          </cell>
        </row>
        <row r="451">
          <cell r="A451">
            <v>96230980316</v>
          </cell>
          <cell r="B451">
            <v>45027</v>
          </cell>
          <cell r="C451" t="str">
            <v>Regular</v>
          </cell>
          <cell r="D451" t="str">
            <v>JH 698</v>
          </cell>
          <cell r="E451" t="str">
            <v>DISNEY</v>
          </cell>
          <cell r="F451" t="str">
            <v>AQVX</v>
          </cell>
        </row>
        <row r="452">
          <cell r="A452">
            <v>96230940309</v>
          </cell>
          <cell r="B452">
            <v>45027</v>
          </cell>
          <cell r="C452" t="str">
            <v>Regular</v>
          </cell>
          <cell r="D452" t="str">
            <v>HOANG 738</v>
          </cell>
          <cell r="F452" t="str">
            <v>Q V</v>
          </cell>
          <cell r="G452">
            <v>0</v>
          </cell>
          <cell r="J452">
            <v>0</v>
          </cell>
        </row>
        <row r="453">
          <cell r="A453">
            <v>96230980499</v>
          </cell>
          <cell r="B453">
            <v>45027</v>
          </cell>
          <cell r="C453" t="str">
            <v>Regular</v>
          </cell>
          <cell r="D453" t="str">
            <v>GIB 718</v>
          </cell>
          <cell r="F453" t="str">
            <v>Q</v>
          </cell>
          <cell r="G453">
            <v>0</v>
          </cell>
          <cell r="I453">
            <v>0</v>
          </cell>
          <cell r="J453">
            <v>0</v>
          </cell>
        </row>
        <row r="454">
          <cell r="A454">
            <v>96230960107</v>
          </cell>
          <cell r="B454">
            <v>45027</v>
          </cell>
          <cell r="C454" t="str">
            <v>Regular</v>
          </cell>
          <cell r="D454" t="str">
            <v>Hardy 138</v>
          </cell>
          <cell r="E454" t="str">
            <v>COSTCO PRE</v>
          </cell>
          <cell r="F454" t="str">
            <v>V</v>
          </cell>
          <cell r="G454">
            <v>0</v>
          </cell>
          <cell r="H454">
            <v>0</v>
          </cell>
          <cell r="J454">
            <v>0</v>
          </cell>
        </row>
        <row r="455">
          <cell r="A455">
            <v>96231000401</v>
          </cell>
          <cell r="B455">
            <v>45027</v>
          </cell>
          <cell r="C455" t="str">
            <v>PRIORITY</v>
          </cell>
          <cell r="D455" t="str">
            <v>MARIS (619)</v>
          </cell>
          <cell r="F455" t="str">
            <v>Q</v>
          </cell>
          <cell r="G455">
            <v>0</v>
          </cell>
          <cell r="I455">
            <v>0</v>
          </cell>
          <cell r="J455">
            <v>0</v>
          </cell>
        </row>
        <row r="456">
          <cell r="A456">
            <v>96230930383</v>
          </cell>
          <cell r="B456">
            <v>45026</v>
          </cell>
          <cell r="C456" t="str">
            <v>Regular</v>
          </cell>
          <cell r="D456" t="str">
            <v>Vu 138</v>
          </cell>
          <cell r="F456" t="str">
            <v>Q</v>
          </cell>
          <cell r="G456">
            <v>0</v>
          </cell>
          <cell r="I456">
            <v>0</v>
          </cell>
          <cell r="J456">
            <v>0</v>
          </cell>
        </row>
        <row r="457">
          <cell r="A457">
            <v>96230970551</v>
          </cell>
          <cell r="B457">
            <v>45027</v>
          </cell>
          <cell r="C457" t="str">
            <v>Regular</v>
          </cell>
          <cell r="D457" t="str">
            <v>Hardy 138</v>
          </cell>
          <cell r="F457" t="str">
            <v>Q V</v>
          </cell>
          <cell r="G457">
            <v>0</v>
          </cell>
          <cell r="J457">
            <v>0</v>
          </cell>
        </row>
        <row r="458">
          <cell r="A458">
            <v>96230810444</v>
          </cell>
          <cell r="B458">
            <v>45013</v>
          </cell>
          <cell r="C458" t="str">
            <v>Regular</v>
          </cell>
          <cell r="D458" t="str">
            <v>FANTOM(719)</v>
          </cell>
          <cell r="F458" t="str">
            <v>A, V</v>
          </cell>
          <cell r="H458">
            <v>0</v>
          </cell>
          <cell r="J458">
            <v>0</v>
          </cell>
        </row>
        <row r="459">
          <cell r="A459">
            <v>96230950042</v>
          </cell>
          <cell r="B459">
            <v>45027</v>
          </cell>
          <cell r="C459" t="str">
            <v>RUSH</v>
          </cell>
          <cell r="D459" t="str">
            <v>MINH 718</v>
          </cell>
          <cell r="E459" t="str">
            <v>DA CHUYEN TEAM TA</v>
          </cell>
          <cell r="F459" t="str">
            <v>V</v>
          </cell>
          <cell r="G459">
            <v>0</v>
          </cell>
          <cell r="H459">
            <v>0</v>
          </cell>
          <cell r="J459">
            <v>0</v>
          </cell>
        </row>
        <row r="460">
          <cell r="A460">
            <v>96230900366</v>
          </cell>
          <cell r="B460">
            <v>45022</v>
          </cell>
          <cell r="C460" t="str">
            <v>Regular</v>
          </cell>
          <cell r="D460" t="str">
            <v>GIB 718</v>
          </cell>
          <cell r="F460" t="str">
            <v>V</v>
          </cell>
          <cell r="G460">
            <v>0</v>
          </cell>
          <cell r="H460">
            <v>0</v>
          </cell>
          <cell r="J460">
            <v>0</v>
          </cell>
        </row>
        <row r="461">
          <cell r="A461">
            <v>96231010025</v>
          </cell>
          <cell r="B461">
            <v>45027</v>
          </cell>
          <cell r="C461" t="str">
            <v>Regular</v>
          </cell>
          <cell r="D461" t="str">
            <v>MARIS (619)</v>
          </cell>
          <cell r="F461" t="str">
            <v>Q V</v>
          </cell>
          <cell r="G461">
            <v>0</v>
          </cell>
          <cell r="J461">
            <v>0</v>
          </cell>
        </row>
        <row r="462">
          <cell r="A462">
            <v>96231010042</v>
          </cell>
          <cell r="B462">
            <v>45027</v>
          </cell>
          <cell r="C462" t="str">
            <v>Regular</v>
          </cell>
          <cell r="D462" t="str">
            <v>MARIS (619)</v>
          </cell>
          <cell r="F462" t="str">
            <v>Q V</v>
          </cell>
          <cell r="G462">
            <v>0</v>
          </cell>
          <cell r="J462">
            <v>0</v>
          </cell>
        </row>
        <row r="463">
          <cell r="A463">
            <v>96230960532</v>
          </cell>
          <cell r="B463">
            <v>45027</v>
          </cell>
          <cell r="C463" t="str">
            <v>Regular</v>
          </cell>
          <cell r="D463" t="str">
            <v>CEP (138)</v>
          </cell>
          <cell r="F463" t="str">
            <v>Q</v>
          </cell>
          <cell r="G463">
            <v>0</v>
          </cell>
          <cell r="I463">
            <v>0</v>
          </cell>
          <cell r="J463">
            <v>0</v>
          </cell>
        </row>
        <row r="464">
          <cell r="A464">
            <v>96230970201</v>
          </cell>
          <cell r="B464">
            <v>45027</v>
          </cell>
          <cell r="C464" t="str">
            <v>Regular</v>
          </cell>
          <cell r="D464" t="str">
            <v>CEP (138)</v>
          </cell>
          <cell r="F464" t="str">
            <v>Q</v>
          </cell>
          <cell r="G464">
            <v>0</v>
          </cell>
          <cell r="I464">
            <v>0</v>
          </cell>
          <cell r="J464">
            <v>0</v>
          </cell>
        </row>
        <row r="465">
          <cell r="A465">
            <v>96231010318</v>
          </cell>
          <cell r="B465">
            <v>45027</v>
          </cell>
          <cell r="C465" t="str">
            <v>Regular</v>
          </cell>
          <cell r="D465" t="str">
            <v>VYN 731</v>
          </cell>
          <cell r="F465" t="str">
            <v>Q</v>
          </cell>
          <cell r="G465">
            <v>0</v>
          </cell>
          <cell r="I465">
            <v>0</v>
          </cell>
          <cell r="J465">
            <v>0</v>
          </cell>
        </row>
        <row r="466">
          <cell r="A466">
            <v>96231010323</v>
          </cell>
          <cell r="B466">
            <v>45027</v>
          </cell>
          <cell r="C466" t="str">
            <v>Regular</v>
          </cell>
          <cell r="D466" t="str">
            <v>VYN 731</v>
          </cell>
          <cell r="F466" t="str">
            <v>X</v>
          </cell>
          <cell r="G466">
            <v>0</v>
          </cell>
          <cell r="H466">
            <v>0</v>
          </cell>
          <cell r="I466">
            <v>0</v>
          </cell>
        </row>
        <row r="467">
          <cell r="A467">
            <v>96230950443</v>
          </cell>
          <cell r="B467">
            <v>45027</v>
          </cell>
          <cell r="C467" t="str">
            <v>Regular</v>
          </cell>
          <cell r="D467" t="str">
            <v>CEP (138)</v>
          </cell>
          <cell r="F467" t="str">
            <v>Q</v>
          </cell>
          <cell r="G467">
            <v>0</v>
          </cell>
          <cell r="I467">
            <v>0</v>
          </cell>
          <cell r="J467">
            <v>0</v>
          </cell>
        </row>
        <row r="468">
          <cell r="A468">
            <v>96230950450</v>
          </cell>
          <cell r="B468">
            <v>45027</v>
          </cell>
          <cell r="C468" t="str">
            <v>Regular</v>
          </cell>
          <cell r="D468" t="str">
            <v>CEP (138)</v>
          </cell>
          <cell r="F468" t="str">
            <v>Q</v>
          </cell>
          <cell r="G468">
            <v>0</v>
          </cell>
          <cell r="I468">
            <v>0</v>
          </cell>
          <cell r="J468">
            <v>0</v>
          </cell>
        </row>
        <row r="469">
          <cell r="A469">
            <v>96230950543</v>
          </cell>
          <cell r="B469">
            <v>45027</v>
          </cell>
          <cell r="C469" t="str">
            <v>Regular</v>
          </cell>
          <cell r="D469" t="str">
            <v>CEP (138)</v>
          </cell>
          <cell r="F469" t="str">
            <v>Q</v>
          </cell>
          <cell r="G469">
            <v>0</v>
          </cell>
          <cell r="I469">
            <v>0</v>
          </cell>
          <cell r="J469">
            <v>0</v>
          </cell>
        </row>
        <row r="470">
          <cell r="A470" t="str">
            <v>96230650239(2)</v>
          </cell>
          <cell r="B470">
            <v>45027</v>
          </cell>
          <cell r="C470" t="str">
            <v>Regular</v>
          </cell>
          <cell r="D470" t="str">
            <v>Duy (738)</v>
          </cell>
          <cell r="F470" t="str">
            <v>Q</v>
          </cell>
          <cell r="G470">
            <v>0</v>
          </cell>
          <cell r="I470">
            <v>0</v>
          </cell>
          <cell r="J470">
            <v>0</v>
          </cell>
        </row>
        <row r="471">
          <cell r="A471">
            <v>96230970094</v>
          </cell>
          <cell r="B471">
            <v>45027</v>
          </cell>
          <cell r="C471" t="str">
            <v>Regular</v>
          </cell>
          <cell r="D471" t="str">
            <v>HUYEN 151</v>
          </cell>
          <cell r="F471" t="str">
            <v>Q V</v>
          </cell>
          <cell r="G471">
            <v>0</v>
          </cell>
          <cell r="J471">
            <v>0</v>
          </cell>
        </row>
        <row r="472">
          <cell r="A472" t="str">
            <v>96230690115(3)</v>
          </cell>
          <cell r="B472">
            <v>45027</v>
          </cell>
          <cell r="C472" t="str">
            <v>Regular</v>
          </cell>
          <cell r="D472" t="str">
            <v>Daniel (EE)</v>
          </cell>
          <cell r="F472" t="str">
            <v>Q</v>
          </cell>
          <cell r="G472">
            <v>0</v>
          </cell>
          <cell r="J472">
            <v>0</v>
          </cell>
        </row>
        <row r="473">
          <cell r="A473">
            <v>96231000435</v>
          </cell>
          <cell r="B473">
            <v>45027</v>
          </cell>
          <cell r="C473" t="str">
            <v>Regular</v>
          </cell>
          <cell r="D473" t="str">
            <v>GIB 718</v>
          </cell>
          <cell r="F473" t="str">
            <v>Q</v>
          </cell>
          <cell r="G473">
            <v>0</v>
          </cell>
          <cell r="I473">
            <v>0</v>
          </cell>
          <cell r="J473">
            <v>0</v>
          </cell>
        </row>
        <row r="474">
          <cell r="A474">
            <v>96231000436</v>
          </cell>
          <cell r="B474">
            <v>45027</v>
          </cell>
          <cell r="C474" t="str">
            <v>Regular</v>
          </cell>
          <cell r="D474" t="str">
            <v>GIB 718</v>
          </cell>
          <cell r="F474" t="str">
            <v>Q</v>
          </cell>
          <cell r="G474">
            <v>0</v>
          </cell>
          <cell r="I474">
            <v>0</v>
          </cell>
          <cell r="J474">
            <v>0</v>
          </cell>
        </row>
        <row r="475">
          <cell r="A475">
            <v>96230960180</v>
          </cell>
          <cell r="B475">
            <v>45027</v>
          </cell>
          <cell r="C475" t="str">
            <v>Regular</v>
          </cell>
          <cell r="D475" t="str">
            <v>CEP (138)</v>
          </cell>
          <cell r="F475" t="str">
            <v>Q</v>
          </cell>
          <cell r="G475">
            <v>0</v>
          </cell>
          <cell r="I475">
            <v>0</v>
          </cell>
          <cell r="J475">
            <v>0</v>
          </cell>
        </row>
        <row r="476">
          <cell r="A476">
            <v>96230960181</v>
          </cell>
          <cell r="B476">
            <v>45027</v>
          </cell>
          <cell r="C476" t="str">
            <v>Regular</v>
          </cell>
          <cell r="D476" t="str">
            <v>CEP (138)</v>
          </cell>
          <cell r="F476" t="str">
            <v>Q</v>
          </cell>
          <cell r="G476">
            <v>0</v>
          </cell>
          <cell r="I476">
            <v>0</v>
          </cell>
          <cell r="J476">
            <v>0</v>
          </cell>
        </row>
        <row r="477">
          <cell r="A477">
            <v>96230960183</v>
          </cell>
          <cell r="B477">
            <v>45027</v>
          </cell>
          <cell r="C477" t="str">
            <v>Regular</v>
          </cell>
          <cell r="D477" t="str">
            <v>CEP (138)</v>
          </cell>
          <cell r="F477" t="str">
            <v>Q</v>
          </cell>
          <cell r="G477">
            <v>0</v>
          </cell>
          <cell r="I477">
            <v>0</v>
          </cell>
          <cell r="J477">
            <v>0</v>
          </cell>
        </row>
        <row r="478">
          <cell r="A478">
            <v>96230960184</v>
          </cell>
          <cell r="B478">
            <v>45027</v>
          </cell>
          <cell r="C478" t="str">
            <v>Regular</v>
          </cell>
          <cell r="D478" t="str">
            <v>CEP (138)</v>
          </cell>
          <cell r="F478" t="str">
            <v>Q</v>
          </cell>
          <cell r="G478">
            <v>0</v>
          </cell>
          <cell r="I478">
            <v>0</v>
          </cell>
          <cell r="J478">
            <v>0</v>
          </cell>
        </row>
        <row r="479">
          <cell r="A479">
            <v>96230950472</v>
          </cell>
          <cell r="B479">
            <v>45027</v>
          </cell>
          <cell r="C479" t="str">
            <v>Regular</v>
          </cell>
          <cell r="D479" t="str">
            <v>CEP (138)</v>
          </cell>
          <cell r="F479" t="str">
            <v>Q</v>
          </cell>
          <cell r="G479">
            <v>0</v>
          </cell>
          <cell r="I479">
            <v>0</v>
          </cell>
          <cell r="J479">
            <v>0</v>
          </cell>
        </row>
        <row r="480">
          <cell r="A480">
            <v>96230970565</v>
          </cell>
          <cell r="B480">
            <v>45028</v>
          </cell>
          <cell r="C480" t="str">
            <v>Regular</v>
          </cell>
          <cell r="D480" t="str">
            <v>HAO 718</v>
          </cell>
          <cell r="F480" t="str">
            <v>Q X V</v>
          </cell>
          <cell r="G480">
            <v>0</v>
          </cell>
        </row>
        <row r="481">
          <cell r="A481">
            <v>96230950477</v>
          </cell>
          <cell r="B481">
            <v>45027</v>
          </cell>
          <cell r="C481" t="str">
            <v>Regular</v>
          </cell>
          <cell r="D481" t="str">
            <v>CEP (138)</v>
          </cell>
          <cell r="F481" t="str">
            <v>Q</v>
          </cell>
          <cell r="G481">
            <v>0</v>
          </cell>
          <cell r="I481">
            <v>0</v>
          </cell>
          <cell r="J481">
            <v>0</v>
          </cell>
        </row>
        <row r="482">
          <cell r="A482">
            <v>96231010339</v>
          </cell>
          <cell r="B482">
            <v>45027</v>
          </cell>
          <cell r="C482" t="str">
            <v>Regular</v>
          </cell>
          <cell r="D482" t="str">
            <v>VYN 731</v>
          </cell>
          <cell r="E482" t="str">
            <v>diSNEY</v>
          </cell>
          <cell r="F482" t="str">
            <v>AQV</v>
          </cell>
          <cell r="J482">
            <v>0</v>
          </cell>
        </row>
        <row r="483">
          <cell r="A483">
            <v>96230960407</v>
          </cell>
          <cell r="B483">
            <v>45028</v>
          </cell>
          <cell r="C483" t="str">
            <v>Regular</v>
          </cell>
          <cell r="D483" t="str">
            <v>VINCENT (698)</v>
          </cell>
          <cell r="F483" t="str">
            <v>Q</v>
          </cell>
          <cell r="G483">
            <v>0</v>
          </cell>
          <cell r="I483">
            <v>0</v>
          </cell>
          <cell r="J483">
            <v>0</v>
          </cell>
        </row>
        <row r="484">
          <cell r="A484">
            <v>96231010482</v>
          </cell>
          <cell r="B484">
            <v>45028</v>
          </cell>
          <cell r="C484" t="str">
            <v>RUSH</v>
          </cell>
          <cell r="D484" t="str">
            <v>MINH 718</v>
          </cell>
          <cell r="F484" t="str">
            <v>Q</v>
          </cell>
          <cell r="G484">
            <v>0</v>
          </cell>
          <cell r="I484">
            <v>0</v>
          </cell>
          <cell r="J484">
            <v>0</v>
          </cell>
        </row>
        <row r="485">
          <cell r="A485">
            <v>96230950483</v>
          </cell>
          <cell r="B485">
            <v>45028</v>
          </cell>
          <cell r="C485" t="str">
            <v>Regular</v>
          </cell>
          <cell r="D485" t="str">
            <v>CEP (138)</v>
          </cell>
          <cell r="F485" t="str">
            <v>Q</v>
          </cell>
          <cell r="G485">
            <v>0</v>
          </cell>
          <cell r="I485">
            <v>0</v>
          </cell>
          <cell r="J485">
            <v>0</v>
          </cell>
        </row>
        <row r="486">
          <cell r="A486">
            <v>96230960489</v>
          </cell>
          <cell r="B486">
            <v>45028</v>
          </cell>
          <cell r="C486" t="str">
            <v>Regular</v>
          </cell>
          <cell r="D486" t="str">
            <v>JOHN 738</v>
          </cell>
          <cell r="F486" t="str">
            <v>Q,V</v>
          </cell>
          <cell r="G486">
            <v>0</v>
          </cell>
          <cell r="J486">
            <v>0</v>
          </cell>
        </row>
        <row r="487">
          <cell r="A487" t="str">
            <v>96230980474(2)</v>
          </cell>
          <cell r="B487">
            <v>45028</v>
          </cell>
          <cell r="C487" t="str">
            <v>Regular</v>
          </cell>
          <cell r="D487" t="str">
            <v>VYN 731</v>
          </cell>
          <cell r="F487" t="str">
            <v>Q</v>
          </cell>
        </row>
        <row r="488">
          <cell r="A488">
            <v>96230890527</v>
          </cell>
          <cell r="B488">
            <v>45022</v>
          </cell>
          <cell r="C488" t="str">
            <v>Regular</v>
          </cell>
          <cell r="D488" t="str">
            <v>FANTOM(719)</v>
          </cell>
          <cell r="F488" t="str">
            <v>Q</v>
          </cell>
          <cell r="G488">
            <v>0</v>
          </cell>
          <cell r="I488">
            <v>0</v>
          </cell>
          <cell r="J488">
            <v>0</v>
          </cell>
        </row>
        <row r="489">
          <cell r="A489">
            <v>96230970626</v>
          </cell>
          <cell r="B489">
            <v>45028</v>
          </cell>
          <cell r="C489" t="str">
            <v>Regular</v>
          </cell>
          <cell r="D489" t="str">
            <v>HOANG 738</v>
          </cell>
          <cell r="F489" t="str">
            <v xml:space="preserve">Q V </v>
          </cell>
          <cell r="G489">
            <v>0</v>
          </cell>
          <cell r="J489">
            <v>0</v>
          </cell>
        </row>
        <row r="490">
          <cell r="A490">
            <v>96231000193</v>
          </cell>
          <cell r="B490">
            <v>45027</v>
          </cell>
          <cell r="C490" t="str">
            <v>Regular</v>
          </cell>
          <cell r="D490" t="str">
            <v>MINH 718</v>
          </cell>
          <cell r="F490" t="str">
            <v>Q</v>
          </cell>
          <cell r="G490">
            <v>0</v>
          </cell>
          <cell r="I490">
            <v>0</v>
          </cell>
          <cell r="J490">
            <v>0</v>
          </cell>
        </row>
        <row r="491">
          <cell r="A491">
            <v>96231010171</v>
          </cell>
          <cell r="B491">
            <v>45028</v>
          </cell>
          <cell r="C491" t="str">
            <v>Regular</v>
          </cell>
          <cell r="D491" t="str">
            <v>JOHN 738</v>
          </cell>
          <cell r="F491" t="str">
            <v>Q</v>
          </cell>
          <cell r="G491">
            <v>0</v>
          </cell>
          <cell r="I491">
            <v>0</v>
          </cell>
          <cell r="J491">
            <v>0</v>
          </cell>
        </row>
        <row r="492">
          <cell r="A492">
            <v>96231010163</v>
          </cell>
          <cell r="B492">
            <v>45028</v>
          </cell>
          <cell r="C492" t="str">
            <v>Regular</v>
          </cell>
          <cell r="D492" t="str">
            <v>JOHN 738</v>
          </cell>
          <cell r="F492" t="str">
            <v>Q</v>
          </cell>
          <cell r="G492">
            <v>0</v>
          </cell>
          <cell r="I492">
            <v>0</v>
          </cell>
          <cell r="J492">
            <v>0</v>
          </cell>
        </row>
        <row r="493">
          <cell r="A493">
            <v>96231010159</v>
          </cell>
          <cell r="B493">
            <v>45028</v>
          </cell>
          <cell r="C493" t="str">
            <v>Regular</v>
          </cell>
          <cell r="D493" t="str">
            <v>JOHN 738</v>
          </cell>
          <cell r="F493" t="str">
            <v>Q,V</v>
          </cell>
          <cell r="G493">
            <v>0</v>
          </cell>
          <cell r="J493">
            <v>0</v>
          </cell>
        </row>
        <row r="494">
          <cell r="A494">
            <v>96231010164</v>
          </cell>
          <cell r="B494">
            <v>45028</v>
          </cell>
          <cell r="C494" t="str">
            <v>Regular</v>
          </cell>
          <cell r="D494" t="str">
            <v>JOHN 738</v>
          </cell>
          <cell r="F494" t="str">
            <v>Q,V</v>
          </cell>
          <cell r="G494">
            <v>0</v>
          </cell>
          <cell r="J494">
            <v>0</v>
          </cell>
        </row>
        <row r="495">
          <cell r="A495">
            <v>96231010481</v>
          </cell>
          <cell r="B495">
            <v>45028</v>
          </cell>
          <cell r="C495" t="str">
            <v>Regular</v>
          </cell>
          <cell r="D495" t="str">
            <v>MINH 718</v>
          </cell>
          <cell r="F495" t="str">
            <v>Q</v>
          </cell>
          <cell r="G495">
            <v>0</v>
          </cell>
          <cell r="I495">
            <v>0</v>
          </cell>
          <cell r="J495">
            <v>0</v>
          </cell>
        </row>
        <row r="496">
          <cell r="A496">
            <v>96231010529</v>
          </cell>
          <cell r="B496">
            <v>45028</v>
          </cell>
          <cell r="C496" t="str">
            <v>PRIORITY</v>
          </cell>
          <cell r="D496" t="str">
            <v>LUK 138</v>
          </cell>
          <cell r="E496" t="str">
            <v>Đã đưa mẫu Amy</v>
          </cell>
          <cell r="F496" t="str">
            <v>V</v>
          </cell>
          <cell r="G496">
            <v>0</v>
          </cell>
          <cell r="H496">
            <v>0</v>
          </cell>
          <cell r="J496">
            <v>0</v>
          </cell>
        </row>
        <row r="497">
          <cell r="A497" t="str">
            <v>96230950082(2)</v>
          </cell>
          <cell r="B497">
            <v>45028</v>
          </cell>
          <cell r="C497" t="str">
            <v>Regular</v>
          </cell>
          <cell r="D497" t="str">
            <v>VYN 731</v>
          </cell>
          <cell r="E497" t="str">
            <v>DISNEY, SUB LẦN 2</v>
          </cell>
          <cell r="F497" t="str">
            <v>V</v>
          </cell>
          <cell r="G497">
            <v>0</v>
          </cell>
          <cell r="H497">
            <v>0</v>
          </cell>
          <cell r="J497">
            <v>0</v>
          </cell>
        </row>
        <row r="498">
          <cell r="A498">
            <v>96230950494</v>
          </cell>
          <cell r="B498">
            <v>45028</v>
          </cell>
          <cell r="C498" t="str">
            <v>Regular</v>
          </cell>
          <cell r="D498" t="str">
            <v>CEP (138)</v>
          </cell>
          <cell r="F498" t="str">
            <v>Q</v>
          </cell>
          <cell r="G498">
            <v>0</v>
          </cell>
          <cell r="I498">
            <v>0</v>
          </cell>
          <cell r="J498">
            <v>0</v>
          </cell>
        </row>
        <row r="499">
          <cell r="A499">
            <v>96230950488</v>
          </cell>
          <cell r="B499">
            <v>45033</v>
          </cell>
          <cell r="C499" t="str">
            <v>Regular</v>
          </cell>
          <cell r="D499" t="str">
            <v>CEP (138)</v>
          </cell>
          <cell r="F499" t="str">
            <v>Q</v>
          </cell>
        </row>
        <row r="500">
          <cell r="A500">
            <v>96230950495</v>
          </cell>
          <cell r="B500">
            <v>45028</v>
          </cell>
          <cell r="C500" t="str">
            <v>Regular</v>
          </cell>
          <cell r="D500" t="str">
            <v>CEP (138)</v>
          </cell>
          <cell r="F500" t="str">
            <v>Q</v>
          </cell>
          <cell r="G500">
            <v>0</v>
          </cell>
          <cell r="I500">
            <v>0</v>
          </cell>
          <cell r="J500">
            <v>0</v>
          </cell>
        </row>
        <row r="501">
          <cell r="A501">
            <v>96230970582</v>
          </cell>
          <cell r="B501">
            <v>45028</v>
          </cell>
          <cell r="C501" t="str">
            <v>Regular</v>
          </cell>
          <cell r="D501" t="str">
            <v>LUK 138</v>
          </cell>
          <cell r="F501" t="str">
            <v>V</v>
          </cell>
          <cell r="G501">
            <v>0</v>
          </cell>
          <cell r="H501">
            <v>0</v>
          </cell>
          <cell r="J501">
            <v>0</v>
          </cell>
        </row>
        <row r="502">
          <cell r="A502">
            <v>96230950496</v>
          </cell>
          <cell r="B502">
            <v>45028</v>
          </cell>
          <cell r="C502" t="str">
            <v>Regular</v>
          </cell>
          <cell r="D502" t="str">
            <v>CEP (138)</v>
          </cell>
          <cell r="F502" t="str">
            <v>Q, V</v>
          </cell>
          <cell r="G502">
            <v>0</v>
          </cell>
          <cell r="J502">
            <v>0</v>
          </cell>
        </row>
        <row r="503">
          <cell r="A503">
            <v>96230950497</v>
          </cell>
          <cell r="B503">
            <v>45028</v>
          </cell>
          <cell r="C503" t="str">
            <v>Regular</v>
          </cell>
          <cell r="D503" t="str">
            <v>CEP (138)</v>
          </cell>
          <cell r="F503" t="str">
            <v>Q</v>
          </cell>
          <cell r="G503">
            <v>0</v>
          </cell>
          <cell r="I503">
            <v>0</v>
          </cell>
          <cell r="J503">
            <v>0</v>
          </cell>
        </row>
        <row r="504">
          <cell r="A504">
            <v>96231000268</v>
          </cell>
          <cell r="B504">
            <v>45028</v>
          </cell>
          <cell r="C504" t="str">
            <v>RUSH</v>
          </cell>
          <cell r="D504" t="str">
            <v>Vu 138</v>
          </cell>
          <cell r="F504" t="str">
            <v>Q</v>
          </cell>
          <cell r="G504">
            <v>0</v>
          </cell>
          <cell r="I504">
            <v>0</v>
          </cell>
          <cell r="J504">
            <v>0</v>
          </cell>
        </row>
        <row r="505">
          <cell r="A505">
            <v>96230960490</v>
          </cell>
          <cell r="B505">
            <v>45024</v>
          </cell>
          <cell r="C505" t="str">
            <v>Regular</v>
          </cell>
          <cell r="D505" t="str">
            <v>VYN 731</v>
          </cell>
          <cell r="F505" t="str">
            <v>Q</v>
          </cell>
          <cell r="G505">
            <v>0</v>
          </cell>
          <cell r="I505">
            <v>0</v>
          </cell>
          <cell r="J505">
            <v>0</v>
          </cell>
        </row>
        <row r="506">
          <cell r="A506">
            <v>96230960482</v>
          </cell>
          <cell r="B506">
            <v>45024</v>
          </cell>
          <cell r="C506" t="str">
            <v>Regular</v>
          </cell>
          <cell r="D506" t="str">
            <v>VYN 731</v>
          </cell>
          <cell r="F506" t="str">
            <v>QV</v>
          </cell>
          <cell r="G506">
            <v>0</v>
          </cell>
          <cell r="J506">
            <v>0</v>
          </cell>
        </row>
        <row r="507">
          <cell r="A507">
            <v>96231010543</v>
          </cell>
          <cell r="B507">
            <v>45028</v>
          </cell>
          <cell r="C507" t="str">
            <v>Regular</v>
          </cell>
          <cell r="D507" t="str">
            <v>MINH 718</v>
          </cell>
          <cell r="F507" t="str">
            <v>Q</v>
          </cell>
          <cell r="G507">
            <v>0</v>
          </cell>
          <cell r="I507">
            <v>0</v>
          </cell>
          <cell r="J507">
            <v>0</v>
          </cell>
        </row>
        <row r="508">
          <cell r="A508">
            <v>96230980555</v>
          </cell>
          <cell r="B508">
            <v>45028</v>
          </cell>
          <cell r="C508" t="str">
            <v>Regular</v>
          </cell>
          <cell r="D508" t="str">
            <v>HUYEN 151</v>
          </cell>
          <cell r="F508" t="str">
            <v>Q X</v>
          </cell>
          <cell r="G508">
            <v>0</v>
          </cell>
          <cell r="I508">
            <v>0</v>
          </cell>
        </row>
        <row r="509">
          <cell r="A509">
            <v>96230970342</v>
          </cell>
          <cell r="B509">
            <v>45028</v>
          </cell>
          <cell r="C509" t="str">
            <v>Regular</v>
          </cell>
          <cell r="D509" t="str">
            <v>VYN 731</v>
          </cell>
          <cell r="E509" t="str">
            <v>DISNEY</v>
          </cell>
          <cell r="F509" t="str">
            <v>AQV</v>
          </cell>
          <cell r="J509">
            <v>0</v>
          </cell>
        </row>
        <row r="510">
          <cell r="A510" t="str">
            <v>96230900322(2)</v>
          </cell>
          <cell r="B510">
            <v>45028</v>
          </cell>
          <cell r="C510" t="str">
            <v>Regular</v>
          </cell>
          <cell r="D510" t="str">
            <v>VYN 731</v>
          </cell>
          <cell r="F510" t="str">
            <v>Q</v>
          </cell>
          <cell r="G510">
            <v>0</v>
          </cell>
          <cell r="I510">
            <v>0</v>
          </cell>
          <cell r="J510">
            <v>0</v>
          </cell>
        </row>
        <row r="511">
          <cell r="A511" t="str">
            <v>96230900326(2)</v>
          </cell>
          <cell r="B511">
            <v>45028</v>
          </cell>
          <cell r="C511" t="str">
            <v>Regular</v>
          </cell>
          <cell r="D511" t="str">
            <v>VYN 731</v>
          </cell>
          <cell r="F511" t="str">
            <v>Q</v>
          </cell>
          <cell r="G511">
            <v>0</v>
          </cell>
          <cell r="I511">
            <v>0</v>
          </cell>
          <cell r="J511">
            <v>0</v>
          </cell>
        </row>
        <row r="512">
          <cell r="A512">
            <v>96230930161</v>
          </cell>
          <cell r="B512">
            <v>45028</v>
          </cell>
          <cell r="C512" t="str">
            <v>Regular</v>
          </cell>
          <cell r="D512" t="str">
            <v>CEP (138)</v>
          </cell>
          <cell r="F512" t="str">
            <v>Q</v>
          </cell>
          <cell r="G512">
            <v>0</v>
          </cell>
          <cell r="I512">
            <v>0</v>
          </cell>
          <cell r="J512">
            <v>0</v>
          </cell>
        </row>
        <row r="513">
          <cell r="A513">
            <v>96230980422</v>
          </cell>
          <cell r="B513">
            <v>45029</v>
          </cell>
          <cell r="C513" t="str">
            <v>RUSH</v>
          </cell>
          <cell r="D513" t="str">
            <v>GIB 718</v>
          </cell>
          <cell r="F513" t="str">
            <v>Q V</v>
          </cell>
          <cell r="G513">
            <v>0</v>
          </cell>
          <cell r="J513">
            <v>0</v>
          </cell>
        </row>
        <row r="514">
          <cell r="A514">
            <v>96230970460</v>
          </cell>
          <cell r="B514">
            <v>45027</v>
          </cell>
          <cell r="C514" t="str">
            <v>Regular</v>
          </cell>
          <cell r="D514" t="str">
            <v>Ducthang (EE)</v>
          </cell>
          <cell r="E514" t="str">
            <v>1 pcs</v>
          </cell>
          <cell r="F514" t="str">
            <v>Q</v>
          </cell>
          <cell r="G514">
            <v>0</v>
          </cell>
          <cell r="I514">
            <v>0</v>
          </cell>
          <cell r="J514">
            <v>0</v>
          </cell>
        </row>
        <row r="515">
          <cell r="A515">
            <v>96230970491</v>
          </cell>
          <cell r="B515">
            <v>45027</v>
          </cell>
          <cell r="C515" t="str">
            <v>Regular</v>
          </cell>
          <cell r="D515" t="str">
            <v>Ducthang (EE)</v>
          </cell>
          <cell r="E515" t="str">
            <v>1 pcs</v>
          </cell>
          <cell r="F515" t="str">
            <v>Q</v>
          </cell>
          <cell r="G515">
            <v>0</v>
          </cell>
          <cell r="I515">
            <v>0</v>
          </cell>
          <cell r="J515">
            <v>0</v>
          </cell>
        </row>
        <row r="516">
          <cell r="A516">
            <v>96230970515</v>
          </cell>
          <cell r="B516">
            <v>45027</v>
          </cell>
          <cell r="C516" t="str">
            <v>Regular</v>
          </cell>
          <cell r="D516" t="str">
            <v>Ducthang (EE)</v>
          </cell>
          <cell r="E516" t="str">
            <v>1 pcs</v>
          </cell>
          <cell r="F516" t="str">
            <v>Q</v>
          </cell>
          <cell r="G516">
            <v>0</v>
          </cell>
          <cell r="I516">
            <v>0</v>
          </cell>
          <cell r="J516">
            <v>0</v>
          </cell>
        </row>
        <row r="517">
          <cell r="A517" t="str">
            <v>96230890659(2)</v>
          </cell>
          <cell r="B517">
            <v>45029</v>
          </cell>
          <cell r="C517" t="str">
            <v>Regular</v>
          </cell>
          <cell r="D517" t="str">
            <v>JH 698</v>
          </cell>
          <cell r="E517" t="str">
            <v>Mẫu Hảo keep</v>
          </cell>
          <cell r="F517" t="str">
            <v>Q</v>
          </cell>
          <cell r="G517">
            <v>0</v>
          </cell>
          <cell r="I517">
            <v>0</v>
          </cell>
          <cell r="J517">
            <v>0</v>
          </cell>
        </row>
        <row r="518">
          <cell r="A518">
            <v>96231020058</v>
          </cell>
          <cell r="B518">
            <v>45029</v>
          </cell>
          <cell r="C518" t="str">
            <v>Regular</v>
          </cell>
          <cell r="D518" t="str">
            <v>MINH 718</v>
          </cell>
          <cell r="F518" t="str">
            <v>Q</v>
          </cell>
          <cell r="G518">
            <v>0</v>
          </cell>
          <cell r="I518">
            <v>0</v>
          </cell>
          <cell r="J518">
            <v>0</v>
          </cell>
        </row>
        <row r="519">
          <cell r="A519">
            <v>96230970559</v>
          </cell>
          <cell r="B519">
            <v>45029</v>
          </cell>
          <cell r="C519" t="str">
            <v>Regular</v>
          </cell>
          <cell r="D519" t="str">
            <v>HUYEN 151</v>
          </cell>
          <cell r="F519" t="str">
            <v>Q V</v>
          </cell>
          <cell r="G519">
            <v>0</v>
          </cell>
          <cell r="J519">
            <v>0</v>
          </cell>
        </row>
        <row r="520">
          <cell r="A520">
            <v>96231010209</v>
          </cell>
          <cell r="B520">
            <v>45029</v>
          </cell>
          <cell r="C520" t="str">
            <v>Regular</v>
          </cell>
          <cell r="D520" t="str">
            <v>MINH 718</v>
          </cell>
          <cell r="F520" t="str">
            <v>Q</v>
          </cell>
          <cell r="G520">
            <v>0</v>
          </cell>
          <cell r="I520">
            <v>0</v>
          </cell>
          <cell r="J520">
            <v>0</v>
          </cell>
        </row>
        <row r="521">
          <cell r="A521">
            <v>96231010301</v>
          </cell>
          <cell r="B521">
            <v>45028</v>
          </cell>
          <cell r="C521" t="str">
            <v>Regular</v>
          </cell>
          <cell r="D521" t="str">
            <v>MARIS (619)</v>
          </cell>
          <cell r="F521" t="str">
            <v>Q V</v>
          </cell>
          <cell r="G521">
            <v>0</v>
          </cell>
          <cell r="J521">
            <v>0</v>
          </cell>
        </row>
        <row r="522">
          <cell r="A522">
            <v>96231010303</v>
          </cell>
          <cell r="B522">
            <v>45028</v>
          </cell>
          <cell r="C522" t="str">
            <v>Regular</v>
          </cell>
          <cell r="D522" t="str">
            <v>MARIS (619)</v>
          </cell>
          <cell r="F522" t="str">
            <v>Q V</v>
          </cell>
          <cell r="G522">
            <v>0</v>
          </cell>
          <cell r="J522">
            <v>0</v>
          </cell>
        </row>
        <row r="523">
          <cell r="A523">
            <v>96231010309</v>
          </cell>
          <cell r="B523">
            <v>45028</v>
          </cell>
          <cell r="C523" t="str">
            <v>Regular</v>
          </cell>
          <cell r="D523" t="str">
            <v>MARIS (619)</v>
          </cell>
          <cell r="F523" t="str">
            <v>Q V</v>
          </cell>
          <cell r="G523">
            <v>0</v>
          </cell>
          <cell r="J523">
            <v>0</v>
          </cell>
        </row>
        <row r="524">
          <cell r="A524">
            <v>96231010310</v>
          </cell>
          <cell r="B524">
            <v>45028</v>
          </cell>
          <cell r="C524" t="str">
            <v>Regular</v>
          </cell>
          <cell r="D524" t="str">
            <v>MARIS (619)</v>
          </cell>
          <cell r="F524" t="str">
            <v>Q V</v>
          </cell>
          <cell r="G524">
            <v>0</v>
          </cell>
          <cell r="J524">
            <v>0</v>
          </cell>
        </row>
        <row r="525">
          <cell r="A525" t="str">
            <v>96230880163(2)</v>
          </cell>
          <cell r="B525">
            <v>45029</v>
          </cell>
          <cell r="C525" t="str">
            <v>Regular</v>
          </cell>
          <cell r="D525" t="str">
            <v>NGOC 697</v>
          </cell>
          <cell r="E525" t="str">
            <v>DISNEY, SUB LẦN 2</v>
          </cell>
          <cell r="F525" t="str">
            <v>V</v>
          </cell>
          <cell r="G525">
            <v>0</v>
          </cell>
          <cell r="H525">
            <v>0</v>
          </cell>
          <cell r="J525">
            <v>0</v>
          </cell>
        </row>
        <row r="526">
          <cell r="A526" t="str">
            <v>96230880166(2)</v>
          </cell>
          <cell r="B526">
            <v>45029</v>
          </cell>
          <cell r="C526" t="str">
            <v>Regular</v>
          </cell>
          <cell r="D526" t="str">
            <v>NGOC 697</v>
          </cell>
          <cell r="E526" t="str">
            <v>DISNEY, SUB LẦN 2</v>
          </cell>
          <cell r="F526" t="str">
            <v>V</v>
          </cell>
          <cell r="G526">
            <v>0</v>
          </cell>
          <cell r="H526">
            <v>0</v>
          </cell>
          <cell r="J526">
            <v>0</v>
          </cell>
        </row>
        <row r="527">
          <cell r="A527" t="str">
            <v>96230880172(2)</v>
          </cell>
          <cell r="B527">
            <v>45029</v>
          </cell>
          <cell r="C527" t="str">
            <v>Regular</v>
          </cell>
          <cell r="D527" t="str">
            <v>NGOC 697</v>
          </cell>
          <cell r="E527" t="str">
            <v>DISNEY, SUB LẦN 2</v>
          </cell>
          <cell r="F527" t="str">
            <v>V</v>
          </cell>
          <cell r="G527">
            <v>0</v>
          </cell>
          <cell r="H527">
            <v>0</v>
          </cell>
          <cell r="J527">
            <v>0</v>
          </cell>
        </row>
        <row r="528">
          <cell r="A528">
            <v>96230830609</v>
          </cell>
          <cell r="B528">
            <v>45029</v>
          </cell>
          <cell r="C528" t="str">
            <v>RUSH</v>
          </cell>
          <cell r="D528" t="str">
            <v>Duy (738)</v>
          </cell>
          <cell r="F528" t="str">
            <v>Q, V</v>
          </cell>
          <cell r="G528">
            <v>0</v>
          </cell>
          <cell r="J528">
            <v>0</v>
          </cell>
        </row>
        <row r="529">
          <cell r="A529">
            <v>96230830610</v>
          </cell>
          <cell r="B529">
            <v>45029</v>
          </cell>
          <cell r="C529" t="str">
            <v>RUSH</v>
          </cell>
          <cell r="D529" t="str">
            <v>Duy (738)</v>
          </cell>
          <cell r="F529" t="str">
            <v>Q, V</v>
          </cell>
          <cell r="G529">
            <v>0</v>
          </cell>
          <cell r="J529">
            <v>0</v>
          </cell>
        </row>
        <row r="530">
          <cell r="A530">
            <v>96231000433</v>
          </cell>
          <cell r="B530">
            <v>45029</v>
          </cell>
          <cell r="C530" t="str">
            <v>Regular</v>
          </cell>
          <cell r="D530" t="str">
            <v>HUYEN 151</v>
          </cell>
          <cell r="F530" t="str">
            <v>Q</v>
          </cell>
          <cell r="G530">
            <v>0</v>
          </cell>
          <cell r="I530">
            <v>0</v>
          </cell>
          <cell r="J530">
            <v>0</v>
          </cell>
        </row>
        <row r="531">
          <cell r="A531">
            <v>96230970233</v>
          </cell>
          <cell r="B531">
            <v>45029</v>
          </cell>
          <cell r="C531" t="str">
            <v>Regular</v>
          </cell>
          <cell r="D531" t="str">
            <v>CEP (138)</v>
          </cell>
          <cell r="F531" t="str">
            <v>Q</v>
          </cell>
          <cell r="G531">
            <v>0</v>
          </cell>
          <cell r="I531">
            <v>0</v>
          </cell>
          <cell r="J531">
            <v>0</v>
          </cell>
        </row>
        <row r="532">
          <cell r="A532">
            <v>96230970237</v>
          </cell>
          <cell r="B532">
            <v>45029</v>
          </cell>
          <cell r="C532" t="str">
            <v>Regular</v>
          </cell>
          <cell r="D532" t="str">
            <v>CEP (138)</v>
          </cell>
          <cell r="F532" t="str">
            <v>Q</v>
          </cell>
          <cell r="G532">
            <v>0</v>
          </cell>
          <cell r="I532">
            <v>0</v>
          </cell>
          <cell r="J532">
            <v>0</v>
          </cell>
        </row>
        <row r="533">
          <cell r="A533">
            <v>96231030136</v>
          </cell>
          <cell r="B533">
            <v>45029</v>
          </cell>
          <cell r="C533" t="str">
            <v>Regular</v>
          </cell>
          <cell r="D533" t="str">
            <v>NGOC 697</v>
          </cell>
          <cell r="F533" t="str">
            <v xml:space="preserve">Q </v>
          </cell>
          <cell r="G533">
            <v>0</v>
          </cell>
          <cell r="I533">
            <v>0</v>
          </cell>
          <cell r="J533">
            <v>0</v>
          </cell>
        </row>
        <row r="534">
          <cell r="A534">
            <v>96230970239</v>
          </cell>
          <cell r="B534">
            <v>45029</v>
          </cell>
          <cell r="C534" t="str">
            <v>Regular</v>
          </cell>
          <cell r="D534" t="str">
            <v>CEP (138)</v>
          </cell>
          <cell r="F534" t="str">
            <v>Q</v>
          </cell>
          <cell r="G534">
            <v>0</v>
          </cell>
          <cell r="I534">
            <v>0</v>
          </cell>
          <cell r="J534">
            <v>0</v>
          </cell>
        </row>
        <row r="535">
          <cell r="A535">
            <v>96230970240</v>
          </cell>
          <cell r="B535">
            <v>45029</v>
          </cell>
          <cell r="C535" t="str">
            <v>Regular</v>
          </cell>
          <cell r="D535" t="str">
            <v>CEP (138)</v>
          </cell>
          <cell r="F535" t="str">
            <v>Q</v>
          </cell>
          <cell r="G535">
            <v>0</v>
          </cell>
          <cell r="I535">
            <v>0</v>
          </cell>
          <cell r="J535">
            <v>0</v>
          </cell>
        </row>
        <row r="536">
          <cell r="A536">
            <v>96230970241</v>
          </cell>
          <cell r="B536">
            <v>45029</v>
          </cell>
          <cell r="C536" t="str">
            <v>Regular</v>
          </cell>
          <cell r="D536" t="str">
            <v>CEP (138)</v>
          </cell>
          <cell r="F536" t="str">
            <v>Q</v>
          </cell>
          <cell r="G536">
            <v>0</v>
          </cell>
          <cell r="I536">
            <v>0</v>
          </cell>
          <cell r="J536">
            <v>0</v>
          </cell>
        </row>
        <row r="537">
          <cell r="A537">
            <v>96230970242</v>
          </cell>
          <cell r="B537">
            <v>45029</v>
          </cell>
          <cell r="C537" t="str">
            <v>Regular</v>
          </cell>
          <cell r="D537" t="str">
            <v>CEP (138)</v>
          </cell>
          <cell r="F537" t="str">
            <v>Q</v>
          </cell>
          <cell r="G537">
            <v>0</v>
          </cell>
          <cell r="I537">
            <v>0</v>
          </cell>
          <cell r="J537">
            <v>0</v>
          </cell>
        </row>
        <row r="538">
          <cell r="A538">
            <v>96231020512</v>
          </cell>
          <cell r="B538">
            <v>45029</v>
          </cell>
          <cell r="C538" t="str">
            <v>Regular</v>
          </cell>
          <cell r="D538" t="str">
            <v>JH 698</v>
          </cell>
          <cell r="E538" t="str">
            <v>DISNEY</v>
          </cell>
          <cell r="F538" t="str">
            <v>A,Q,V</v>
          </cell>
          <cell r="J538">
            <v>0</v>
          </cell>
        </row>
        <row r="539">
          <cell r="A539">
            <v>96231020502</v>
          </cell>
          <cell r="B539">
            <v>45029</v>
          </cell>
          <cell r="C539" t="str">
            <v>Regular</v>
          </cell>
          <cell r="D539" t="str">
            <v>JH 698</v>
          </cell>
          <cell r="E539" t="str">
            <v>DISNEY</v>
          </cell>
          <cell r="F539" t="str">
            <v>A,Q,V</v>
          </cell>
          <cell r="J539">
            <v>0</v>
          </cell>
        </row>
        <row r="540">
          <cell r="A540">
            <v>96231010530</v>
          </cell>
          <cell r="B540">
            <v>45029</v>
          </cell>
          <cell r="C540" t="str">
            <v>Regular</v>
          </cell>
          <cell r="D540" t="str">
            <v>HAO 718</v>
          </cell>
          <cell r="F540" t="str">
            <v>Q</v>
          </cell>
          <cell r="G540">
            <v>0</v>
          </cell>
          <cell r="I540">
            <v>0</v>
          </cell>
          <cell r="J540">
            <v>0</v>
          </cell>
        </row>
        <row r="541">
          <cell r="A541">
            <v>96231010050</v>
          </cell>
          <cell r="B541">
            <v>45029</v>
          </cell>
          <cell r="C541" t="str">
            <v>Regular</v>
          </cell>
          <cell r="D541" t="str">
            <v>HAO 718</v>
          </cell>
          <cell r="F541" t="str">
            <v>Q</v>
          </cell>
          <cell r="G541">
            <v>0</v>
          </cell>
          <cell r="I541">
            <v>0</v>
          </cell>
          <cell r="J541">
            <v>0</v>
          </cell>
        </row>
        <row r="542">
          <cell r="A542">
            <v>96231010501</v>
          </cell>
          <cell r="B542">
            <v>45029</v>
          </cell>
          <cell r="C542" t="str">
            <v>Regular</v>
          </cell>
          <cell r="D542" t="str">
            <v>VINCENT (698)</v>
          </cell>
          <cell r="F542" t="str">
            <v>Q, V</v>
          </cell>
          <cell r="G542">
            <v>0</v>
          </cell>
          <cell r="H542" t="str">
            <v>Q</v>
          </cell>
          <cell r="J542">
            <v>0</v>
          </cell>
        </row>
        <row r="543">
          <cell r="A543">
            <v>96231010502</v>
          </cell>
          <cell r="B543">
            <v>45029</v>
          </cell>
          <cell r="C543" t="str">
            <v>Regular</v>
          </cell>
          <cell r="D543" t="str">
            <v>VINCENT (698)</v>
          </cell>
          <cell r="F543" t="str">
            <v>Q</v>
          </cell>
          <cell r="G543">
            <v>0</v>
          </cell>
          <cell r="H543" t="str">
            <v>Q</v>
          </cell>
          <cell r="I543">
            <v>0</v>
          </cell>
          <cell r="J543">
            <v>0</v>
          </cell>
        </row>
        <row r="544">
          <cell r="A544" t="str">
            <v>96230880332(2)</v>
          </cell>
          <cell r="B544">
            <v>45029</v>
          </cell>
          <cell r="C544" t="str">
            <v>PRIORITY</v>
          </cell>
          <cell r="D544" t="str">
            <v>Vu 138</v>
          </cell>
          <cell r="E544" t="str">
            <v>Retest 0880332</v>
          </cell>
          <cell r="F544" t="str">
            <v>V</v>
          </cell>
          <cell r="G544">
            <v>0</v>
          </cell>
          <cell r="H544">
            <v>0</v>
          </cell>
          <cell r="J544">
            <v>0</v>
          </cell>
        </row>
        <row r="545">
          <cell r="A545">
            <v>96231010538</v>
          </cell>
          <cell r="B545">
            <v>45029</v>
          </cell>
          <cell r="C545" t="str">
            <v>Regular</v>
          </cell>
          <cell r="D545" t="str">
            <v>LUK 138</v>
          </cell>
          <cell r="F545" t="str">
            <v>Q</v>
          </cell>
          <cell r="G545">
            <v>0</v>
          </cell>
          <cell r="I545">
            <v>0</v>
          </cell>
          <cell r="J545">
            <v>0</v>
          </cell>
        </row>
        <row r="546">
          <cell r="A546">
            <v>96231020574</v>
          </cell>
          <cell r="B546">
            <v>45029</v>
          </cell>
          <cell r="C546" t="str">
            <v>Regular</v>
          </cell>
          <cell r="D546" t="str">
            <v>VINCENT (698)</v>
          </cell>
          <cell r="F546" t="str">
            <v>Q</v>
          </cell>
          <cell r="G546">
            <v>0</v>
          </cell>
          <cell r="I546">
            <v>0</v>
          </cell>
          <cell r="J546">
            <v>0</v>
          </cell>
        </row>
        <row r="547">
          <cell r="A547">
            <v>96231030255</v>
          </cell>
          <cell r="B547">
            <v>45029</v>
          </cell>
          <cell r="C547" t="str">
            <v>PRIORITY</v>
          </cell>
          <cell r="D547" t="str">
            <v>THE HIEN (EE)</v>
          </cell>
          <cell r="F547" t="str">
            <v>QV</v>
          </cell>
          <cell r="J547">
            <v>0</v>
          </cell>
        </row>
        <row r="548">
          <cell r="A548">
            <v>96231030257</v>
          </cell>
          <cell r="B548">
            <v>45029</v>
          </cell>
          <cell r="C548" t="str">
            <v>PRIORITY</v>
          </cell>
          <cell r="D548" t="str">
            <v>THE HIEN (EE)</v>
          </cell>
          <cell r="F548" t="str">
            <v>QV</v>
          </cell>
          <cell r="G548">
            <v>0</v>
          </cell>
          <cell r="J548">
            <v>0</v>
          </cell>
        </row>
        <row r="549">
          <cell r="A549">
            <v>96231030061</v>
          </cell>
          <cell r="B549">
            <v>45029</v>
          </cell>
          <cell r="C549" t="str">
            <v>Regular</v>
          </cell>
          <cell r="D549" t="str">
            <v>JH 698</v>
          </cell>
          <cell r="E549" t="str">
            <v>CRAYOLA</v>
          </cell>
          <cell r="F549" t="str">
            <v>Q,V</v>
          </cell>
          <cell r="G549">
            <v>0</v>
          </cell>
          <cell r="J549">
            <v>0</v>
          </cell>
        </row>
        <row r="550">
          <cell r="A550">
            <v>96231030066</v>
          </cell>
          <cell r="B550">
            <v>45029</v>
          </cell>
          <cell r="C550" t="str">
            <v>Regular</v>
          </cell>
          <cell r="D550" t="str">
            <v>JH 698</v>
          </cell>
          <cell r="E550" t="str">
            <v>CRAYOLA</v>
          </cell>
          <cell r="F550" t="str">
            <v>Q,V</v>
          </cell>
          <cell r="G550">
            <v>0</v>
          </cell>
          <cell r="J550">
            <v>0</v>
          </cell>
        </row>
        <row r="551">
          <cell r="A551">
            <v>96231030069</v>
          </cell>
          <cell r="B551">
            <v>45029</v>
          </cell>
          <cell r="C551" t="str">
            <v>Regular</v>
          </cell>
          <cell r="D551" t="str">
            <v>JH 698</v>
          </cell>
          <cell r="E551" t="str">
            <v>CRAYOLA</v>
          </cell>
          <cell r="F551" t="str">
            <v>Q,V</v>
          </cell>
          <cell r="G551">
            <v>0</v>
          </cell>
          <cell r="J551">
            <v>0</v>
          </cell>
        </row>
        <row r="552">
          <cell r="A552">
            <v>96231030068</v>
          </cell>
          <cell r="B552">
            <v>45029</v>
          </cell>
          <cell r="C552" t="str">
            <v>Regular</v>
          </cell>
          <cell r="D552" t="str">
            <v>JH 698</v>
          </cell>
          <cell r="E552" t="str">
            <v>CRAYOLA</v>
          </cell>
          <cell r="F552" t="str">
            <v>Q,V</v>
          </cell>
          <cell r="G552">
            <v>0</v>
          </cell>
          <cell r="J552">
            <v>0</v>
          </cell>
        </row>
        <row r="553">
          <cell r="A553">
            <v>96231030070</v>
          </cell>
          <cell r="B553">
            <v>45029</v>
          </cell>
          <cell r="C553" t="str">
            <v>Regular</v>
          </cell>
          <cell r="D553" t="str">
            <v>MARIS (619)</v>
          </cell>
          <cell r="E553" t="str">
            <v>CRAYOLA</v>
          </cell>
          <cell r="F553" t="str">
            <v>Q,V</v>
          </cell>
          <cell r="G553">
            <v>0</v>
          </cell>
          <cell r="J553">
            <v>0</v>
          </cell>
        </row>
        <row r="554">
          <cell r="A554">
            <v>96230760730</v>
          </cell>
          <cell r="B554">
            <v>45029</v>
          </cell>
          <cell r="C554" t="str">
            <v>Regular</v>
          </cell>
          <cell r="D554" t="str">
            <v>Duy (738)</v>
          </cell>
          <cell r="F554" t="str">
            <v>Q,V</v>
          </cell>
          <cell r="G554">
            <v>0</v>
          </cell>
          <cell r="J554">
            <v>0</v>
          </cell>
        </row>
        <row r="555">
          <cell r="A555">
            <v>96230760732</v>
          </cell>
          <cell r="B555">
            <v>45029</v>
          </cell>
          <cell r="C555" t="str">
            <v>Regular</v>
          </cell>
          <cell r="D555" t="str">
            <v>Duy (738)</v>
          </cell>
          <cell r="E555" t="str">
            <v>refer sample 96230760730</v>
          </cell>
          <cell r="F555" t="str">
            <v>Q</v>
          </cell>
          <cell r="G555">
            <v>0</v>
          </cell>
          <cell r="I555">
            <v>0</v>
          </cell>
          <cell r="J555">
            <v>0</v>
          </cell>
        </row>
        <row r="556">
          <cell r="A556">
            <v>96231030605</v>
          </cell>
          <cell r="B556">
            <v>45029</v>
          </cell>
          <cell r="C556" t="str">
            <v>PRIORITY</v>
          </cell>
          <cell r="D556" t="str">
            <v>LUK 138</v>
          </cell>
          <cell r="E556" t="str">
            <v xml:space="preserve">đưa mẫu AN </v>
          </cell>
          <cell r="F556" t="str">
            <v>V</v>
          </cell>
          <cell r="G556">
            <v>0</v>
          </cell>
          <cell r="H556">
            <v>0</v>
          </cell>
          <cell r="J556">
            <v>0</v>
          </cell>
        </row>
        <row r="557">
          <cell r="A557">
            <v>96231030414</v>
          </cell>
          <cell r="B557">
            <v>45029</v>
          </cell>
          <cell r="C557" t="str">
            <v>Regular</v>
          </cell>
          <cell r="D557" t="str">
            <v>MARIS (619)</v>
          </cell>
          <cell r="F557" t="str">
            <v>X</v>
          </cell>
          <cell r="G557">
            <v>0</v>
          </cell>
          <cell r="H557">
            <v>0</v>
          </cell>
          <cell r="I557">
            <v>0</v>
          </cell>
        </row>
        <row r="558">
          <cell r="A558">
            <v>96230820185</v>
          </cell>
          <cell r="B558">
            <v>45029</v>
          </cell>
          <cell r="C558" t="str">
            <v>Regular</v>
          </cell>
          <cell r="D558" t="str">
            <v>Duy (738)</v>
          </cell>
          <cell r="F558" t="str">
            <v>Q,V</v>
          </cell>
          <cell r="G558">
            <v>0</v>
          </cell>
          <cell r="J558">
            <v>0</v>
          </cell>
        </row>
        <row r="559">
          <cell r="A559">
            <v>96231000317</v>
          </cell>
          <cell r="B559">
            <v>45030</v>
          </cell>
          <cell r="C559" t="str">
            <v>Regular</v>
          </cell>
          <cell r="D559" t="str">
            <v>Vu 138</v>
          </cell>
          <cell r="F559" t="str">
            <v>Q</v>
          </cell>
          <cell r="G559">
            <v>0</v>
          </cell>
          <cell r="I559">
            <v>0</v>
          </cell>
          <cell r="J559">
            <v>0</v>
          </cell>
        </row>
        <row r="560">
          <cell r="A560">
            <v>96231030085</v>
          </cell>
          <cell r="B560">
            <v>45030</v>
          </cell>
          <cell r="C560" t="str">
            <v>Regular</v>
          </cell>
          <cell r="D560" t="str">
            <v>NGOC 697</v>
          </cell>
          <cell r="F560" t="str">
            <v>Q</v>
          </cell>
          <cell r="G560">
            <v>0</v>
          </cell>
          <cell r="I560">
            <v>0</v>
          </cell>
          <cell r="J560">
            <v>0</v>
          </cell>
        </row>
        <row r="561">
          <cell r="A561">
            <v>96231030081</v>
          </cell>
          <cell r="B561">
            <v>45030</v>
          </cell>
          <cell r="C561" t="str">
            <v>Regular</v>
          </cell>
          <cell r="D561" t="str">
            <v>NGOC 697</v>
          </cell>
          <cell r="F561" t="str">
            <v>Q V</v>
          </cell>
          <cell r="G561">
            <v>0</v>
          </cell>
          <cell r="J561">
            <v>0</v>
          </cell>
        </row>
        <row r="562">
          <cell r="A562">
            <v>96231030083</v>
          </cell>
          <cell r="B562">
            <v>45030</v>
          </cell>
          <cell r="C562" t="str">
            <v>Regular</v>
          </cell>
          <cell r="D562" t="str">
            <v>NGOC 697</v>
          </cell>
          <cell r="F562" t="str">
            <v>Q V</v>
          </cell>
          <cell r="G562">
            <v>0</v>
          </cell>
          <cell r="J562">
            <v>0</v>
          </cell>
        </row>
        <row r="563">
          <cell r="A563">
            <v>96231030079</v>
          </cell>
          <cell r="B563">
            <v>45030</v>
          </cell>
          <cell r="C563" t="str">
            <v>Regular</v>
          </cell>
          <cell r="D563" t="str">
            <v>NGOC 697</v>
          </cell>
          <cell r="F563" t="str">
            <v>Q V</v>
          </cell>
          <cell r="G563">
            <v>0</v>
          </cell>
          <cell r="J563">
            <v>0</v>
          </cell>
        </row>
        <row r="564">
          <cell r="A564">
            <v>96231030090</v>
          </cell>
          <cell r="B564">
            <v>45030</v>
          </cell>
          <cell r="C564" t="str">
            <v>Regular</v>
          </cell>
          <cell r="D564" t="str">
            <v>NGOC 697</v>
          </cell>
          <cell r="F564" t="str">
            <v>Q V</v>
          </cell>
          <cell r="G564">
            <v>0</v>
          </cell>
          <cell r="J564">
            <v>0</v>
          </cell>
        </row>
        <row r="565">
          <cell r="A565">
            <v>96231030093</v>
          </cell>
          <cell r="B565">
            <v>45030</v>
          </cell>
          <cell r="C565" t="str">
            <v>Regular</v>
          </cell>
          <cell r="D565" t="str">
            <v>NGOC 697</v>
          </cell>
          <cell r="F565" t="str">
            <v>X</v>
          </cell>
          <cell r="G565">
            <v>0</v>
          </cell>
          <cell r="H565">
            <v>0</v>
          </cell>
          <cell r="I565">
            <v>0</v>
          </cell>
        </row>
        <row r="566">
          <cell r="A566">
            <v>96230930448</v>
          </cell>
          <cell r="B566">
            <v>45030</v>
          </cell>
          <cell r="C566" t="str">
            <v>Regular</v>
          </cell>
          <cell r="D566" t="str">
            <v>Vu 138</v>
          </cell>
          <cell r="F566" t="str">
            <v>Q</v>
          </cell>
          <cell r="G566">
            <v>0</v>
          </cell>
          <cell r="I566">
            <v>0</v>
          </cell>
          <cell r="J566">
            <v>0</v>
          </cell>
        </row>
        <row r="567">
          <cell r="A567">
            <v>96230950644</v>
          </cell>
          <cell r="B567">
            <v>45030</v>
          </cell>
          <cell r="C567" t="str">
            <v>Regular</v>
          </cell>
          <cell r="D567" t="str">
            <v>GIB 718</v>
          </cell>
          <cell r="F567" t="str">
            <v>Q A</v>
          </cell>
          <cell r="I567">
            <v>0</v>
          </cell>
          <cell r="J567">
            <v>0</v>
          </cell>
        </row>
        <row r="568">
          <cell r="A568">
            <v>96230900195</v>
          </cell>
          <cell r="B568">
            <v>45030</v>
          </cell>
          <cell r="C568" t="str">
            <v>Regular</v>
          </cell>
          <cell r="D568" t="str">
            <v>Duy (738)</v>
          </cell>
          <cell r="F568" t="str">
            <v>Q,V</v>
          </cell>
          <cell r="G568">
            <v>0</v>
          </cell>
          <cell r="J568">
            <v>0</v>
          </cell>
        </row>
        <row r="569">
          <cell r="A569">
            <v>96231040178</v>
          </cell>
          <cell r="B569">
            <v>45030</v>
          </cell>
          <cell r="C569" t="str">
            <v>PRIORITY</v>
          </cell>
          <cell r="D569" t="str">
            <v>Duy (738)</v>
          </cell>
          <cell r="F569" t="str">
            <v>Q</v>
          </cell>
          <cell r="G569">
            <v>0</v>
          </cell>
          <cell r="I569">
            <v>0</v>
          </cell>
          <cell r="J569">
            <v>0</v>
          </cell>
        </row>
        <row r="570">
          <cell r="A570">
            <v>96231030309</v>
          </cell>
          <cell r="B570">
            <v>45030</v>
          </cell>
          <cell r="C570" t="str">
            <v>RUSH</v>
          </cell>
          <cell r="D570" t="str">
            <v>HUYEN 151</v>
          </cell>
          <cell r="F570" t="str">
            <v>Q V</v>
          </cell>
          <cell r="G570">
            <v>0</v>
          </cell>
          <cell r="J570">
            <v>0</v>
          </cell>
        </row>
        <row r="571">
          <cell r="A571">
            <v>96231030308</v>
          </cell>
          <cell r="B571">
            <v>45030</v>
          </cell>
          <cell r="C571" t="str">
            <v>RUSH</v>
          </cell>
          <cell r="D571" t="str">
            <v>JUN (151)</v>
          </cell>
          <cell r="F571" t="str">
            <v>Q V</v>
          </cell>
          <cell r="G571">
            <v>0</v>
          </cell>
          <cell r="J571">
            <v>0</v>
          </cell>
        </row>
        <row r="572">
          <cell r="A572">
            <v>96231020210</v>
          </cell>
          <cell r="B572">
            <v>45030</v>
          </cell>
          <cell r="C572" t="str">
            <v>Regular</v>
          </cell>
          <cell r="D572" t="str">
            <v>LUK 138</v>
          </cell>
          <cell r="F572" t="str">
            <v>Q</v>
          </cell>
          <cell r="G572">
            <v>0</v>
          </cell>
          <cell r="I572">
            <v>0</v>
          </cell>
          <cell r="J572">
            <v>0</v>
          </cell>
        </row>
        <row r="573">
          <cell r="A573">
            <v>96231020560</v>
          </cell>
          <cell r="B573">
            <v>45030</v>
          </cell>
          <cell r="C573" t="str">
            <v>RUSH</v>
          </cell>
          <cell r="D573" t="str">
            <v>THE HIEN (EE)</v>
          </cell>
          <cell r="F573" t="str">
            <v>QV</v>
          </cell>
          <cell r="G573">
            <v>0</v>
          </cell>
          <cell r="J573">
            <v>0</v>
          </cell>
        </row>
        <row r="574">
          <cell r="A574">
            <v>96230970359</v>
          </cell>
          <cell r="B574">
            <v>45030</v>
          </cell>
          <cell r="C574" t="str">
            <v>Regular</v>
          </cell>
          <cell r="D574" t="str">
            <v>JH 698</v>
          </cell>
          <cell r="E574" t="str">
            <v>DISNEY</v>
          </cell>
          <cell r="F574" t="str">
            <v>A,V,Q</v>
          </cell>
          <cell r="G574" t="str">
            <v>A</v>
          </cell>
          <cell r="H574" t="str">
            <v>Q</v>
          </cell>
          <cell r="I574" t="str">
            <v>V</v>
          </cell>
          <cell r="J574">
            <v>0</v>
          </cell>
        </row>
        <row r="575">
          <cell r="A575">
            <v>96231030612</v>
          </cell>
          <cell r="B575">
            <v>45030</v>
          </cell>
          <cell r="C575" t="str">
            <v>RUSH</v>
          </cell>
          <cell r="D575" t="str">
            <v>MARIS (619)</v>
          </cell>
          <cell r="E575" t="str">
            <v>Matel</v>
          </cell>
          <cell r="F575" t="str">
            <v>QV</v>
          </cell>
          <cell r="G575">
            <v>0</v>
          </cell>
          <cell r="J575">
            <v>0</v>
          </cell>
        </row>
        <row r="576">
          <cell r="A576">
            <v>96231030618</v>
          </cell>
          <cell r="B576">
            <v>45030</v>
          </cell>
          <cell r="C576" t="str">
            <v>RUSH</v>
          </cell>
          <cell r="D576" t="str">
            <v>MARIS (619)</v>
          </cell>
          <cell r="E576" t="str">
            <v>RF SP 96231030612</v>
          </cell>
          <cell r="F576" t="str">
            <v>QV</v>
          </cell>
          <cell r="G576">
            <v>0</v>
          </cell>
          <cell r="J576">
            <v>0</v>
          </cell>
        </row>
        <row r="577">
          <cell r="A577">
            <v>96231030615</v>
          </cell>
          <cell r="B577">
            <v>45030</v>
          </cell>
          <cell r="C577" t="str">
            <v>RUSH</v>
          </cell>
          <cell r="D577" t="str">
            <v>MARIS (619)</v>
          </cell>
          <cell r="E577" t="str">
            <v>RF SP 96231030612</v>
          </cell>
          <cell r="F577" t="str">
            <v>QV</v>
          </cell>
          <cell r="G577">
            <v>0</v>
          </cell>
          <cell r="J577">
            <v>0</v>
          </cell>
        </row>
        <row r="578">
          <cell r="A578">
            <v>96231030614</v>
          </cell>
          <cell r="B578">
            <v>45030</v>
          </cell>
          <cell r="C578" t="str">
            <v>RUSH</v>
          </cell>
          <cell r="D578" t="str">
            <v>MARIS (619)</v>
          </cell>
          <cell r="E578" t="str">
            <v>RF SP 96231030612</v>
          </cell>
          <cell r="F578" t="str">
            <v>QV</v>
          </cell>
          <cell r="G578">
            <v>0</v>
          </cell>
          <cell r="J578">
            <v>0</v>
          </cell>
        </row>
        <row r="579">
          <cell r="A579">
            <v>96231030616</v>
          </cell>
          <cell r="B579">
            <v>45030</v>
          </cell>
          <cell r="C579" t="str">
            <v>RUSH</v>
          </cell>
          <cell r="D579" t="str">
            <v>MARIS (619)</v>
          </cell>
          <cell r="E579" t="str">
            <v>RF SP 96231030612</v>
          </cell>
          <cell r="F579" t="str">
            <v>QV</v>
          </cell>
          <cell r="G579">
            <v>0</v>
          </cell>
          <cell r="J579">
            <v>0</v>
          </cell>
        </row>
        <row r="580">
          <cell r="A580">
            <v>96231030617</v>
          </cell>
          <cell r="B580">
            <v>45030</v>
          </cell>
          <cell r="C580" t="str">
            <v>RUSH</v>
          </cell>
          <cell r="D580" t="str">
            <v>MARIS (619)</v>
          </cell>
          <cell r="E580" t="str">
            <v>RF SP 96231030612</v>
          </cell>
          <cell r="F580" t="str">
            <v>QV</v>
          </cell>
          <cell r="G580">
            <v>0</v>
          </cell>
          <cell r="J580">
            <v>0</v>
          </cell>
        </row>
        <row r="581">
          <cell r="A581">
            <v>96231030620</v>
          </cell>
          <cell r="B581">
            <v>45030</v>
          </cell>
          <cell r="C581" t="str">
            <v>RUSH</v>
          </cell>
          <cell r="D581" t="str">
            <v>MARIS (619)</v>
          </cell>
          <cell r="E581" t="str">
            <v>RF SP 96231030612</v>
          </cell>
          <cell r="F581" t="str">
            <v>QV</v>
          </cell>
          <cell r="G581">
            <v>0</v>
          </cell>
          <cell r="J581">
            <v>0</v>
          </cell>
        </row>
        <row r="582">
          <cell r="A582">
            <v>96231030619</v>
          </cell>
          <cell r="B582">
            <v>45030</v>
          </cell>
          <cell r="C582" t="str">
            <v>RUSH</v>
          </cell>
          <cell r="D582" t="str">
            <v>MARIS (619)</v>
          </cell>
          <cell r="E582" t="str">
            <v>RF SP 96231030612</v>
          </cell>
          <cell r="F582" t="str">
            <v>QV</v>
          </cell>
          <cell r="G582">
            <v>0</v>
          </cell>
        </row>
        <row r="583">
          <cell r="A583">
            <v>96231030213</v>
          </cell>
          <cell r="B583">
            <v>45030</v>
          </cell>
          <cell r="C583" t="str">
            <v>Regular</v>
          </cell>
          <cell r="D583" t="str">
            <v>NGOC 697</v>
          </cell>
          <cell r="E583" t="str">
            <v>DISNEY</v>
          </cell>
          <cell r="F583" t="str">
            <v>A,V,Q</v>
          </cell>
          <cell r="J583">
            <v>0</v>
          </cell>
        </row>
        <row r="584">
          <cell r="A584">
            <v>96231030199</v>
          </cell>
          <cell r="B584">
            <v>45030</v>
          </cell>
          <cell r="C584" t="str">
            <v>Regular</v>
          </cell>
          <cell r="D584" t="str">
            <v>NGOC 697</v>
          </cell>
          <cell r="E584" t="str">
            <v>DISNEY</v>
          </cell>
          <cell r="F584" t="str">
            <v>A,V,Q</v>
          </cell>
          <cell r="J584">
            <v>0</v>
          </cell>
        </row>
        <row r="585">
          <cell r="A585">
            <v>96231030228</v>
          </cell>
          <cell r="B585">
            <v>45030</v>
          </cell>
          <cell r="C585" t="str">
            <v>Regular</v>
          </cell>
          <cell r="D585" t="str">
            <v>NGOC 697</v>
          </cell>
          <cell r="E585" t="str">
            <v>DISNEY</v>
          </cell>
          <cell r="F585" t="str">
            <v>A,V,Q</v>
          </cell>
          <cell r="J585">
            <v>0</v>
          </cell>
        </row>
        <row r="586">
          <cell r="A586">
            <v>96231030236</v>
          </cell>
          <cell r="B586">
            <v>45030</v>
          </cell>
          <cell r="C586" t="str">
            <v>Regular</v>
          </cell>
          <cell r="D586" t="str">
            <v>NGOC 697</v>
          </cell>
          <cell r="E586" t="str">
            <v>DISNEY</v>
          </cell>
          <cell r="F586" t="str">
            <v>A,V,Q</v>
          </cell>
          <cell r="J586">
            <v>0</v>
          </cell>
        </row>
        <row r="587">
          <cell r="A587">
            <v>96231030353</v>
          </cell>
          <cell r="B587">
            <v>45030</v>
          </cell>
          <cell r="C587" t="str">
            <v>Regular</v>
          </cell>
          <cell r="D587" t="str">
            <v>NGOC 697</v>
          </cell>
          <cell r="E587" t="str">
            <v>DISNEY</v>
          </cell>
          <cell r="F587" t="str">
            <v>A,V,Q</v>
          </cell>
          <cell r="J587">
            <v>0</v>
          </cell>
        </row>
        <row r="588">
          <cell r="A588">
            <v>96231030354</v>
          </cell>
          <cell r="B588">
            <v>45030</v>
          </cell>
          <cell r="C588" t="str">
            <v>Regular</v>
          </cell>
          <cell r="D588" t="str">
            <v>NGOC 697</v>
          </cell>
          <cell r="E588" t="str">
            <v>DISNEY</v>
          </cell>
          <cell r="F588" t="str">
            <v>Q V</v>
          </cell>
          <cell r="G588">
            <v>0</v>
          </cell>
          <cell r="J588">
            <v>0</v>
          </cell>
        </row>
        <row r="589">
          <cell r="A589">
            <v>96231020120</v>
          </cell>
          <cell r="B589">
            <v>45030</v>
          </cell>
          <cell r="C589" t="str">
            <v>Regular</v>
          </cell>
          <cell r="D589" t="str">
            <v>HUYEN 151</v>
          </cell>
          <cell r="F589" t="str">
            <v>Q</v>
          </cell>
          <cell r="G589">
            <v>0</v>
          </cell>
          <cell r="I589">
            <v>0</v>
          </cell>
          <cell r="J589">
            <v>0</v>
          </cell>
        </row>
        <row r="590">
          <cell r="A590">
            <v>96231030371</v>
          </cell>
          <cell r="B590">
            <v>45030</v>
          </cell>
          <cell r="C590" t="str">
            <v>Regular</v>
          </cell>
          <cell r="D590" t="str">
            <v>MARIS (619)</v>
          </cell>
          <cell r="E590" t="str">
            <v>DISNEY</v>
          </cell>
          <cell r="F590" t="str">
            <v>A,V,Q</v>
          </cell>
          <cell r="J590">
            <v>0</v>
          </cell>
        </row>
        <row r="591">
          <cell r="A591">
            <v>96231030385</v>
          </cell>
          <cell r="B591">
            <v>45030</v>
          </cell>
          <cell r="C591" t="str">
            <v>Regular</v>
          </cell>
          <cell r="D591" t="str">
            <v>MARIS (619)</v>
          </cell>
          <cell r="E591" t="str">
            <v>DISNEY</v>
          </cell>
          <cell r="F591" t="str">
            <v>Q V</v>
          </cell>
          <cell r="G591">
            <v>0</v>
          </cell>
          <cell r="J591">
            <v>0</v>
          </cell>
        </row>
        <row r="592">
          <cell r="A592">
            <v>96231040206</v>
          </cell>
          <cell r="B592">
            <v>45030</v>
          </cell>
          <cell r="C592" t="str">
            <v>Regular</v>
          </cell>
          <cell r="D592" t="str">
            <v>MARIS (619)</v>
          </cell>
          <cell r="E592" t="str">
            <v>MATEL</v>
          </cell>
          <cell r="F592" t="str">
            <v>Q V</v>
          </cell>
          <cell r="G592">
            <v>0</v>
          </cell>
          <cell r="J592">
            <v>0</v>
          </cell>
        </row>
        <row r="593">
          <cell r="A593" t="str">
            <v>96230740229(3)</v>
          </cell>
          <cell r="B593">
            <v>45024</v>
          </cell>
          <cell r="C593" t="str">
            <v>Regular</v>
          </cell>
          <cell r="D593" t="str">
            <v>MARIS (619)</v>
          </cell>
          <cell r="F593" t="str">
            <v>Q</v>
          </cell>
          <cell r="G593">
            <v>0</v>
          </cell>
          <cell r="I593">
            <v>0</v>
          </cell>
          <cell r="J593">
            <v>0</v>
          </cell>
        </row>
        <row r="594">
          <cell r="A594">
            <v>96231040165</v>
          </cell>
          <cell r="B594">
            <v>45030</v>
          </cell>
          <cell r="C594" t="str">
            <v>RUSH</v>
          </cell>
          <cell r="D594" t="str">
            <v>JUN (151)</v>
          </cell>
          <cell r="F594" t="str">
            <v>Q</v>
          </cell>
          <cell r="G594">
            <v>0</v>
          </cell>
          <cell r="I594">
            <v>0</v>
          </cell>
          <cell r="J594">
            <v>0</v>
          </cell>
        </row>
        <row r="595">
          <cell r="A595">
            <v>96231020565</v>
          </cell>
          <cell r="B595">
            <v>45030</v>
          </cell>
          <cell r="C595" t="str">
            <v>Regular</v>
          </cell>
          <cell r="D595" t="str">
            <v>JUN (151)</v>
          </cell>
          <cell r="F595" t="str">
            <v xml:space="preserve">Q X </v>
          </cell>
          <cell r="G595">
            <v>0</v>
          </cell>
          <cell r="I595">
            <v>0</v>
          </cell>
        </row>
        <row r="596">
          <cell r="A596">
            <v>96230940411</v>
          </cell>
          <cell r="B596">
            <v>45030</v>
          </cell>
          <cell r="C596" t="str">
            <v>RUSH</v>
          </cell>
          <cell r="D596" t="str">
            <v>Vu 138</v>
          </cell>
          <cell r="F596" t="str">
            <v>Q</v>
          </cell>
          <cell r="G596">
            <v>0</v>
          </cell>
          <cell r="I596">
            <v>0</v>
          </cell>
          <cell r="J596">
            <v>0</v>
          </cell>
        </row>
        <row r="597">
          <cell r="A597">
            <v>96231040319</v>
          </cell>
          <cell r="B597">
            <v>45030</v>
          </cell>
          <cell r="C597" t="str">
            <v>RUSH</v>
          </cell>
          <cell r="D597" t="str">
            <v>MINH 718</v>
          </cell>
          <cell r="F597" t="str">
            <v>Q</v>
          </cell>
          <cell r="G597">
            <v>0</v>
          </cell>
          <cell r="I597">
            <v>0</v>
          </cell>
          <cell r="J597">
            <v>0</v>
          </cell>
        </row>
        <row r="598">
          <cell r="A598">
            <v>96231040492</v>
          </cell>
          <cell r="B598">
            <v>45030</v>
          </cell>
          <cell r="C598" t="str">
            <v>Regular</v>
          </cell>
          <cell r="D598" t="str">
            <v>VYN 731</v>
          </cell>
          <cell r="E598" t="str">
            <v>DISNEY, 16H00</v>
          </cell>
          <cell r="F598" t="str">
            <v>QV</v>
          </cell>
          <cell r="G598">
            <v>0</v>
          </cell>
          <cell r="J598">
            <v>0</v>
          </cell>
        </row>
        <row r="599">
          <cell r="A599">
            <v>96231040144</v>
          </cell>
          <cell r="B599">
            <v>45030</v>
          </cell>
          <cell r="C599" t="str">
            <v>Regular</v>
          </cell>
          <cell r="D599" t="str">
            <v>VYN 731</v>
          </cell>
          <cell r="E599" t="str">
            <v>SEGA, 15H45</v>
          </cell>
          <cell r="F599" t="str">
            <v>QV</v>
          </cell>
          <cell r="G599">
            <v>0</v>
          </cell>
          <cell r="J599">
            <v>0</v>
          </cell>
        </row>
        <row r="600">
          <cell r="A600">
            <v>96231040146</v>
          </cell>
          <cell r="B600">
            <v>45030</v>
          </cell>
          <cell r="C600" t="str">
            <v>Regular</v>
          </cell>
          <cell r="D600" t="str">
            <v>VYN 731</v>
          </cell>
          <cell r="E600" t="str">
            <v>SEGA, 15H45</v>
          </cell>
          <cell r="F600" t="str">
            <v>QV</v>
          </cell>
          <cell r="G600">
            <v>0</v>
          </cell>
          <cell r="J600">
            <v>0</v>
          </cell>
        </row>
        <row r="601">
          <cell r="A601">
            <v>96231040148</v>
          </cell>
          <cell r="B601">
            <v>45030</v>
          </cell>
          <cell r="C601" t="str">
            <v>Regular</v>
          </cell>
          <cell r="D601" t="str">
            <v>VYN 731</v>
          </cell>
          <cell r="E601" t="str">
            <v>SEGA, 15H45</v>
          </cell>
          <cell r="F601" t="str">
            <v>AQV</v>
          </cell>
          <cell r="J601">
            <v>0</v>
          </cell>
        </row>
        <row r="602">
          <cell r="A602">
            <v>96231030513</v>
          </cell>
          <cell r="B602">
            <v>45030</v>
          </cell>
          <cell r="C602" t="str">
            <v>Regular</v>
          </cell>
          <cell r="D602" t="str">
            <v>JUN (151)</v>
          </cell>
          <cell r="F602" t="str">
            <v>QV</v>
          </cell>
          <cell r="G602">
            <v>0</v>
          </cell>
          <cell r="J602">
            <v>0</v>
          </cell>
        </row>
        <row r="603">
          <cell r="A603">
            <v>96231030518</v>
          </cell>
          <cell r="B603">
            <v>45030</v>
          </cell>
          <cell r="C603" t="str">
            <v>Regular</v>
          </cell>
          <cell r="D603" t="str">
            <v>JUN (151)</v>
          </cell>
          <cell r="F603" t="str">
            <v>QV</v>
          </cell>
          <cell r="G603">
            <v>0</v>
          </cell>
          <cell r="J603">
            <v>0</v>
          </cell>
        </row>
        <row r="604">
          <cell r="A604">
            <v>96231030517</v>
          </cell>
          <cell r="B604">
            <v>45030</v>
          </cell>
          <cell r="C604" t="str">
            <v>Regular</v>
          </cell>
          <cell r="D604" t="str">
            <v>JUN (151)</v>
          </cell>
          <cell r="F604" t="str">
            <v>QV</v>
          </cell>
          <cell r="G604">
            <v>0</v>
          </cell>
          <cell r="J604">
            <v>0</v>
          </cell>
        </row>
        <row r="605">
          <cell r="A605">
            <v>96231030515</v>
          </cell>
          <cell r="B605">
            <v>45030</v>
          </cell>
          <cell r="C605" t="str">
            <v>Regular</v>
          </cell>
          <cell r="D605" t="str">
            <v>JUN (151)</v>
          </cell>
          <cell r="F605" t="str">
            <v>QV</v>
          </cell>
          <cell r="G605">
            <v>0</v>
          </cell>
          <cell r="J605">
            <v>0</v>
          </cell>
        </row>
        <row r="606">
          <cell r="A606">
            <v>96231030511</v>
          </cell>
          <cell r="B606">
            <v>45030</v>
          </cell>
          <cell r="C606" t="str">
            <v>Regular</v>
          </cell>
          <cell r="D606" t="str">
            <v>JUN (151)</v>
          </cell>
          <cell r="F606" t="str">
            <v>QV</v>
          </cell>
          <cell r="G606">
            <v>0</v>
          </cell>
          <cell r="J606">
            <v>0</v>
          </cell>
        </row>
        <row r="607">
          <cell r="A607" t="str">
            <v>96231000409(2)</v>
          </cell>
          <cell r="B607">
            <v>45030</v>
          </cell>
          <cell r="C607" t="str">
            <v>Regular</v>
          </cell>
          <cell r="D607" t="str">
            <v>VYN 731</v>
          </cell>
          <cell r="E607" t="str">
            <v>KROGER, 16H38</v>
          </cell>
          <cell r="F607" t="str">
            <v>Q</v>
          </cell>
          <cell r="G607">
            <v>0</v>
          </cell>
          <cell r="I607">
            <v>0</v>
          </cell>
          <cell r="J607">
            <v>0</v>
          </cell>
        </row>
        <row r="608">
          <cell r="A608" t="str">
            <v xml:space="preserve">96230860427(2) </v>
          </cell>
          <cell r="B608">
            <v>45030</v>
          </cell>
          <cell r="C608" t="str">
            <v>Regular</v>
          </cell>
          <cell r="D608" t="str">
            <v>Hardy 138</v>
          </cell>
          <cell r="E608" t="str">
            <v>COSTCO retest</v>
          </cell>
          <cell r="F608" t="str">
            <v>V</v>
          </cell>
          <cell r="G608">
            <v>0</v>
          </cell>
          <cell r="H608">
            <v>0</v>
          </cell>
          <cell r="J608">
            <v>0</v>
          </cell>
        </row>
        <row r="609">
          <cell r="A609">
            <v>96231000124</v>
          </cell>
          <cell r="B609">
            <v>45030</v>
          </cell>
          <cell r="C609" t="str">
            <v>Regular</v>
          </cell>
          <cell r="D609" t="str">
            <v>GIB 718</v>
          </cell>
          <cell r="F609" t="str">
            <v>Q</v>
          </cell>
          <cell r="G609">
            <v>0</v>
          </cell>
          <cell r="I609">
            <v>0</v>
          </cell>
          <cell r="J609">
            <v>0</v>
          </cell>
        </row>
        <row r="610">
          <cell r="A610">
            <v>96231030609</v>
          </cell>
          <cell r="B610">
            <v>45030</v>
          </cell>
          <cell r="C610" t="str">
            <v>Regular</v>
          </cell>
          <cell r="D610" t="str">
            <v>MARIS (619)</v>
          </cell>
          <cell r="F610" t="str">
            <v>Q</v>
          </cell>
          <cell r="G610">
            <v>0</v>
          </cell>
          <cell r="J610">
            <v>0</v>
          </cell>
        </row>
        <row r="611">
          <cell r="A611">
            <v>96231030610</v>
          </cell>
          <cell r="B611">
            <v>45030</v>
          </cell>
          <cell r="C611" t="str">
            <v>Regular</v>
          </cell>
          <cell r="D611" t="str">
            <v>MARIS (619)</v>
          </cell>
          <cell r="F611" t="str">
            <v>QV</v>
          </cell>
          <cell r="G611">
            <v>0</v>
          </cell>
          <cell r="J611">
            <v>0</v>
          </cell>
        </row>
        <row r="612">
          <cell r="A612">
            <v>96231030575</v>
          </cell>
          <cell r="B612">
            <v>45030</v>
          </cell>
          <cell r="C612" t="str">
            <v>Regular</v>
          </cell>
          <cell r="D612" t="str">
            <v>MARIS (619)</v>
          </cell>
          <cell r="F612" t="str">
            <v>Q</v>
          </cell>
          <cell r="G612">
            <v>0</v>
          </cell>
          <cell r="I612">
            <v>0</v>
          </cell>
          <cell r="J612">
            <v>0</v>
          </cell>
        </row>
        <row r="613">
          <cell r="A613" t="str">
            <v>96230910437(2)</v>
          </cell>
          <cell r="B613">
            <v>45031</v>
          </cell>
          <cell r="C613" t="str">
            <v>Regular</v>
          </cell>
          <cell r="D613" t="str">
            <v>MINH 718</v>
          </cell>
          <cell r="F613" t="str">
            <v>Q V</v>
          </cell>
          <cell r="G613">
            <v>0</v>
          </cell>
          <cell r="J613">
            <v>0</v>
          </cell>
        </row>
        <row r="614">
          <cell r="A614">
            <v>96230960065</v>
          </cell>
          <cell r="B614">
            <v>45031</v>
          </cell>
          <cell r="C614" t="str">
            <v>Regular</v>
          </cell>
          <cell r="D614" t="str">
            <v>VYN 731</v>
          </cell>
          <cell r="E614" t="str">
            <v>WALMART, 08h48</v>
          </cell>
          <cell r="F614" t="str">
            <v>Q</v>
          </cell>
          <cell r="G614">
            <v>0</v>
          </cell>
          <cell r="I614">
            <v>0</v>
          </cell>
          <cell r="J614">
            <v>0</v>
          </cell>
        </row>
        <row r="615">
          <cell r="A615">
            <v>96231030565</v>
          </cell>
          <cell r="B615">
            <v>45031</v>
          </cell>
          <cell r="C615" t="str">
            <v>Regular</v>
          </cell>
          <cell r="D615" t="str">
            <v>MINH 718</v>
          </cell>
          <cell r="F615" t="str">
            <v>V</v>
          </cell>
          <cell r="G615">
            <v>0</v>
          </cell>
          <cell r="H615">
            <v>0</v>
          </cell>
          <cell r="J615">
            <v>0</v>
          </cell>
        </row>
        <row r="616">
          <cell r="A616">
            <v>96231030557</v>
          </cell>
          <cell r="B616">
            <v>45031</v>
          </cell>
          <cell r="C616" t="str">
            <v>Regular</v>
          </cell>
          <cell r="D616" t="str">
            <v>MINH 718</v>
          </cell>
          <cell r="F616" t="str">
            <v>Q</v>
          </cell>
          <cell r="G616">
            <v>0</v>
          </cell>
          <cell r="I616">
            <v>0</v>
          </cell>
          <cell r="J616">
            <v>0</v>
          </cell>
        </row>
        <row r="617">
          <cell r="A617">
            <v>96230940427</v>
          </cell>
          <cell r="B617">
            <v>45031</v>
          </cell>
          <cell r="C617" t="str">
            <v>RUSH</v>
          </cell>
          <cell r="D617" t="str">
            <v>Vu 138</v>
          </cell>
          <cell r="F617" t="str">
            <v>Q</v>
          </cell>
          <cell r="G617">
            <v>0</v>
          </cell>
          <cell r="I617">
            <v>0</v>
          </cell>
          <cell r="J617">
            <v>0</v>
          </cell>
        </row>
        <row r="618">
          <cell r="A618" t="str">
            <v>96230870124(3)</v>
          </cell>
          <cell r="B618">
            <v>45031</v>
          </cell>
          <cell r="C618" t="str">
            <v>Regular</v>
          </cell>
          <cell r="D618" t="str">
            <v>JH 698</v>
          </cell>
          <cell r="E618" t="str">
            <v>Tractor test TPCH</v>
          </cell>
          <cell r="F618" t="str">
            <v>Q</v>
          </cell>
          <cell r="G618">
            <v>0</v>
          </cell>
          <cell r="I618">
            <v>0</v>
          </cell>
          <cell r="J618">
            <v>0</v>
          </cell>
        </row>
        <row r="619">
          <cell r="A619" t="str">
            <v>96230870124(2)</v>
          </cell>
          <cell r="B619">
            <v>45028</v>
          </cell>
          <cell r="C619" t="str">
            <v>Regular</v>
          </cell>
          <cell r="D619" t="str">
            <v>JH 698</v>
          </cell>
          <cell r="E619" t="str">
            <v>Total mercury in battery</v>
          </cell>
          <cell r="F619" t="str">
            <v>Q</v>
          </cell>
          <cell r="G619">
            <v>0</v>
          </cell>
          <cell r="I619">
            <v>0</v>
          </cell>
          <cell r="J619">
            <v>0</v>
          </cell>
        </row>
        <row r="620">
          <cell r="A620">
            <v>96231040289</v>
          </cell>
          <cell r="B620">
            <v>45031</v>
          </cell>
          <cell r="C620" t="str">
            <v>Regular</v>
          </cell>
          <cell r="D620" t="str">
            <v>GIB 718</v>
          </cell>
          <cell r="F620" t="str">
            <v>Q</v>
          </cell>
          <cell r="G620">
            <v>0</v>
          </cell>
          <cell r="I620">
            <v>0</v>
          </cell>
          <cell r="J620">
            <v>0</v>
          </cell>
        </row>
        <row r="621">
          <cell r="A621">
            <v>96231050069</v>
          </cell>
          <cell r="B621">
            <v>45031</v>
          </cell>
          <cell r="C621" t="str">
            <v>Regular</v>
          </cell>
          <cell r="D621" t="str">
            <v>VYN 731</v>
          </cell>
          <cell r="E621" t="str">
            <v>DISNEY, 12h55</v>
          </cell>
          <cell r="F621" t="str">
            <v>AQVX</v>
          </cell>
        </row>
        <row r="622">
          <cell r="A622" t="str">
            <v>96230650240(3)</v>
          </cell>
          <cell r="B622">
            <v>45031</v>
          </cell>
          <cell r="C622" t="str">
            <v>Regular</v>
          </cell>
          <cell r="D622" t="str">
            <v>Duy (738)</v>
          </cell>
          <cell r="F622" t="str">
            <v>Q</v>
          </cell>
          <cell r="G622">
            <v>0</v>
          </cell>
          <cell r="I622">
            <v>0</v>
          </cell>
          <cell r="J622">
            <v>0</v>
          </cell>
        </row>
        <row r="623">
          <cell r="A623">
            <v>96231040356</v>
          </cell>
          <cell r="B623">
            <v>45031</v>
          </cell>
          <cell r="C623" t="str">
            <v>Regular</v>
          </cell>
          <cell r="D623" t="str">
            <v>VINCENT (698)</v>
          </cell>
          <cell r="F623" t="str">
            <v>Q, V</v>
          </cell>
          <cell r="G623">
            <v>0</v>
          </cell>
          <cell r="J623">
            <v>0</v>
          </cell>
        </row>
        <row r="624">
          <cell r="A624">
            <v>96231040665</v>
          </cell>
          <cell r="B624">
            <v>45031</v>
          </cell>
          <cell r="C624" t="str">
            <v>Regular</v>
          </cell>
          <cell r="D624" t="str">
            <v>MARIS (619)</v>
          </cell>
          <cell r="F624" t="str">
            <v>Q, V</v>
          </cell>
          <cell r="G624">
            <v>0</v>
          </cell>
          <cell r="J624">
            <v>0</v>
          </cell>
        </row>
        <row r="625">
          <cell r="A625">
            <v>96231040667</v>
          </cell>
          <cell r="B625">
            <v>45031</v>
          </cell>
          <cell r="C625" t="str">
            <v>Regular</v>
          </cell>
          <cell r="D625" t="str">
            <v>MARIS (619)</v>
          </cell>
          <cell r="E625" t="str">
            <v>RF SP 96231040665</v>
          </cell>
          <cell r="F625" t="str">
            <v>Q, V</v>
          </cell>
          <cell r="G625">
            <v>0</v>
          </cell>
          <cell r="J625">
            <v>0</v>
          </cell>
        </row>
        <row r="626">
          <cell r="A626">
            <v>96231050108</v>
          </cell>
          <cell r="B626">
            <v>45031</v>
          </cell>
          <cell r="C626" t="str">
            <v>PRIORITY</v>
          </cell>
          <cell r="D626" t="str">
            <v>HAO 718</v>
          </cell>
          <cell r="E626" t="str">
            <v>Đã đưa mẫu lên AN</v>
          </cell>
          <cell r="F626" t="str">
            <v>Q</v>
          </cell>
          <cell r="G626">
            <v>0</v>
          </cell>
          <cell r="I626">
            <v>0</v>
          </cell>
          <cell r="J626">
            <v>0</v>
          </cell>
        </row>
        <row r="627">
          <cell r="A627">
            <v>96230970243</v>
          </cell>
          <cell r="B627">
            <v>45031</v>
          </cell>
          <cell r="C627" t="str">
            <v>Regular</v>
          </cell>
          <cell r="D627" t="str">
            <v>HOANG 738</v>
          </cell>
          <cell r="F627" t="str">
            <v>Q</v>
          </cell>
          <cell r="G627">
            <v>0</v>
          </cell>
          <cell r="I627">
            <v>0</v>
          </cell>
          <cell r="J627">
            <v>0</v>
          </cell>
        </row>
        <row r="628">
          <cell r="A628">
            <v>96231010299</v>
          </cell>
          <cell r="B628">
            <v>45031</v>
          </cell>
          <cell r="C628" t="str">
            <v>Regular</v>
          </cell>
          <cell r="D628" t="str">
            <v>LUK 138</v>
          </cell>
          <cell r="F628" t="str">
            <v>Q V</v>
          </cell>
          <cell r="G628">
            <v>0</v>
          </cell>
          <cell r="J628">
            <v>0</v>
          </cell>
        </row>
        <row r="629">
          <cell r="A629">
            <v>96231010300</v>
          </cell>
          <cell r="B629">
            <v>45031</v>
          </cell>
          <cell r="C629" t="str">
            <v>Regular</v>
          </cell>
          <cell r="D629" t="str">
            <v>LUK 138</v>
          </cell>
          <cell r="F629" t="str">
            <v>Q V</v>
          </cell>
          <cell r="G629">
            <v>0</v>
          </cell>
          <cell r="J629">
            <v>0</v>
          </cell>
        </row>
        <row r="630">
          <cell r="A630">
            <v>96231030200</v>
          </cell>
          <cell r="B630">
            <v>45031</v>
          </cell>
          <cell r="C630" t="str">
            <v>Regular</v>
          </cell>
          <cell r="D630" t="str">
            <v>HUYEN 151</v>
          </cell>
          <cell r="F630" t="str">
            <v>Q</v>
          </cell>
          <cell r="G630">
            <v>0</v>
          </cell>
          <cell r="I630">
            <v>0</v>
          </cell>
          <cell r="J630">
            <v>0</v>
          </cell>
        </row>
        <row r="631">
          <cell r="A631" t="str">
            <v>96230130346(4)</v>
          </cell>
          <cell r="B631">
            <v>45031</v>
          </cell>
          <cell r="C631" t="str">
            <v>Regular</v>
          </cell>
          <cell r="D631" t="str">
            <v>HAO 718</v>
          </cell>
          <cell r="F631" t="str">
            <v>V A</v>
          </cell>
          <cell r="H631">
            <v>0</v>
          </cell>
          <cell r="J631">
            <v>0</v>
          </cell>
        </row>
        <row r="632">
          <cell r="A632">
            <v>96231050268</v>
          </cell>
          <cell r="B632">
            <v>45031</v>
          </cell>
          <cell r="C632" t="str">
            <v>RUSH</v>
          </cell>
          <cell r="D632" t="str">
            <v>Vu 138</v>
          </cell>
          <cell r="F632" t="str">
            <v>Q</v>
          </cell>
          <cell r="G632">
            <v>0</v>
          </cell>
          <cell r="I632">
            <v>0</v>
          </cell>
          <cell r="J632">
            <v>0</v>
          </cell>
        </row>
        <row r="633">
          <cell r="A633" t="str">
            <v>96230980422(2)</v>
          </cell>
          <cell r="B633">
            <v>45031</v>
          </cell>
          <cell r="C633" t="str">
            <v>RUSH</v>
          </cell>
          <cell r="D633" t="str">
            <v>GIB 718</v>
          </cell>
          <cell r="F633" t="str">
            <v>V</v>
          </cell>
          <cell r="G633">
            <v>0</v>
          </cell>
          <cell r="H633">
            <v>0</v>
          </cell>
          <cell r="J633">
            <v>0</v>
          </cell>
        </row>
        <row r="634">
          <cell r="A634">
            <v>96231040363</v>
          </cell>
          <cell r="B634">
            <v>45031</v>
          </cell>
          <cell r="C634" t="str">
            <v>Regular</v>
          </cell>
          <cell r="D634" t="str">
            <v>JH 698</v>
          </cell>
          <cell r="F634" t="str">
            <v>Q,V</v>
          </cell>
          <cell r="G634">
            <v>0</v>
          </cell>
          <cell r="J634">
            <v>0</v>
          </cell>
        </row>
        <row r="635">
          <cell r="A635" t="str">
            <v>96230910428(2)</v>
          </cell>
          <cell r="B635">
            <v>45033</v>
          </cell>
          <cell r="C635" t="str">
            <v>RUSH</v>
          </cell>
          <cell r="D635" t="str">
            <v>JH 698</v>
          </cell>
          <cell r="E635" t="str">
            <v>1 pc crayon Box</v>
          </cell>
          <cell r="F635" t="str">
            <v>Q</v>
          </cell>
          <cell r="G635">
            <v>0</v>
          </cell>
          <cell r="I635">
            <v>0</v>
          </cell>
          <cell r="J635">
            <v>0</v>
          </cell>
        </row>
        <row r="636">
          <cell r="A636">
            <v>96231020582</v>
          </cell>
          <cell r="B636">
            <v>45029</v>
          </cell>
          <cell r="C636" t="str">
            <v>Regular</v>
          </cell>
          <cell r="D636" t="str">
            <v>VYN 731</v>
          </cell>
          <cell r="F636" t="str">
            <v>Q, V</v>
          </cell>
          <cell r="G636">
            <v>0</v>
          </cell>
          <cell r="J636">
            <v>0</v>
          </cell>
        </row>
        <row r="637">
          <cell r="A637">
            <v>96230930176</v>
          </cell>
          <cell r="B637">
            <v>45033</v>
          </cell>
          <cell r="C637" t="str">
            <v>Regular</v>
          </cell>
          <cell r="D637" t="str">
            <v>GIB 718</v>
          </cell>
          <cell r="F637" t="str">
            <v>A Q V</v>
          </cell>
          <cell r="J637">
            <v>0</v>
          </cell>
        </row>
        <row r="638">
          <cell r="A638">
            <v>96231040198</v>
          </cell>
          <cell r="B638">
            <v>45033</v>
          </cell>
          <cell r="C638" t="str">
            <v>Regular</v>
          </cell>
          <cell r="D638" t="str">
            <v>HUYEN 151</v>
          </cell>
          <cell r="F638" t="str">
            <v>Q V</v>
          </cell>
          <cell r="G638">
            <v>0</v>
          </cell>
          <cell r="J638">
            <v>0</v>
          </cell>
        </row>
        <row r="639">
          <cell r="A639">
            <v>96231030581</v>
          </cell>
          <cell r="B639">
            <v>45033</v>
          </cell>
          <cell r="C639" t="str">
            <v>Regular</v>
          </cell>
          <cell r="D639" t="str">
            <v>HAO 718</v>
          </cell>
          <cell r="F639" t="str">
            <v>Q</v>
          </cell>
          <cell r="G639">
            <v>0</v>
          </cell>
          <cell r="I639">
            <v>0</v>
          </cell>
          <cell r="J639">
            <v>0</v>
          </cell>
        </row>
        <row r="640">
          <cell r="A640">
            <v>96231010027</v>
          </cell>
          <cell r="B640">
            <v>45033</v>
          </cell>
          <cell r="C640" t="str">
            <v>Regular</v>
          </cell>
          <cell r="D640" t="str">
            <v>GIB 718</v>
          </cell>
          <cell r="F640" t="str">
            <v>Q</v>
          </cell>
          <cell r="G640">
            <v>0</v>
          </cell>
          <cell r="I640">
            <v>0</v>
          </cell>
          <cell r="J640">
            <v>0</v>
          </cell>
        </row>
        <row r="641">
          <cell r="A641">
            <v>96231070124</v>
          </cell>
          <cell r="B641">
            <v>45033</v>
          </cell>
          <cell r="C641" t="str">
            <v>Regular</v>
          </cell>
          <cell r="D641" t="str">
            <v>MARIS (619)</v>
          </cell>
          <cell r="E641" t="str">
            <v>DISNEY</v>
          </cell>
          <cell r="F641" t="str">
            <v>Q V</v>
          </cell>
          <cell r="G641">
            <v>0</v>
          </cell>
          <cell r="J641">
            <v>0</v>
          </cell>
        </row>
        <row r="642">
          <cell r="A642">
            <v>96231050476</v>
          </cell>
          <cell r="B642">
            <v>45033</v>
          </cell>
          <cell r="C642" t="str">
            <v>Regular</v>
          </cell>
          <cell r="D642" t="str">
            <v>NGOC 697</v>
          </cell>
          <cell r="F642" t="str">
            <v>Q</v>
          </cell>
          <cell r="G642">
            <v>0</v>
          </cell>
          <cell r="I642">
            <v>0</v>
          </cell>
          <cell r="J642">
            <v>0</v>
          </cell>
        </row>
        <row r="643">
          <cell r="A643">
            <v>96231040282</v>
          </cell>
          <cell r="B643">
            <v>45033</v>
          </cell>
          <cell r="C643" t="str">
            <v>Regular</v>
          </cell>
          <cell r="D643" t="str">
            <v>LUK 138</v>
          </cell>
          <cell r="F643" t="str">
            <v>Q V</v>
          </cell>
          <cell r="G643">
            <v>0</v>
          </cell>
          <cell r="J643">
            <v>0</v>
          </cell>
        </row>
        <row r="644">
          <cell r="A644">
            <v>96231040595</v>
          </cell>
          <cell r="B644">
            <v>45033</v>
          </cell>
          <cell r="C644" t="str">
            <v>Regular</v>
          </cell>
          <cell r="D644" t="str">
            <v>HUYEN 151</v>
          </cell>
          <cell r="F644" t="str">
            <v>Q V</v>
          </cell>
          <cell r="G644">
            <v>0</v>
          </cell>
          <cell r="H644" t="str">
            <v>Q</v>
          </cell>
          <cell r="J644">
            <v>0</v>
          </cell>
        </row>
        <row r="645">
          <cell r="A645">
            <v>96231070091</v>
          </cell>
          <cell r="B645">
            <v>45033</v>
          </cell>
          <cell r="C645" t="str">
            <v>Regular</v>
          </cell>
          <cell r="D645" t="str">
            <v>JH 698</v>
          </cell>
          <cell r="E645" t="str">
            <v>DISNEY</v>
          </cell>
          <cell r="F645" t="str">
            <v>Q,V,X</v>
          </cell>
          <cell r="G645">
            <v>0</v>
          </cell>
        </row>
        <row r="646">
          <cell r="A646">
            <v>96231070270</v>
          </cell>
          <cell r="B646">
            <v>45033</v>
          </cell>
          <cell r="C646" t="str">
            <v>PRIORITY</v>
          </cell>
          <cell r="D646" t="str">
            <v>VINCENT (698)</v>
          </cell>
          <cell r="F646" t="str">
            <v>Q</v>
          </cell>
          <cell r="G646">
            <v>0</v>
          </cell>
          <cell r="I646">
            <v>0</v>
          </cell>
          <cell r="J646">
            <v>0</v>
          </cell>
        </row>
        <row r="647">
          <cell r="A647">
            <v>96230980312</v>
          </cell>
          <cell r="B647">
            <v>45033</v>
          </cell>
          <cell r="C647" t="str">
            <v>Regular</v>
          </cell>
          <cell r="D647" t="str">
            <v>CEP (138)</v>
          </cell>
          <cell r="F647" t="str">
            <v>Q, V</v>
          </cell>
          <cell r="G647">
            <v>0</v>
          </cell>
          <cell r="J647">
            <v>0</v>
          </cell>
        </row>
        <row r="648">
          <cell r="A648">
            <v>96231050110</v>
          </cell>
          <cell r="B648">
            <v>45033</v>
          </cell>
          <cell r="C648" t="str">
            <v>Regular</v>
          </cell>
          <cell r="D648" t="str">
            <v>HAO 718</v>
          </cell>
          <cell r="F648" t="str">
            <v>Q</v>
          </cell>
          <cell r="G648">
            <v>0</v>
          </cell>
          <cell r="I648">
            <v>0</v>
          </cell>
          <cell r="J648">
            <v>0</v>
          </cell>
        </row>
        <row r="649">
          <cell r="A649">
            <v>96231070302</v>
          </cell>
          <cell r="B649">
            <v>45033</v>
          </cell>
          <cell r="C649" t="str">
            <v>Regular</v>
          </cell>
          <cell r="D649" t="str">
            <v>MARIS (619)</v>
          </cell>
          <cell r="E649" t="str">
            <v>DISNEY</v>
          </cell>
          <cell r="F649" t="str">
            <v>A, Q, V</v>
          </cell>
          <cell r="J649">
            <v>0</v>
          </cell>
        </row>
        <row r="650">
          <cell r="A650">
            <v>96231050261</v>
          </cell>
          <cell r="B650">
            <v>45033</v>
          </cell>
          <cell r="C650" t="str">
            <v>Regular</v>
          </cell>
          <cell r="D650" t="str">
            <v>GIB 718</v>
          </cell>
          <cell r="F650" t="str">
            <v>Q</v>
          </cell>
          <cell r="G650">
            <v>0</v>
          </cell>
          <cell r="I650">
            <v>0</v>
          </cell>
          <cell r="J650">
            <v>0</v>
          </cell>
        </row>
        <row r="651">
          <cell r="A651" t="str">
            <v>96231000409(3)</v>
          </cell>
          <cell r="B651">
            <v>45033</v>
          </cell>
          <cell r="C651" t="str">
            <v>PRIORITY</v>
          </cell>
          <cell r="D651" t="str">
            <v>XP 697</v>
          </cell>
          <cell r="F651" t="str">
            <v>A</v>
          </cell>
          <cell r="H651">
            <v>0</v>
          </cell>
          <cell r="I651">
            <v>0</v>
          </cell>
          <cell r="J651">
            <v>0</v>
          </cell>
        </row>
        <row r="652">
          <cell r="A652">
            <v>96231070276</v>
          </cell>
          <cell r="B652">
            <v>45033</v>
          </cell>
          <cell r="C652" t="str">
            <v>Regular</v>
          </cell>
          <cell r="D652" t="str">
            <v>NGOC 697</v>
          </cell>
          <cell r="E652" t="str">
            <v>DISNEY 15:30</v>
          </cell>
          <cell r="F652" t="str">
            <v>Q V</v>
          </cell>
          <cell r="G652">
            <v>0</v>
          </cell>
          <cell r="J652">
            <v>0</v>
          </cell>
        </row>
        <row r="653">
          <cell r="A653">
            <v>96231070279</v>
          </cell>
          <cell r="B653">
            <v>45033</v>
          </cell>
          <cell r="C653" t="str">
            <v>Regular</v>
          </cell>
          <cell r="D653" t="str">
            <v>NGOC 697</v>
          </cell>
          <cell r="E653" t="str">
            <v>DISNEY 15:30</v>
          </cell>
          <cell r="F653" t="str">
            <v>Q V</v>
          </cell>
          <cell r="G653">
            <v>0</v>
          </cell>
          <cell r="J653">
            <v>0</v>
          </cell>
        </row>
        <row r="654">
          <cell r="A654">
            <v>96231070280</v>
          </cell>
          <cell r="B654">
            <v>45033</v>
          </cell>
          <cell r="C654" t="str">
            <v>Regular</v>
          </cell>
          <cell r="D654" t="str">
            <v>JH 698</v>
          </cell>
          <cell r="E654" t="str">
            <v>DISNEy 16:02</v>
          </cell>
          <cell r="F654" t="str">
            <v>A,Q,V</v>
          </cell>
          <cell r="J654">
            <v>0</v>
          </cell>
        </row>
        <row r="655">
          <cell r="A655">
            <v>96231070282</v>
          </cell>
          <cell r="B655">
            <v>45033</v>
          </cell>
          <cell r="C655" t="str">
            <v>Regular</v>
          </cell>
          <cell r="D655" t="str">
            <v>JH 698</v>
          </cell>
          <cell r="E655" t="str">
            <v>DISNEy 16:02</v>
          </cell>
          <cell r="F655" t="str">
            <v>A,Q,V</v>
          </cell>
          <cell r="J655">
            <v>0</v>
          </cell>
        </row>
        <row r="656">
          <cell r="A656">
            <v>96231070287</v>
          </cell>
          <cell r="B656">
            <v>45033</v>
          </cell>
          <cell r="C656" t="str">
            <v>Regular</v>
          </cell>
          <cell r="D656" t="str">
            <v>JH 698</v>
          </cell>
          <cell r="E656" t="str">
            <v>DISNEy 16:02</v>
          </cell>
          <cell r="F656" t="str">
            <v>A,Q,V</v>
          </cell>
          <cell r="J656">
            <v>0</v>
          </cell>
        </row>
        <row r="657">
          <cell r="A657">
            <v>96231070306</v>
          </cell>
          <cell r="B657">
            <v>45033</v>
          </cell>
          <cell r="C657" t="str">
            <v>Regular</v>
          </cell>
          <cell r="D657" t="str">
            <v>JH 698</v>
          </cell>
          <cell r="E657" t="str">
            <v>DISNEy 16:02</v>
          </cell>
          <cell r="F657" t="str">
            <v>Q,V</v>
          </cell>
          <cell r="G657">
            <v>0</v>
          </cell>
          <cell r="J657">
            <v>0</v>
          </cell>
        </row>
        <row r="658">
          <cell r="A658">
            <v>96231000289</v>
          </cell>
          <cell r="B658">
            <v>45033</v>
          </cell>
          <cell r="C658" t="str">
            <v>Regular</v>
          </cell>
          <cell r="D658" t="str">
            <v>CEP (138)</v>
          </cell>
          <cell r="F658" t="str">
            <v>Q</v>
          </cell>
          <cell r="G658">
            <v>0</v>
          </cell>
          <cell r="I658">
            <v>0</v>
          </cell>
          <cell r="J658">
            <v>0</v>
          </cell>
        </row>
        <row r="659">
          <cell r="A659">
            <v>96231070325</v>
          </cell>
          <cell r="B659">
            <v>45033</v>
          </cell>
          <cell r="C659" t="str">
            <v>Regular</v>
          </cell>
          <cell r="D659" t="str">
            <v>MARIS (619)</v>
          </cell>
          <cell r="E659" t="str">
            <v>DISNEY 016:55</v>
          </cell>
          <cell r="F659" t="str">
            <v>Q,V</v>
          </cell>
          <cell r="G659">
            <v>0</v>
          </cell>
          <cell r="J659">
            <v>0</v>
          </cell>
        </row>
        <row r="660">
          <cell r="A660">
            <v>96231070327</v>
          </cell>
          <cell r="B660">
            <v>45033</v>
          </cell>
          <cell r="C660" t="str">
            <v>Regular</v>
          </cell>
          <cell r="D660" t="str">
            <v>MARIS (619)</v>
          </cell>
          <cell r="E660" t="str">
            <v>DISNEY 16:55 - RF SP 96231070325</v>
          </cell>
          <cell r="F660" t="str">
            <v>Q,V</v>
          </cell>
          <cell r="G660">
            <v>0</v>
          </cell>
          <cell r="J660">
            <v>0</v>
          </cell>
        </row>
        <row r="661">
          <cell r="A661">
            <v>96231070330</v>
          </cell>
          <cell r="B661">
            <v>45033</v>
          </cell>
          <cell r="C661" t="str">
            <v>Regular</v>
          </cell>
          <cell r="D661" t="str">
            <v>MARIS (619)</v>
          </cell>
          <cell r="E661" t="str">
            <v>DISNEY 16:55 - RF SP 96231070325</v>
          </cell>
          <cell r="F661" t="str">
            <v>A,Q,V</v>
          </cell>
          <cell r="J661">
            <v>0</v>
          </cell>
        </row>
        <row r="662">
          <cell r="A662">
            <v>96231010189</v>
          </cell>
          <cell r="B662">
            <v>45033</v>
          </cell>
          <cell r="C662" t="str">
            <v>Regular</v>
          </cell>
          <cell r="D662" t="str">
            <v>Duy (738)</v>
          </cell>
          <cell r="F662" t="str">
            <v>Q</v>
          </cell>
          <cell r="G662">
            <v>0</v>
          </cell>
          <cell r="I662">
            <v>0</v>
          </cell>
          <cell r="J662">
            <v>0</v>
          </cell>
        </row>
        <row r="663">
          <cell r="A663">
            <v>96231070308</v>
          </cell>
          <cell r="B663">
            <v>45033</v>
          </cell>
          <cell r="C663" t="str">
            <v>Regular</v>
          </cell>
          <cell r="D663" t="str">
            <v>NGOC 697</v>
          </cell>
          <cell r="E663" t="str">
            <v>DISNEY 17:22</v>
          </cell>
          <cell r="F663" t="str">
            <v>A Q V</v>
          </cell>
          <cell r="J663">
            <v>0</v>
          </cell>
        </row>
        <row r="664">
          <cell r="A664">
            <v>96231070309</v>
          </cell>
          <cell r="B664">
            <v>45033</v>
          </cell>
          <cell r="C664" t="str">
            <v>Regular</v>
          </cell>
          <cell r="D664" t="str">
            <v>NGOC 697</v>
          </cell>
          <cell r="E664" t="str">
            <v>DISNEY 17:22</v>
          </cell>
          <cell r="F664" t="str">
            <v>Q V</v>
          </cell>
          <cell r="J664">
            <v>0</v>
          </cell>
        </row>
        <row r="665">
          <cell r="A665">
            <v>96231070310</v>
          </cell>
          <cell r="B665">
            <v>45033</v>
          </cell>
          <cell r="C665" t="str">
            <v>Regular</v>
          </cell>
          <cell r="D665" t="str">
            <v>NGOC 697</v>
          </cell>
          <cell r="E665" t="str">
            <v>DISNEY 17:22</v>
          </cell>
          <cell r="F665" t="str">
            <v>A Q V</v>
          </cell>
          <cell r="J665">
            <v>0</v>
          </cell>
        </row>
        <row r="666">
          <cell r="A666">
            <v>96231070274</v>
          </cell>
          <cell r="B666">
            <v>45034</v>
          </cell>
          <cell r="C666" t="str">
            <v>Regular</v>
          </cell>
          <cell r="D666" t="str">
            <v>VINCENT (698)</v>
          </cell>
          <cell r="F666" t="str">
            <v>Q, V</v>
          </cell>
          <cell r="J666">
            <v>0</v>
          </cell>
        </row>
        <row r="667">
          <cell r="A667">
            <v>96230970659</v>
          </cell>
          <cell r="B667">
            <v>45034</v>
          </cell>
          <cell r="C667" t="str">
            <v>Regular</v>
          </cell>
          <cell r="D667" t="str">
            <v>JOHN 738</v>
          </cell>
          <cell r="F667" t="str">
            <v>Q,V</v>
          </cell>
          <cell r="G667">
            <v>0</v>
          </cell>
          <cell r="J667">
            <v>0</v>
          </cell>
        </row>
        <row r="668">
          <cell r="A668">
            <v>96230980459</v>
          </cell>
          <cell r="B668">
            <v>45034</v>
          </cell>
          <cell r="C668" t="str">
            <v>Regular</v>
          </cell>
          <cell r="D668" t="str">
            <v>VYN 731</v>
          </cell>
          <cell r="F668" t="str">
            <v>X</v>
          </cell>
          <cell r="G668">
            <v>0</v>
          </cell>
          <cell r="H668">
            <v>0</v>
          </cell>
          <cell r="I668">
            <v>0</v>
          </cell>
          <cell r="J668" t="str">
            <v>X</v>
          </cell>
        </row>
        <row r="669">
          <cell r="A669">
            <v>96231000418</v>
          </cell>
          <cell r="B669">
            <v>45034</v>
          </cell>
          <cell r="C669" t="str">
            <v>Regular</v>
          </cell>
          <cell r="D669" t="str">
            <v>LUK 138</v>
          </cell>
          <cell r="F669" t="str">
            <v>V</v>
          </cell>
          <cell r="G669">
            <v>0</v>
          </cell>
          <cell r="H669">
            <v>0</v>
          </cell>
          <cell r="J669">
            <v>0</v>
          </cell>
        </row>
        <row r="670">
          <cell r="A670">
            <v>96231000261</v>
          </cell>
          <cell r="B670">
            <v>45034</v>
          </cell>
          <cell r="C670" t="str">
            <v>Regular</v>
          </cell>
          <cell r="D670" t="str">
            <v>HAO 718</v>
          </cell>
          <cell r="F670" t="str">
            <v>Q V</v>
          </cell>
          <cell r="G670">
            <v>0</v>
          </cell>
          <cell r="J670">
            <v>0</v>
          </cell>
        </row>
        <row r="671">
          <cell r="A671">
            <v>96231000262</v>
          </cell>
          <cell r="B671">
            <v>45034</v>
          </cell>
          <cell r="C671" t="str">
            <v>Regular</v>
          </cell>
          <cell r="D671" t="str">
            <v>HAO 718</v>
          </cell>
          <cell r="F671" t="str">
            <v>Q V</v>
          </cell>
          <cell r="G671">
            <v>0</v>
          </cell>
          <cell r="J671">
            <v>0</v>
          </cell>
        </row>
        <row r="672">
          <cell r="A672">
            <v>96231030356</v>
          </cell>
          <cell r="B672">
            <v>45034</v>
          </cell>
          <cell r="C672" t="str">
            <v>Regular</v>
          </cell>
          <cell r="D672" t="str">
            <v>MINH 718</v>
          </cell>
          <cell r="F672" t="str">
            <v xml:space="preserve">Q V </v>
          </cell>
          <cell r="G672">
            <v>0</v>
          </cell>
          <cell r="J672">
            <v>0</v>
          </cell>
        </row>
        <row r="673">
          <cell r="A673">
            <v>96231050039</v>
          </cell>
          <cell r="B673">
            <v>45034</v>
          </cell>
          <cell r="C673" t="str">
            <v>Regular</v>
          </cell>
          <cell r="D673" t="str">
            <v>Daniel (EE)</v>
          </cell>
          <cell r="F673" t="str">
            <v>Q</v>
          </cell>
          <cell r="G673">
            <v>0</v>
          </cell>
          <cell r="I673">
            <v>0</v>
          </cell>
          <cell r="J673">
            <v>0</v>
          </cell>
        </row>
        <row r="674">
          <cell r="A674">
            <v>96231020311</v>
          </cell>
          <cell r="B674">
            <v>45034</v>
          </cell>
          <cell r="C674" t="str">
            <v>Regular</v>
          </cell>
          <cell r="D674" t="str">
            <v>CEP (138)</v>
          </cell>
          <cell r="F674" t="str">
            <v>Q</v>
          </cell>
          <cell r="G674">
            <v>0</v>
          </cell>
          <cell r="I674">
            <v>0</v>
          </cell>
          <cell r="J674">
            <v>0</v>
          </cell>
        </row>
        <row r="675">
          <cell r="A675">
            <v>96231020310</v>
          </cell>
          <cell r="B675">
            <v>45034</v>
          </cell>
          <cell r="C675" t="str">
            <v>Regular</v>
          </cell>
          <cell r="D675" t="str">
            <v>CEP (138)</v>
          </cell>
          <cell r="F675" t="str">
            <v>Q</v>
          </cell>
          <cell r="G675">
            <v>0</v>
          </cell>
          <cell r="I675">
            <v>0</v>
          </cell>
          <cell r="J675">
            <v>0</v>
          </cell>
        </row>
        <row r="676">
          <cell r="A676">
            <v>96231020335</v>
          </cell>
          <cell r="B676">
            <v>45034</v>
          </cell>
          <cell r="C676" t="str">
            <v>RUSH</v>
          </cell>
          <cell r="D676" t="str">
            <v>HAO 718</v>
          </cell>
          <cell r="F676" t="str">
            <v>Q</v>
          </cell>
          <cell r="G676">
            <v>0</v>
          </cell>
          <cell r="I676">
            <v>0</v>
          </cell>
          <cell r="J676">
            <v>0</v>
          </cell>
        </row>
        <row r="677">
          <cell r="A677" t="str">
            <v>96230690017(2)</v>
          </cell>
          <cell r="B677">
            <v>45034</v>
          </cell>
          <cell r="C677" t="str">
            <v>Regular</v>
          </cell>
          <cell r="D677" t="str">
            <v>HAO 718</v>
          </cell>
          <cell r="F677" t="str">
            <v>Q</v>
          </cell>
          <cell r="G677">
            <v>0</v>
          </cell>
          <cell r="I677">
            <v>0</v>
          </cell>
          <cell r="J677">
            <v>0</v>
          </cell>
        </row>
        <row r="678">
          <cell r="A678">
            <v>96231070153</v>
          </cell>
          <cell r="B678">
            <v>45034</v>
          </cell>
          <cell r="C678" t="str">
            <v>Regular</v>
          </cell>
          <cell r="D678" t="str">
            <v>Duy (738)</v>
          </cell>
          <cell r="F678" t="str">
            <v>Q</v>
          </cell>
          <cell r="G678">
            <v>0</v>
          </cell>
          <cell r="I678">
            <v>0</v>
          </cell>
          <cell r="J678">
            <v>0</v>
          </cell>
        </row>
        <row r="679">
          <cell r="A679">
            <v>96231080075</v>
          </cell>
          <cell r="B679">
            <v>45034</v>
          </cell>
          <cell r="C679" t="str">
            <v>Regular</v>
          </cell>
          <cell r="D679" t="str">
            <v>JH 698</v>
          </cell>
          <cell r="E679" t="str">
            <v>MATTEL</v>
          </cell>
          <cell r="F679" t="str">
            <v>Q,V</v>
          </cell>
          <cell r="G679">
            <v>0</v>
          </cell>
          <cell r="J679">
            <v>0</v>
          </cell>
        </row>
        <row r="680">
          <cell r="A680">
            <v>96231020309</v>
          </cell>
          <cell r="B680">
            <v>45034</v>
          </cell>
          <cell r="C680" t="str">
            <v>Regular</v>
          </cell>
          <cell r="D680" t="str">
            <v>CEP (138)</v>
          </cell>
          <cell r="F680" t="str">
            <v>Q</v>
          </cell>
          <cell r="G680">
            <v>0</v>
          </cell>
          <cell r="I680">
            <v>0</v>
          </cell>
          <cell r="J680">
            <v>0</v>
          </cell>
        </row>
        <row r="681">
          <cell r="A681">
            <v>96231020308</v>
          </cell>
          <cell r="B681">
            <v>45034</v>
          </cell>
          <cell r="C681" t="str">
            <v>Regular</v>
          </cell>
          <cell r="D681" t="str">
            <v>CEP (138)</v>
          </cell>
          <cell r="F681" t="str">
            <v>Q</v>
          </cell>
          <cell r="G681">
            <v>0</v>
          </cell>
          <cell r="I681">
            <v>0</v>
          </cell>
          <cell r="J681">
            <v>0</v>
          </cell>
        </row>
        <row r="682">
          <cell r="A682">
            <v>96231070453</v>
          </cell>
          <cell r="B682">
            <v>45034</v>
          </cell>
          <cell r="C682" t="str">
            <v>Regular</v>
          </cell>
          <cell r="D682" t="str">
            <v>NGOC 697</v>
          </cell>
          <cell r="F682" t="str">
            <v>Q V X</v>
          </cell>
          <cell r="G682">
            <v>0</v>
          </cell>
        </row>
        <row r="683">
          <cell r="A683">
            <v>96230970645</v>
          </cell>
          <cell r="B683">
            <v>45034</v>
          </cell>
          <cell r="C683" t="str">
            <v>Regular</v>
          </cell>
          <cell r="D683" t="str">
            <v>LUK 138</v>
          </cell>
          <cell r="F683" t="str">
            <v>Q V A</v>
          </cell>
          <cell r="J683">
            <v>0</v>
          </cell>
        </row>
        <row r="684">
          <cell r="A684">
            <v>96231070209</v>
          </cell>
          <cell r="B684">
            <v>45034</v>
          </cell>
          <cell r="C684" t="str">
            <v>Regular</v>
          </cell>
          <cell r="D684" t="str">
            <v>HUYEN 151</v>
          </cell>
          <cell r="F684" t="str">
            <v>A</v>
          </cell>
          <cell r="H684">
            <v>0</v>
          </cell>
          <cell r="I684">
            <v>0</v>
          </cell>
          <cell r="J684">
            <v>0</v>
          </cell>
        </row>
        <row r="685">
          <cell r="A685">
            <v>96230970643</v>
          </cell>
          <cell r="B685">
            <v>45034</v>
          </cell>
          <cell r="C685" t="str">
            <v>Regular</v>
          </cell>
          <cell r="D685" t="str">
            <v>LUK 138</v>
          </cell>
          <cell r="F685" t="str">
            <v>Q</v>
          </cell>
          <cell r="G685">
            <v>0</v>
          </cell>
          <cell r="I685">
            <v>0</v>
          </cell>
          <cell r="J685">
            <v>0</v>
          </cell>
        </row>
        <row r="686">
          <cell r="A686">
            <v>96231080498</v>
          </cell>
          <cell r="B686">
            <v>45034</v>
          </cell>
          <cell r="C686" t="str">
            <v>Regular</v>
          </cell>
          <cell r="D686" t="str">
            <v>VYN 731</v>
          </cell>
          <cell r="E686" t="str">
            <v>DISNEY, 16:15'</v>
          </cell>
          <cell r="F686" t="str">
            <v>QV</v>
          </cell>
          <cell r="G686">
            <v>0</v>
          </cell>
          <cell r="J686">
            <v>0</v>
          </cell>
        </row>
        <row r="687">
          <cell r="A687">
            <v>96230970644</v>
          </cell>
          <cell r="B687">
            <v>45034</v>
          </cell>
          <cell r="C687" t="str">
            <v>Regular</v>
          </cell>
          <cell r="D687" t="str">
            <v>LUK 138</v>
          </cell>
          <cell r="F687" t="str">
            <v>Q</v>
          </cell>
          <cell r="G687">
            <v>0</v>
          </cell>
          <cell r="I687">
            <v>0</v>
          </cell>
          <cell r="J687">
            <v>0</v>
          </cell>
        </row>
        <row r="688">
          <cell r="A688">
            <v>96231070508</v>
          </cell>
          <cell r="B688">
            <v>45034</v>
          </cell>
          <cell r="C688" t="str">
            <v>Regular</v>
          </cell>
          <cell r="D688" t="str">
            <v>LUK 138</v>
          </cell>
          <cell r="F688" t="str">
            <v>Q</v>
          </cell>
          <cell r="G688">
            <v>0</v>
          </cell>
          <cell r="I688">
            <v>0</v>
          </cell>
          <cell r="J688">
            <v>0</v>
          </cell>
        </row>
        <row r="689">
          <cell r="A689">
            <v>96231080590</v>
          </cell>
          <cell r="B689">
            <v>45035</v>
          </cell>
          <cell r="C689" t="str">
            <v>Regular</v>
          </cell>
          <cell r="D689" t="str">
            <v>VYN 731</v>
          </cell>
          <cell r="E689" t="str">
            <v>disney, 08:45</v>
          </cell>
          <cell r="F689" t="str">
            <v>AQVX</v>
          </cell>
        </row>
        <row r="690">
          <cell r="A690">
            <v>96231080135</v>
          </cell>
          <cell r="B690">
            <v>45035</v>
          </cell>
          <cell r="C690" t="str">
            <v>Regular</v>
          </cell>
          <cell r="D690" t="str">
            <v>VYN 731</v>
          </cell>
          <cell r="F690" t="str">
            <v>QV</v>
          </cell>
          <cell r="G690">
            <v>0</v>
          </cell>
          <cell r="J690">
            <v>0</v>
          </cell>
        </row>
        <row r="691">
          <cell r="A691">
            <v>96231050008</v>
          </cell>
          <cell r="B691">
            <v>45035</v>
          </cell>
          <cell r="C691" t="str">
            <v>Regular</v>
          </cell>
          <cell r="D691" t="str">
            <v>CEP (138)</v>
          </cell>
          <cell r="F691" t="str">
            <v>Q</v>
          </cell>
          <cell r="G691">
            <v>0</v>
          </cell>
          <cell r="I691">
            <v>0</v>
          </cell>
          <cell r="J691">
            <v>0</v>
          </cell>
        </row>
        <row r="692">
          <cell r="A692">
            <v>96231070217</v>
          </cell>
          <cell r="B692">
            <v>45035</v>
          </cell>
          <cell r="C692" t="str">
            <v>Regular</v>
          </cell>
          <cell r="D692" t="str">
            <v>NGOC 697</v>
          </cell>
          <cell r="F692" t="str">
            <v>A Q V</v>
          </cell>
          <cell r="J692">
            <v>0</v>
          </cell>
        </row>
        <row r="693">
          <cell r="A693" t="str">
            <v>96230660534(4)</v>
          </cell>
          <cell r="B693">
            <v>45035</v>
          </cell>
          <cell r="C693" t="str">
            <v>Regular</v>
          </cell>
          <cell r="D693" t="str">
            <v>LUK 138</v>
          </cell>
          <cell r="F693" t="str">
            <v>V</v>
          </cell>
          <cell r="G693">
            <v>0</v>
          </cell>
          <cell r="H693">
            <v>0</v>
          </cell>
          <cell r="J693">
            <v>0</v>
          </cell>
        </row>
        <row r="694">
          <cell r="A694">
            <v>96231080038</v>
          </cell>
          <cell r="B694">
            <v>45035</v>
          </cell>
          <cell r="C694" t="str">
            <v>Regular</v>
          </cell>
          <cell r="D694" t="str">
            <v>MINH 718</v>
          </cell>
          <cell r="F694" t="str">
            <v>V</v>
          </cell>
          <cell r="G694">
            <v>0</v>
          </cell>
          <cell r="H694">
            <v>0</v>
          </cell>
          <cell r="J694">
            <v>0</v>
          </cell>
        </row>
        <row r="695">
          <cell r="A695" t="str">
            <v>96230970649(2)</v>
          </cell>
          <cell r="B695">
            <v>45035</v>
          </cell>
          <cell r="C695" t="str">
            <v>Regular</v>
          </cell>
          <cell r="D695" t="str">
            <v>VYN 731</v>
          </cell>
          <cell r="F695" t="str">
            <v>Q</v>
          </cell>
          <cell r="G695">
            <v>0</v>
          </cell>
          <cell r="I695">
            <v>0</v>
          </cell>
          <cell r="J695">
            <v>0</v>
          </cell>
        </row>
        <row r="696">
          <cell r="A696" t="str">
            <v>96230970650(2)</v>
          </cell>
          <cell r="B696">
            <v>45035</v>
          </cell>
          <cell r="C696" t="str">
            <v>Regular</v>
          </cell>
          <cell r="D696" t="str">
            <v>VYN 731</v>
          </cell>
          <cell r="F696" t="str">
            <v>Q</v>
          </cell>
          <cell r="G696">
            <v>0</v>
          </cell>
          <cell r="I696">
            <v>0</v>
          </cell>
          <cell r="J696">
            <v>0</v>
          </cell>
        </row>
        <row r="697">
          <cell r="A697" t="str">
            <v>96230970651(2)</v>
          </cell>
          <cell r="B697">
            <v>45035</v>
          </cell>
          <cell r="C697" t="str">
            <v>Regular</v>
          </cell>
          <cell r="D697" t="str">
            <v>VYN 731</v>
          </cell>
          <cell r="F697" t="str">
            <v>Q</v>
          </cell>
          <cell r="G697">
            <v>0</v>
          </cell>
          <cell r="I697">
            <v>0</v>
          </cell>
          <cell r="J697">
            <v>0</v>
          </cell>
        </row>
        <row r="698">
          <cell r="A698">
            <v>96231010022</v>
          </cell>
          <cell r="B698">
            <v>45035</v>
          </cell>
          <cell r="C698" t="str">
            <v>Regular</v>
          </cell>
          <cell r="D698" t="str">
            <v>GIB 718</v>
          </cell>
          <cell r="F698" t="str">
            <v>Q</v>
          </cell>
          <cell r="G698">
            <v>0</v>
          </cell>
          <cell r="I698">
            <v>0</v>
          </cell>
          <cell r="J698">
            <v>0</v>
          </cell>
        </row>
        <row r="699">
          <cell r="A699">
            <v>96231090067</v>
          </cell>
          <cell r="B699">
            <v>45035</v>
          </cell>
          <cell r="C699" t="str">
            <v>Regular</v>
          </cell>
          <cell r="D699" t="str">
            <v>JH 698</v>
          </cell>
          <cell r="E699" t="str">
            <v>DISNEY</v>
          </cell>
          <cell r="F699" t="str">
            <v>Q,V</v>
          </cell>
          <cell r="G699">
            <v>0</v>
          </cell>
          <cell r="J699">
            <v>0</v>
          </cell>
        </row>
        <row r="700">
          <cell r="A700">
            <v>96231090071</v>
          </cell>
          <cell r="B700">
            <v>45035</v>
          </cell>
          <cell r="C700" t="str">
            <v>Regular</v>
          </cell>
          <cell r="D700" t="str">
            <v>JH 698</v>
          </cell>
          <cell r="E700" t="str">
            <v>DISNEY - RF SP 96231090067</v>
          </cell>
          <cell r="F700" t="str">
            <v>Q,V,A</v>
          </cell>
          <cell r="J700">
            <v>0</v>
          </cell>
        </row>
        <row r="701">
          <cell r="A701">
            <v>96231090074</v>
          </cell>
          <cell r="B701">
            <v>45035</v>
          </cell>
          <cell r="C701" t="str">
            <v>Regular</v>
          </cell>
          <cell r="D701" t="str">
            <v>JH 698</v>
          </cell>
          <cell r="E701" t="str">
            <v>DISNEY - RF SP 96231090067</v>
          </cell>
          <cell r="F701" t="str">
            <v>Q,V,A</v>
          </cell>
          <cell r="J701">
            <v>0</v>
          </cell>
        </row>
        <row r="702">
          <cell r="A702">
            <v>96230790424</v>
          </cell>
          <cell r="B702">
            <v>45026</v>
          </cell>
          <cell r="C702" t="str">
            <v>Regular</v>
          </cell>
          <cell r="D702" t="str">
            <v>HAO 718</v>
          </cell>
          <cell r="F702" t="str">
            <v>Q</v>
          </cell>
          <cell r="G702">
            <v>0</v>
          </cell>
          <cell r="I702">
            <v>0</v>
          </cell>
          <cell r="J702">
            <v>0</v>
          </cell>
        </row>
        <row r="703">
          <cell r="A703" t="str">
            <v>96230770452(3)</v>
          </cell>
          <cell r="B703">
            <v>45035</v>
          </cell>
          <cell r="C703" t="str">
            <v>RUSH</v>
          </cell>
          <cell r="D703" t="str">
            <v>HOANG 738</v>
          </cell>
          <cell r="F703" t="str">
            <v>Q</v>
          </cell>
          <cell r="G703">
            <v>0</v>
          </cell>
          <cell r="I703">
            <v>0</v>
          </cell>
          <cell r="J703">
            <v>0</v>
          </cell>
        </row>
        <row r="704">
          <cell r="A704">
            <v>96230880330</v>
          </cell>
          <cell r="B704">
            <v>45035</v>
          </cell>
          <cell r="C704" t="str">
            <v>Regular</v>
          </cell>
          <cell r="D704" t="str">
            <v>HAO 718</v>
          </cell>
          <cell r="F704" t="str">
            <v>Q</v>
          </cell>
          <cell r="G704">
            <v>0</v>
          </cell>
          <cell r="I704">
            <v>0</v>
          </cell>
          <cell r="J704">
            <v>0</v>
          </cell>
        </row>
        <row r="705">
          <cell r="A705">
            <v>96231080030</v>
          </cell>
          <cell r="B705">
            <v>45035</v>
          </cell>
          <cell r="C705" t="str">
            <v>Regular</v>
          </cell>
          <cell r="D705" t="str">
            <v>CEP (138)</v>
          </cell>
          <cell r="F705" t="str">
            <v>Q</v>
          </cell>
          <cell r="G705">
            <v>0</v>
          </cell>
          <cell r="I705">
            <v>0</v>
          </cell>
          <cell r="J705">
            <v>0</v>
          </cell>
        </row>
        <row r="706">
          <cell r="A706">
            <v>96231090174</v>
          </cell>
          <cell r="B706">
            <v>45035</v>
          </cell>
          <cell r="C706" t="str">
            <v>Regular</v>
          </cell>
          <cell r="D706" t="str">
            <v>NGOC 697</v>
          </cell>
          <cell r="E706" t="str">
            <v>DISNEY, 15:00</v>
          </cell>
          <cell r="F706" t="str">
            <v>A Q V</v>
          </cell>
          <cell r="J706">
            <v>0</v>
          </cell>
        </row>
        <row r="707">
          <cell r="A707">
            <v>96231090180</v>
          </cell>
          <cell r="B707">
            <v>45035</v>
          </cell>
          <cell r="C707" t="str">
            <v>Regular</v>
          </cell>
          <cell r="D707" t="str">
            <v>NGOC 697</v>
          </cell>
          <cell r="E707" t="str">
            <v>DISNEY, 15:00</v>
          </cell>
          <cell r="F707" t="str">
            <v>Q V</v>
          </cell>
          <cell r="G707">
            <v>0</v>
          </cell>
          <cell r="J707">
            <v>0</v>
          </cell>
        </row>
        <row r="708">
          <cell r="A708">
            <v>96231090185</v>
          </cell>
          <cell r="B708">
            <v>45035</v>
          </cell>
          <cell r="C708" t="str">
            <v>Regular</v>
          </cell>
          <cell r="D708" t="str">
            <v>NGOC 697</v>
          </cell>
          <cell r="E708" t="str">
            <v>DISNEY, 15:00</v>
          </cell>
          <cell r="F708" t="str">
            <v>Q V</v>
          </cell>
          <cell r="G708">
            <v>0</v>
          </cell>
          <cell r="J708">
            <v>0</v>
          </cell>
        </row>
        <row r="709">
          <cell r="A709">
            <v>96231090051</v>
          </cell>
          <cell r="B709">
            <v>45035</v>
          </cell>
          <cell r="C709" t="str">
            <v>Regular</v>
          </cell>
          <cell r="D709" t="str">
            <v>MARIS (619)</v>
          </cell>
          <cell r="E709" t="str">
            <v>MATEL</v>
          </cell>
          <cell r="F709" t="str">
            <v>Q V</v>
          </cell>
          <cell r="G709">
            <v>0</v>
          </cell>
          <cell r="J709">
            <v>0</v>
          </cell>
        </row>
        <row r="710">
          <cell r="A710">
            <v>96231090050</v>
          </cell>
          <cell r="B710">
            <v>45035</v>
          </cell>
          <cell r="C710" t="str">
            <v>Regular</v>
          </cell>
          <cell r="D710" t="str">
            <v>MARIS (619)</v>
          </cell>
          <cell r="E710" t="str">
            <v>MATEL</v>
          </cell>
          <cell r="F710" t="str">
            <v>Q V</v>
          </cell>
          <cell r="G710">
            <v>0</v>
          </cell>
          <cell r="J710">
            <v>0</v>
          </cell>
        </row>
        <row r="711">
          <cell r="A711">
            <v>96231090148</v>
          </cell>
          <cell r="B711">
            <v>45035</v>
          </cell>
          <cell r="C711" t="str">
            <v>Regular</v>
          </cell>
          <cell r="D711" t="str">
            <v>MARIS (619)</v>
          </cell>
          <cell r="E711" t="str">
            <v>DISNEY</v>
          </cell>
          <cell r="F711" t="str">
            <v>Q V</v>
          </cell>
          <cell r="G711">
            <v>0</v>
          </cell>
          <cell r="J711">
            <v>0</v>
          </cell>
        </row>
        <row r="712">
          <cell r="A712">
            <v>96231090153</v>
          </cell>
          <cell r="B712">
            <v>45035</v>
          </cell>
          <cell r="C712" t="str">
            <v>Regular</v>
          </cell>
          <cell r="D712" t="str">
            <v>MARIS (619)</v>
          </cell>
          <cell r="E712" t="str">
            <v>DISNEY - RF SP 96231090148</v>
          </cell>
          <cell r="F712" t="str">
            <v>Q V</v>
          </cell>
          <cell r="G712">
            <v>0</v>
          </cell>
          <cell r="J712">
            <v>0</v>
          </cell>
        </row>
        <row r="713">
          <cell r="A713">
            <v>96231090159</v>
          </cell>
          <cell r="B713">
            <v>45035</v>
          </cell>
          <cell r="C713" t="str">
            <v>Regular</v>
          </cell>
          <cell r="D713" t="str">
            <v>MARIS (619)</v>
          </cell>
          <cell r="E713" t="str">
            <v>DISNEY - RF SP 96231090148</v>
          </cell>
          <cell r="F713" t="str">
            <v>A Q V</v>
          </cell>
          <cell r="J713">
            <v>0</v>
          </cell>
        </row>
        <row r="714">
          <cell r="A714">
            <v>96231090446</v>
          </cell>
          <cell r="B714">
            <v>45035</v>
          </cell>
          <cell r="C714" t="str">
            <v>Regular</v>
          </cell>
          <cell r="D714" t="str">
            <v>VYN 731</v>
          </cell>
          <cell r="E714" t="str">
            <v>disney, 16:05</v>
          </cell>
          <cell r="F714" t="str">
            <v>QV</v>
          </cell>
          <cell r="G714">
            <v>0</v>
          </cell>
          <cell r="J714">
            <v>0</v>
          </cell>
        </row>
        <row r="715">
          <cell r="A715">
            <v>96231090488</v>
          </cell>
          <cell r="B715">
            <v>45035</v>
          </cell>
          <cell r="C715" t="str">
            <v>PRIORITY</v>
          </cell>
          <cell r="D715" t="str">
            <v>CEP (138)</v>
          </cell>
          <cell r="F715" t="str">
            <v>V</v>
          </cell>
          <cell r="G715">
            <v>0</v>
          </cell>
          <cell r="H715">
            <v>0</v>
          </cell>
          <cell r="J715">
            <v>0</v>
          </cell>
        </row>
        <row r="716">
          <cell r="A716" t="str">
            <v>96230970652(2)</v>
          </cell>
          <cell r="B716">
            <v>45035</v>
          </cell>
          <cell r="C716" t="str">
            <v>Regular</v>
          </cell>
          <cell r="D716" t="str">
            <v>NGOC 697</v>
          </cell>
          <cell r="E716" t="str">
            <v>sample + scl đã mang lên chị Khuyên</v>
          </cell>
          <cell r="F716" t="str">
            <v>Q</v>
          </cell>
          <cell r="G716">
            <v>0</v>
          </cell>
          <cell r="I716">
            <v>0</v>
          </cell>
          <cell r="J716">
            <v>0</v>
          </cell>
        </row>
        <row r="717">
          <cell r="A717" t="str">
            <v>96230970653(2)</v>
          </cell>
          <cell r="B717">
            <v>45035</v>
          </cell>
          <cell r="C717" t="str">
            <v>Regular</v>
          </cell>
          <cell r="D717" t="str">
            <v>NGOC 697</v>
          </cell>
          <cell r="E717" t="str">
            <v>sample + scl đã mang lên chị Khuyên</v>
          </cell>
          <cell r="F717" t="str">
            <v>Q</v>
          </cell>
          <cell r="G717">
            <v>0</v>
          </cell>
          <cell r="I717">
            <v>0</v>
          </cell>
          <cell r="J717">
            <v>0</v>
          </cell>
        </row>
        <row r="718">
          <cell r="A718" t="str">
            <v>96230970654(2)</v>
          </cell>
          <cell r="B718">
            <v>45035</v>
          </cell>
          <cell r="C718" t="str">
            <v>Regular</v>
          </cell>
          <cell r="D718" t="str">
            <v>NGOC 697</v>
          </cell>
          <cell r="E718" t="str">
            <v>sample + scl đã mang lên chị Khuyên</v>
          </cell>
          <cell r="F718" t="str">
            <v>Q</v>
          </cell>
          <cell r="G718">
            <v>0</v>
          </cell>
          <cell r="H718" t="str">
            <v>Q</v>
          </cell>
          <cell r="I718">
            <v>0</v>
          </cell>
          <cell r="J718">
            <v>0</v>
          </cell>
        </row>
        <row r="719">
          <cell r="A719">
            <v>96231030135</v>
          </cell>
          <cell r="B719">
            <v>45035</v>
          </cell>
          <cell r="C719" t="str">
            <v>Regular</v>
          </cell>
          <cell r="D719" t="str">
            <v>NGOC 697</v>
          </cell>
          <cell r="F719" t="str">
            <v>Q V</v>
          </cell>
          <cell r="G719">
            <v>0</v>
          </cell>
          <cell r="J719">
            <v>0</v>
          </cell>
        </row>
        <row r="720">
          <cell r="A720">
            <v>96231090250</v>
          </cell>
          <cell r="B720">
            <v>45036</v>
          </cell>
          <cell r="C720" t="str">
            <v>RUSH</v>
          </cell>
          <cell r="D720" t="str">
            <v>Vu 138</v>
          </cell>
          <cell r="F720" t="str">
            <v>Q</v>
          </cell>
          <cell r="G720">
            <v>0</v>
          </cell>
          <cell r="I720">
            <v>0</v>
          </cell>
          <cell r="J720">
            <v>0</v>
          </cell>
        </row>
        <row r="721">
          <cell r="A721">
            <v>96231080580</v>
          </cell>
          <cell r="B721">
            <v>45036</v>
          </cell>
          <cell r="C721" t="str">
            <v>Regular</v>
          </cell>
          <cell r="D721" t="str">
            <v>VYN 731</v>
          </cell>
          <cell r="E721" t="str">
            <v>disney, 09:40</v>
          </cell>
          <cell r="F721" t="str">
            <v>AQV</v>
          </cell>
          <cell r="J721">
            <v>0</v>
          </cell>
        </row>
        <row r="722">
          <cell r="A722">
            <v>96231050370</v>
          </cell>
          <cell r="B722">
            <v>45035</v>
          </cell>
          <cell r="C722" t="str">
            <v>Regular</v>
          </cell>
          <cell r="D722" t="str">
            <v>JUN (151)</v>
          </cell>
          <cell r="F722" t="str">
            <v>Q</v>
          </cell>
          <cell r="G722">
            <v>0</v>
          </cell>
          <cell r="I722">
            <v>0</v>
          </cell>
          <cell r="J722">
            <v>0</v>
          </cell>
        </row>
        <row r="723">
          <cell r="A723">
            <v>96231070489</v>
          </cell>
          <cell r="B723">
            <v>45036</v>
          </cell>
          <cell r="C723" t="str">
            <v>Regular</v>
          </cell>
          <cell r="D723" t="str">
            <v>VINCENT (698)</v>
          </cell>
          <cell r="F723" t="str">
            <v>Q, V</v>
          </cell>
          <cell r="G723">
            <v>0</v>
          </cell>
          <cell r="J723">
            <v>0</v>
          </cell>
        </row>
        <row r="724">
          <cell r="A724">
            <v>96231070491</v>
          </cell>
          <cell r="B724">
            <v>45036</v>
          </cell>
          <cell r="C724" t="str">
            <v>Regular</v>
          </cell>
          <cell r="D724" t="str">
            <v>VINCENT (698)</v>
          </cell>
          <cell r="F724" t="str">
            <v>Q, V</v>
          </cell>
          <cell r="G724">
            <v>0</v>
          </cell>
          <cell r="J724">
            <v>0</v>
          </cell>
        </row>
        <row r="725">
          <cell r="A725">
            <v>96231080184</v>
          </cell>
          <cell r="B725">
            <v>45036</v>
          </cell>
          <cell r="C725" t="str">
            <v>Regular</v>
          </cell>
          <cell r="D725" t="str">
            <v>VINCENT (698)</v>
          </cell>
          <cell r="F725" t="str">
            <v>Q, V</v>
          </cell>
          <cell r="G725">
            <v>0</v>
          </cell>
          <cell r="J725">
            <v>0</v>
          </cell>
        </row>
        <row r="726">
          <cell r="A726">
            <v>96231080418</v>
          </cell>
          <cell r="B726">
            <v>45036</v>
          </cell>
          <cell r="C726" t="str">
            <v>Regular</v>
          </cell>
          <cell r="D726" t="str">
            <v>CEP (138)</v>
          </cell>
          <cell r="F726" t="str">
            <v>Q</v>
          </cell>
          <cell r="G726">
            <v>0</v>
          </cell>
          <cell r="I726">
            <v>0</v>
          </cell>
          <cell r="J726">
            <v>0</v>
          </cell>
        </row>
        <row r="727">
          <cell r="A727">
            <v>96231080424</v>
          </cell>
          <cell r="B727">
            <v>45036</v>
          </cell>
          <cell r="C727" t="str">
            <v>Regular</v>
          </cell>
          <cell r="D727" t="str">
            <v>CEP (138)</v>
          </cell>
          <cell r="F727" t="str">
            <v>Q</v>
          </cell>
          <cell r="G727">
            <v>0</v>
          </cell>
          <cell r="I727">
            <v>0</v>
          </cell>
          <cell r="J727">
            <v>0</v>
          </cell>
        </row>
        <row r="728">
          <cell r="A728">
            <v>96230770455</v>
          </cell>
          <cell r="B728">
            <v>45035</v>
          </cell>
          <cell r="C728" t="str">
            <v>Regular</v>
          </cell>
          <cell r="D728" t="str">
            <v>HOANG 738</v>
          </cell>
          <cell r="F728" t="str">
            <v>Q V</v>
          </cell>
          <cell r="G728">
            <v>0</v>
          </cell>
          <cell r="J728">
            <v>0</v>
          </cell>
        </row>
        <row r="729">
          <cell r="A729">
            <v>96231090566</v>
          </cell>
          <cell r="B729">
            <v>45036</v>
          </cell>
          <cell r="C729" t="str">
            <v>PRIORITY</v>
          </cell>
          <cell r="D729" t="str">
            <v>GIB 718</v>
          </cell>
          <cell r="F729" t="str">
            <v>Q</v>
          </cell>
          <cell r="G729">
            <v>0</v>
          </cell>
          <cell r="I729">
            <v>0</v>
          </cell>
          <cell r="J729">
            <v>0</v>
          </cell>
        </row>
        <row r="730">
          <cell r="A730">
            <v>96231090584</v>
          </cell>
          <cell r="B730">
            <v>45036</v>
          </cell>
          <cell r="C730" t="str">
            <v>Regular</v>
          </cell>
          <cell r="D730" t="str">
            <v>MARIS (619)</v>
          </cell>
          <cell r="E730" t="str">
            <v>DISNEY 10:50</v>
          </cell>
          <cell r="F730" t="str">
            <v>Q V</v>
          </cell>
          <cell r="G730">
            <v>0</v>
          </cell>
          <cell r="J730">
            <v>0</v>
          </cell>
        </row>
        <row r="731">
          <cell r="A731">
            <v>96231090586</v>
          </cell>
          <cell r="B731">
            <v>45036</v>
          </cell>
          <cell r="C731" t="str">
            <v>Regular</v>
          </cell>
          <cell r="D731" t="str">
            <v>MARIS (619)</v>
          </cell>
          <cell r="E731" t="str">
            <v>DISNEY - RF SP 96231090584</v>
          </cell>
          <cell r="F731" t="str">
            <v>Q V</v>
          </cell>
          <cell r="G731">
            <v>0</v>
          </cell>
          <cell r="J731">
            <v>0</v>
          </cell>
        </row>
        <row r="732">
          <cell r="A732">
            <v>96231070243</v>
          </cell>
          <cell r="B732">
            <v>45036</v>
          </cell>
          <cell r="C732" t="str">
            <v>Regular</v>
          </cell>
          <cell r="D732" t="str">
            <v>MINH 718</v>
          </cell>
          <cell r="F732" t="str">
            <v>Q V</v>
          </cell>
          <cell r="G732">
            <v>0</v>
          </cell>
          <cell r="J732">
            <v>0</v>
          </cell>
        </row>
        <row r="733">
          <cell r="A733">
            <v>96231100090</v>
          </cell>
          <cell r="B733">
            <v>45036</v>
          </cell>
          <cell r="C733" t="str">
            <v>RUSH</v>
          </cell>
          <cell r="D733" t="str">
            <v>HAO 718</v>
          </cell>
          <cell r="F733" t="str">
            <v>Q</v>
          </cell>
          <cell r="G733">
            <v>0</v>
          </cell>
          <cell r="I733">
            <v>0</v>
          </cell>
          <cell r="J733">
            <v>0</v>
          </cell>
        </row>
        <row r="734">
          <cell r="A734">
            <v>96231050264</v>
          </cell>
          <cell r="B734">
            <v>45036</v>
          </cell>
          <cell r="C734" t="str">
            <v>Regular</v>
          </cell>
          <cell r="D734" t="str">
            <v>HAO 718</v>
          </cell>
          <cell r="F734" t="str">
            <v>V</v>
          </cell>
          <cell r="G734">
            <v>0</v>
          </cell>
          <cell r="H734">
            <v>0</v>
          </cell>
          <cell r="I734" t="str">
            <v>V</v>
          </cell>
          <cell r="J734">
            <v>0</v>
          </cell>
        </row>
        <row r="735">
          <cell r="A735">
            <v>96231050030</v>
          </cell>
          <cell r="B735">
            <v>45036</v>
          </cell>
          <cell r="C735" t="str">
            <v>Regular</v>
          </cell>
          <cell r="D735" t="str">
            <v>HAO 718</v>
          </cell>
          <cell r="F735" t="str">
            <v>V</v>
          </cell>
          <cell r="G735">
            <v>0</v>
          </cell>
          <cell r="H735">
            <v>0</v>
          </cell>
          <cell r="I735" t="str">
            <v>V</v>
          </cell>
          <cell r="J735">
            <v>0</v>
          </cell>
        </row>
        <row r="736">
          <cell r="A736">
            <v>96231090348</v>
          </cell>
          <cell r="B736">
            <v>45036</v>
          </cell>
          <cell r="C736" t="str">
            <v>Regular</v>
          </cell>
          <cell r="D736" t="str">
            <v>HUYEN 151</v>
          </cell>
          <cell r="F736" t="str">
            <v>Q V</v>
          </cell>
          <cell r="G736">
            <v>0</v>
          </cell>
          <cell r="J736">
            <v>0</v>
          </cell>
        </row>
        <row r="737">
          <cell r="A737">
            <v>96231090095</v>
          </cell>
          <cell r="B737">
            <v>45036</v>
          </cell>
          <cell r="C737" t="str">
            <v>Regular</v>
          </cell>
          <cell r="D737" t="str">
            <v>HUYEN 151</v>
          </cell>
          <cell r="F737" t="str">
            <v>Q V</v>
          </cell>
          <cell r="G737">
            <v>0</v>
          </cell>
          <cell r="J737">
            <v>0</v>
          </cell>
        </row>
        <row r="738">
          <cell r="A738">
            <v>96231090100</v>
          </cell>
          <cell r="B738">
            <v>45036</v>
          </cell>
          <cell r="C738" t="str">
            <v>Regular</v>
          </cell>
          <cell r="D738" t="str">
            <v>HUYEN 151</v>
          </cell>
          <cell r="F738" t="str">
            <v>Q V X</v>
          </cell>
          <cell r="G738">
            <v>0</v>
          </cell>
        </row>
        <row r="739">
          <cell r="A739">
            <v>96231090448</v>
          </cell>
          <cell r="B739">
            <v>45036</v>
          </cell>
          <cell r="C739" t="str">
            <v>Regular</v>
          </cell>
          <cell r="D739" t="str">
            <v>LUK 138</v>
          </cell>
          <cell r="F739" t="str">
            <v>Q</v>
          </cell>
          <cell r="G739">
            <v>0</v>
          </cell>
          <cell r="I739">
            <v>0</v>
          </cell>
          <cell r="J739">
            <v>0</v>
          </cell>
        </row>
        <row r="740">
          <cell r="A740">
            <v>96231080780</v>
          </cell>
          <cell r="B740">
            <v>45036</v>
          </cell>
          <cell r="C740" t="str">
            <v>Regular</v>
          </cell>
          <cell r="D740" t="str">
            <v>HAO 718</v>
          </cell>
          <cell r="F740" t="str">
            <v>Q</v>
          </cell>
          <cell r="G740">
            <v>0</v>
          </cell>
          <cell r="I740">
            <v>0</v>
          </cell>
          <cell r="J740">
            <v>0</v>
          </cell>
        </row>
        <row r="741">
          <cell r="A741">
            <v>96231080772</v>
          </cell>
          <cell r="B741">
            <v>45036</v>
          </cell>
          <cell r="C741" t="str">
            <v>Regular</v>
          </cell>
          <cell r="D741" t="str">
            <v>HAO 718</v>
          </cell>
          <cell r="F741" t="str">
            <v>Q</v>
          </cell>
          <cell r="G741">
            <v>0</v>
          </cell>
          <cell r="I741">
            <v>0</v>
          </cell>
          <cell r="J741">
            <v>0</v>
          </cell>
        </row>
        <row r="742">
          <cell r="A742">
            <v>96231100198</v>
          </cell>
          <cell r="B742">
            <v>45036</v>
          </cell>
          <cell r="C742" t="str">
            <v>Regular</v>
          </cell>
          <cell r="D742" t="str">
            <v>VYN 731</v>
          </cell>
          <cell r="E742" t="str">
            <v>DISNEY, 14:35</v>
          </cell>
          <cell r="F742" t="str">
            <v>QV</v>
          </cell>
          <cell r="G742">
            <v>0</v>
          </cell>
          <cell r="J742">
            <v>0</v>
          </cell>
        </row>
        <row r="743">
          <cell r="A743">
            <v>96231100201</v>
          </cell>
          <cell r="B743">
            <v>45036</v>
          </cell>
          <cell r="C743" t="str">
            <v>Regular</v>
          </cell>
          <cell r="D743" t="str">
            <v>VYN 731</v>
          </cell>
          <cell r="E743" t="str">
            <v>DISNEY, 14:35</v>
          </cell>
          <cell r="F743" t="str">
            <v>QV</v>
          </cell>
          <cell r="G743">
            <v>0</v>
          </cell>
          <cell r="J743">
            <v>0</v>
          </cell>
        </row>
        <row r="744">
          <cell r="A744">
            <v>96231100204</v>
          </cell>
          <cell r="B744">
            <v>45036</v>
          </cell>
          <cell r="C744" t="str">
            <v>Regular</v>
          </cell>
          <cell r="D744" t="str">
            <v>VYN 731</v>
          </cell>
          <cell r="E744" t="str">
            <v>DISNEY, 14:35</v>
          </cell>
          <cell r="F744" t="str">
            <v>AQV</v>
          </cell>
          <cell r="J744">
            <v>0</v>
          </cell>
        </row>
        <row r="745">
          <cell r="A745">
            <v>96231100207</v>
          </cell>
          <cell r="B745">
            <v>45036</v>
          </cell>
          <cell r="C745" t="str">
            <v>Regular</v>
          </cell>
          <cell r="D745" t="str">
            <v>VYN 731</v>
          </cell>
          <cell r="E745" t="str">
            <v>DISNEY, 14:35</v>
          </cell>
          <cell r="F745" t="str">
            <v>QV</v>
          </cell>
          <cell r="G745">
            <v>0</v>
          </cell>
          <cell r="J745">
            <v>0</v>
          </cell>
        </row>
        <row r="746">
          <cell r="A746">
            <v>96231100158</v>
          </cell>
          <cell r="B746">
            <v>45036</v>
          </cell>
          <cell r="C746" t="str">
            <v>RUSH</v>
          </cell>
          <cell r="D746" t="str">
            <v>HUYEN 151</v>
          </cell>
          <cell r="F746" t="str">
            <v>Q V</v>
          </cell>
          <cell r="G746">
            <v>0</v>
          </cell>
          <cell r="J746">
            <v>0</v>
          </cell>
        </row>
        <row r="747">
          <cell r="A747">
            <v>96231100167</v>
          </cell>
          <cell r="B747">
            <v>45036</v>
          </cell>
          <cell r="C747" t="str">
            <v>RUSH</v>
          </cell>
          <cell r="D747" t="str">
            <v>HUYEN 151</v>
          </cell>
          <cell r="F747" t="str">
            <v>Q V</v>
          </cell>
          <cell r="G747">
            <v>0</v>
          </cell>
          <cell r="J747">
            <v>0</v>
          </cell>
        </row>
        <row r="748">
          <cell r="A748">
            <v>96231020208</v>
          </cell>
          <cell r="B748">
            <v>45036</v>
          </cell>
          <cell r="C748" t="str">
            <v>Regular</v>
          </cell>
          <cell r="D748" t="str">
            <v>LUK 138</v>
          </cell>
          <cell r="F748" t="str">
            <v>Q</v>
          </cell>
          <cell r="G748">
            <v>0</v>
          </cell>
          <cell r="I748">
            <v>0</v>
          </cell>
          <cell r="J748">
            <v>0</v>
          </cell>
        </row>
        <row r="749">
          <cell r="A749">
            <v>96231090590</v>
          </cell>
          <cell r="B749">
            <v>45036</v>
          </cell>
          <cell r="C749" t="str">
            <v>Regular</v>
          </cell>
          <cell r="D749" t="str">
            <v>VYN 731</v>
          </cell>
          <cell r="F749" t="str">
            <v>QV</v>
          </cell>
          <cell r="G749">
            <v>0</v>
          </cell>
          <cell r="J749">
            <v>0</v>
          </cell>
        </row>
        <row r="750">
          <cell r="A750" t="str">
            <v>96231000432(2)</v>
          </cell>
          <cell r="B750">
            <v>45036</v>
          </cell>
          <cell r="C750" t="str">
            <v>Regular</v>
          </cell>
          <cell r="D750" t="str">
            <v>NGOC 697</v>
          </cell>
          <cell r="E750" t="str">
            <v>Mẫu và SCL mang lên Hảo RSL</v>
          </cell>
          <cell r="F750" t="str">
            <v>Q</v>
          </cell>
          <cell r="G750">
            <v>0</v>
          </cell>
          <cell r="I750">
            <v>0</v>
          </cell>
          <cell r="J750">
            <v>0</v>
          </cell>
        </row>
        <row r="751">
          <cell r="A751">
            <v>96230970657</v>
          </cell>
          <cell r="B751">
            <v>45036</v>
          </cell>
          <cell r="C751" t="str">
            <v>Regular</v>
          </cell>
          <cell r="D751" t="str">
            <v>VINCENT (698)</v>
          </cell>
          <cell r="F751" t="str">
            <v>Q</v>
          </cell>
          <cell r="G751">
            <v>0</v>
          </cell>
          <cell r="I751">
            <v>0</v>
          </cell>
          <cell r="J751">
            <v>0</v>
          </cell>
        </row>
        <row r="752">
          <cell r="A752">
            <v>96230970658</v>
          </cell>
          <cell r="B752">
            <v>45036</v>
          </cell>
          <cell r="C752" t="str">
            <v>Regular</v>
          </cell>
          <cell r="D752" t="str">
            <v>VINCENT (698)</v>
          </cell>
          <cell r="F752" t="str">
            <v>Q</v>
          </cell>
          <cell r="G752">
            <v>0</v>
          </cell>
          <cell r="I752">
            <v>0</v>
          </cell>
          <cell r="J752">
            <v>0</v>
          </cell>
        </row>
        <row r="753">
          <cell r="A753">
            <v>96231100239</v>
          </cell>
          <cell r="B753">
            <v>45036</v>
          </cell>
          <cell r="C753" t="str">
            <v>Regular</v>
          </cell>
          <cell r="D753" t="str">
            <v>VINCENT (698)</v>
          </cell>
          <cell r="F753" t="str">
            <v>Q</v>
          </cell>
          <cell r="G753">
            <v>0</v>
          </cell>
          <cell r="I753">
            <v>0</v>
          </cell>
          <cell r="J753">
            <v>0</v>
          </cell>
        </row>
        <row r="754">
          <cell r="A754">
            <v>96231100245</v>
          </cell>
          <cell r="B754">
            <v>45036</v>
          </cell>
          <cell r="C754" t="str">
            <v>Regular</v>
          </cell>
          <cell r="D754" t="str">
            <v>VINCENT (698)</v>
          </cell>
          <cell r="F754" t="str">
            <v>Q</v>
          </cell>
          <cell r="G754">
            <v>0</v>
          </cell>
          <cell r="I754">
            <v>0</v>
          </cell>
          <cell r="J754">
            <v>0</v>
          </cell>
        </row>
        <row r="755">
          <cell r="A755">
            <v>96231000113</v>
          </cell>
          <cell r="B755">
            <v>45036</v>
          </cell>
          <cell r="C755" t="str">
            <v>Regular</v>
          </cell>
          <cell r="D755" t="str">
            <v>CEP (138)</v>
          </cell>
          <cell r="F755" t="str">
            <v>Q</v>
          </cell>
          <cell r="G755">
            <v>0</v>
          </cell>
          <cell r="I755">
            <v>0</v>
          </cell>
          <cell r="J755">
            <v>0</v>
          </cell>
        </row>
        <row r="756">
          <cell r="A756">
            <v>96231000301</v>
          </cell>
          <cell r="B756">
            <v>45036</v>
          </cell>
          <cell r="C756" t="str">
            <v>Regular</v>
          </cell>
          <cell r="D756" t="str">
            <v>CEP (138)</v>
          </cell>
          <cell r="F756" t="str">
            <v>Q</v>
          </cell>
          <cell r="G756">
            <v>0</v>
          </cell>
          <cell r="I756">
            <v>0</v>
          </cell>
          <cell r="J756">
            <v>0</v>
          </cell>
        </row>
        <row r="757">
          <cell r="A757">
            <v>96231100606</v>
          </cell>
          <cell r="B757">
            <v>45036</v>
          </cell>
          <cell r="C757" t="str">
            <v>Regular</v>
          </cell>
          <cell r="D757" t="str">
            <v>MARIS (619)</v>
          </cell>
          <cell r="F757" t="str">
            <v>Q V</v>
          </cell>
          <cell r="G757">
            <v>0</v>
          </cell>
          <cell r="J757">
            <v>0</v>
          </cell>
        </row>
        <row r="758">
          <cell r="A758">
            <v>96231090299</v>
          </cell>
          <cell r="B758">
            <v>45037</v>
          </cell>
          <cell r="C758" t="str">
            <v>Regular</v>
          </cell>
          <cell r="D758" t="str">
            <v>MINH 718</v>
          </cell>
          <cell r="F758" t="str">
            <v>Q</v>
          </cell>
          <cell r="G758">
            <v>0</v>
          </cell>
          <cell r="I758">
            <v>0</v>
          </cell>
          <cell r="J758">
            <v>0</v>
          </cell>
        </row>
        <row r="759">
          <cell r="A759">
            <v>96231090286</v>
          </cell>
          <cell r="B759">
            <v>45037</v>
          </cell>
          <cell r="C759" t="str">
            <v>Regular</v>
          </cell>
          <cell r="D759" t="str">
            <v>MINH 718</v>
          </cell>
          <cell r="F759" t="str">
            <v>Q</v>
          </cell>
          <cell r="G759">
            <v>0</v>
          </cell>
          <cell r="I759">
            <v>0</v>
          </cell>
          <cell r="J759">
            <v>0</v>
          </cell>
        </row>
        <row r="760">
          <cell r="A760" t="str">
            <v>96231040178(2)</v>
          </cell>
          <cell r="B760">
            <v>45037</v>
          </cell>
          <cell r="C760" t="str">
            <v>PRIORITY</v>
          </cell>
          <cell r="D760" t="str">
            <v>Duy (738)</v>
          </cell>
          <cell r="F760" t="str">
            <v>Q</v>
          </cell>
          <cell r="G760">
            <v>0</v>
          </cell>
          <cell r="I760">
            <v>0</v>
          </cell>
          <cell r="J760">
            <v>0</v>
          </cell>
        </row>
        <row r="761">
          <cell r="A761">
            <v>96231050063</v>
          </cell>
          <cell r="B761">
            <v>45037</v>
          </cell>
          <cell r="C761" t="str">
            <v>Regular</v>
          </cell>
          <cell r="D761" t="str">
            <v>HAO 718</v>
          </cell>
          <cell r="F761" t="str">
            <v>Q</v>
          </cell>
          <cell r="G761">
            <v>0</v>
          </cell>
          <cell r="I761">
            <v>0</v>
          </cell>
          <cell r="J761">
            <v>0</v>
          </cell>
        </row>
        <row r="762">
          <cell r="A762">
            <v>96231020595</v>
          </cell>
          <cell r="B762">
            <v>45029</v>
          </cell>
          <cell r="C762" t="str">
            <v>Regular</v>
          </cell>
          <cell r="D762" t="str">
            <v>VYN 731</v>
          </cell>
          <cell r="F762" t="str">
            <v>QV</v>
          </cell>
          <cell r="G762">
            <v>0</v>
          </cell>
          <cell r="J762">
            <v>0</v>
          </cell>
        </row>
        <row r="763">
          <cell r="A763">
            <v>96231090346</v>
          </cell>
          <cell r="B763">
            <v>45029</v>
          </cell>
          <cell r="C763" t="str">
            <v>Regular</v>
          </cell>
          <cell r="D763" t="str">
            <v>Duy (738)</v>
          </cell>
          <cell r="F763" t="str">
            <v>Q</v>
          </cell>
          <cell r="G763">
            <v>0</v>
          </cell>
          <cell r="I763">
            <v>0</v>
          </cell>
          <cell r="J763">
            <v>0</v>
          </cell>
        </row>
        <row r="764">
          <cell r="A764">
            <v>96231080808</v>
          </cell>
          <cell r="B764">
            <v>45037</v>
          </cell>
          <cell r="C764" t="str">
            <v>Regular</v>
          </cell>
          <cell r="D764" t="str">
            <v>HAO 718</v>
          </cell>
          <cell r="F764" t="str">
            <v>Q</v>
          </cell>
          <cell r="G764">
            <v>0</v>
          </cell>
          <cell r="I764">
            <v>0</v>
          </cell>
          <cell r="J764">
            <v>0</v>
          </cell>
        </row>
        <row r="765">
          <cell r="A765">
            <v>96230970647</v>
          </cell>
          <cell r="B765">
            <v>45037</v>
          </cell>
          <cell r="C765" t="str">
            <v>Regular</v>
          </cell>
          <cell r="D765" t="str">
            <v>LUK 138</v>
          </cell>
          <cell r="F765" t="str">
            <v>Q</v>
          </cell>
          <cell r="G765">
            <v>0</v>
          </cell>
          <cell r="I765">
            <v>0</v>
          </cell>
          <cell r="J765">
            <v>0</v>
          </cell>
        </row>
        <row r="766">
          <cell r="A766">
            <v>96231100412</v>
          </cell>
          <cell r="B766">
            <v>45037</v>
          </cell>
          <cell r="C766" t="str">
            <v>Regular</v>
          </cell>
          <cell r="D766" t="str">
            <v>HUYEN 151</v>
          </cell>
          <cell r="F766" t="str">
            <v>Q</v>
          </cell>
          <cell r="G766">
            <v>0</v>
          </cell>
          <cell r="I766">
            <v>0</v>
          </cell>
          <cell r="J766">
            <v>0</v>
          </cell>
        </row>
        <row r="767">
          <cell r="A767">
            <v>96231070403</v>
          </cell>
          <cell r="B767">
            <v>45037</v>
          </cell>
          <cell r="C767" t="str">
            <v>Regular</v>
          </cell>
          <cell r="D767" t="str">
            <v>VINCENT (698)</v>
          </cell>
          <cell r="F767" t="str">
            <v>Q</v>
          </cell>
          <cell r="G767">
            <v>0</v>
          </cell>
          <cell r="I767">
            <v>0</v>
          </cell>
          <cell r="J767">
            <v>0</v>
          </cell>
        </row>
        <row r="768">
          <cell r="A768">
            <v>96231090101</v>
          </cell>
          <cell r="B768">
            <v>45037</v>
          </cell>
          <cell r="C768" t="str">
            <v>Regular</v>
          </cell>
          <cell r="D768" t="str">
            <v>JUN (151)</v>
          </cell>
          <cell r="F768" t="str">
            <v>Q V</v>
          </cell>
          <cell r="G768">
            <v>0</v>
          </cell>
          <cell r="J768">
            <v>0</v>
          </cell>
        </row>
        <row r="769">
          <cell r="A769">
            <v>96231090103</v>
          </cell>
          <cell r="B769">
            <v>45037</v>
          </cell>
          <cell r="C769" t="str">
            <v>Regular</v>
          </cell>
          <cell r="D769" t="str">
            <v>JUN (151)</v>
          </cell>
          <cell r="F769" t="str">
            <v>Q V X</v>
          </cell>
          <cell r="G769">
            <v>0</v>
          </cell>
        </row>
        <row r="770">
          <cell r="A770">
            <v>96231080708</v>
          </cell>
          <cell r="B770">
            <v>45037</v>
          </cell>
          <cell r="C770" t="str">
            <v>Regular</v>
          </cell>
          <cell r="D770" t="str">
            <v>JUN (151)</v>
          </cell>
          <cell r="F770" t="str">
            <v>Q</v>
          </cell>
          <cell r="G770">
            <v>0</v>
          </cell>
          <cell r="H770" t="str">
            <v>Q</v>
          </cell>
          <cell r="I770">
            <v>0</v>
          </cell>
          <cell r="J770">
            <v>0</v>
          </cell>
        </row>
        <row r="771">
          <cell r="A771">
            <v>96231080778</v>
          </cell>
          <cell r="B771">
            <v>45037</v>
          </cell>
          <cell r="C771" t="str">
            <v>Regular</v>
          </cell>
          <cell r="D771" t="str">
            <v>HAO 718</v>
          </cell>
          <cell r="F771" t="str">
            <v>Q</v>
          </cell>
          <cell r="G771">
            <v>0</v>
          </cell>
          <cell r="I771">
            <v>0</v>
          </cell>
          <cell r="J771">
            <v>0</v>
          </cell>
        </row>
        <row r="772">
          <cell r="A772">
            <v>96231100280</v>
          </cell>
          <cell r="B772">
            <v>45037</v>
          </cell>
          <cell r="C772" t="str">
            <v>Regular</v>
          </cell>
          <cell r="D772" t="str">
            <v>MINH 718</v>
          </cell>
          <cell r="F772" t="str">
            <v>Q</v>
          </cell>
          <cell r="G772">
            <v>0</v>
          </cell>
          <cell r="I772">
            <v>0</v>
          </cell>
          <cell r="J772">
            <v>0</v>
          </cell>
        </row>
        <row r="773">
          <cell r="A773">
            <v>96231100281</v>
          </cell>
          <cell r="B773">
            <v>45037</v>
          </cell>
          <cell r="C773" t="str">
            <v>Regular</v>
          </cell>
          <cell r="D773" t="str">
            <v>MINH 718</v>
          </cell>
          <cell r="F773" t="str">
            <v>Q</v>
          </cell>
          <cell r="G773">
            <v>0</v>
          </cell>
          <cell r="I773">
            <v>0</v>
          </cell>
          <cell r="J773">
            <v>0</v>
          </cell>
        </row>
        <row r="774">
          <cell r="A774">
            <v>96231110127</v>
          </cell>
          <cell r="B774">
            <v>45037</v>
          </cell>
          <cell r="C774" t="str">
            <v>Regular</v>
          </cell>
          <cell r="D774" t="str">
            <v>NGOC 697</v>
          </cell>
          <cell r="F774" t="str">
            <v>Q V</v>
          </cell>
          <cell r="G774">
            <v>0</v>
          </cell>
          <cell r="J774">
            <v>0</v>
          </cell>
        </row>
        <row r="775">
          <cell r="A775">
            <v>96231110001</v>
          </cell>
          <cell r="B775">
            <v>45037</v>
          </cell>
          <cell r="C775" t="str">
            <v>Regular</v>
          </cell>
          <cell r="D775" t="str">
            <v>JH 698</v>
          </cell>
          <cell r="E775" t="str">
            <v>CRAYOLA</v>
          </cell>
          <cell r="F775" t="str">
            <v>Q,V</v>
          </cell>
          <cell r="G775">
            <v>0</v>
          </cell>
          <cell r="J775">
            <v>0</v>
          </cell>
        </row>
        <row r="776">
          <cell r="A776">
            <v>96231110002</v>
          </cell>
          <cell r="B776">
            <v>45037</v>
          </cell>
          <cell r="C776" t="str">
            <v>Regular</v>
          </cell>
          <cell r="D776" t="str">
            <v>JH 698</v>
          </cell>
          <cell r="E776" t="str">
            <v>RF SP 96231110001</v>
          </cell>
          <cell r="F776" t="str">
            <v>Q</v>
          </cell>
          <cell r="G776">
            <v>0</v>
          </cell>
          <cell r="I776">
            <v>0</v>
          </cell>
          <cell r="J776">
            <v>0</v>
          </cell>
        </row>
        <row r="777">
          <cell r="A777">
            <v>96231110003</v>
          </cell>
          <cell r="B777">
            <v>45037</v>
          </cell>
          <cell r="C777" t="str">
            <v>Regular</v>
          </cell>
          <cell r="D777" t="str">
            <v>JH 698</v>
          </cell>
          <cell r="E777" t="str">
            <v>RF SP 96231110001</v>
          </cell>
          <cell r="F777" t="str">
            <v>Q,V</v>
          </cell>
          <cell r="G777">
            <v>0</v>
          </cell>
          <cell r="J777">
            <v>0</v>
          </cell>
        </row>
        <row r="778">
          <cell r="A778">
            <v>96231110122</v>
          </cell>
          <cell r="B778">
            <v>45037</v>
          </cell>
          <cell r="C778" t="str">
            <v>Regular</v>
          </cell>
          <cell r="D778" t="str">
            <v>VYN 731</v>
          </cell>
          <cell r="F778" t="str">
            <v>QV</v>
          </cell>
          <cell r="G778">
            <v>0</v>
          </cell>
          <cell r="J778">
            <v>0</v>
          </cell>
        </row>
        <row r="779">
          <cell r="A779">
            <v>96231110006</v>
          </cell>
          <cell r="B779">
            <v>45037</v>
          </cell>
          <cell r="C779" t="str">
            <v>Regular</v>
          </cell>
          <cell r="D779" t="str">
            <v>VYN 731</v>
          </cell>
          <cell r="F779" t="str">
            <v>Q</v>
          </cell>
          <cell r="G779">
            <v>0</v>
          </cell>
          <cell r="I779">
            <v>0</v>
          </cell>
          <cell r="J779">
            <v>0</v>
          </cell>
        </row>
        <row r="780">
          <cell r="A780">
            <v>96231110008</v>
          </cell>
          <cell r="B780">
            <v>45037</v>
          </cell>
          <cell r="C780" t="str">
            <v>Regular</v>
          </cell>
          <cell r="D780" t="str">
            <v>VYN 731</v>
          </cell>
          <cell r="F780" t="str">
            <v>Q</v>
          </cell>
          <cell r="G780">
            <v>0</v>
          </cell>
          <cell r="I780">
            <v>0</v>
          </cell>
          <cell r="J780">
            <v>0</v>
          </cell>
        </row>
        <row r="781">
          <cell r="A781">
            <v>96231110010</v>
          </cell>
          <cell r="B781">
            <v>45037</v>
          </cell>
          <cell r="C781" t="str">
            <v>Regular</v>
          </cell>
          <cell r="D781" t="str">
            <v>VYN 731</v>
          </cell>
          <cell r="E781" t="str">
            <v>RF SP 96231110008</v>
          </cell>
          <cell r="F781" t="str">
            <v>Q</v>
          </cell>
          <cell r="G781">
            <v>0</v>
          </cell>
          <cell r="I781">
            <v>0</v>
          </cell>
          <cell r="J781">
            <v>0</v>
          </cell>
        </row>
        <row r="782">
          <cell r="A782">
            <v>96231110011</v>
          </cell>
          <cell r="B782">
            <v>45037</v>
          </cell>
          <cell r="C782" t="str">
            <v>Regular</v>
          </cell>
          <cell r="D782" t="str">
            <v>VYN 731</v>
          </cell>
          <cell r="E782" t="str">
            <v>RF SP 96231110008</v>
          </cell>
          <cell r="F782" t="str">
            <v>X</v>
          </cell>
          <cell r="G782">
            <v>0</v>
          </cell>
          <cell r="H782">
            <v>0</v>
          </cell>
          <cell r="I782">
            <v>0</v>
          </cell>
        </row>
        <row r="783">
          <cell r="A783">
            <v>96231110013</v>
          </cell>
          <cell r="B783">
            <v>45037</v>
          </cell>
          <cell r="C783" t="str">
            <v>Regular</v>
          </cell>
          <cell r="D783" t="str">
            <v>VYN 731</v>
          </cell>
          <cell r="E783" t="str">
            <v>RF SP 96231110008</v>
          </cell>
          <cell r="F783" t="str">
            <v>Q</v>
          </cell>
          <cell r="G783">
            <v>0</v>
          </cell>
          <cell r="I783">
            <v>0</v>
          </cell>
          <cell r="J783">
            <v>0</v>
          </cell>
        </row>
        <row r="784">
          <cell r="A784">
            <v>96231090505</v>
          </cell>
          <cell r="B784">
            <v>45037</v>
          </cell>
          <cell r="C784" t="str">
            <v>Regular</v>
          </cell>
          <cell r="D784" t="str">
            <v>MINH 718</v>
          </cell>
          <cell r="F784" t="str">
            <v>Q</v>
          </cell>
          <cell r="G784">
            <v>0</v>
          </cell>
          <cell r="I784">
            <v>0</v>
          </cell>
          <cell r="J784">
            <v>0</v>
          </cell>
        </row>
        <row r="785">
          <cell r="A785">
            <v>96231100118</v>
          </cell>
          <cell r="B785">
            <v>45037</v>
          </cell>
          <cell r="C785" t="str">
            <v>Regular</v>
          </cell>
          <cell r="D785" t="str">
            <v>JUN (151)</v>
          </cell>
          <cell r="F785" t="str">
            <v>Q</v>
          </cell>
          <cell r="G785">
            <v>0</v>
          </cell>
          <cell r="I785">
            <v>0</v>
          </cell>
          <cell r="J785">
            <v>0</v>
          </cell>
        </row>
        <row r="786">
          <cell r="A786">
            <v>96231100105</v>
          </cell>
          <cell r="B786">
            <v>45037</v>
          </cell>
          <cell r="C786" t="str">
            <v>Regular</v>
          </cell>
          <cell r="D786" t="str">
            <v>JUN (151)</v>
          </cell>
          <cell r="F786" t="str">
            <v>Q</v>
          </cell>
          <cell r="G786">
            <v>0</v>
          </cell>
          <cell r="I786">
            <v>0</v>
          </cell>
          <cell r="J786">
            <v>0</v>
          </cell>
        </row>
        <row r="787">
          <cell r="A787" t="str">
            <v>96230760730(2)</v>
          </cell>
          <cell r="B787">
            <v>45037</v>
          </cell>
          <cell r="C787" t="str">
            <v>Regular</v>
          </cell>
          <cell r="D787" t="str">
            <v>Duy (738)</v>
          </cell>
          <cell r="F787" t="str">
            <v>V</v>
          </cell>
          <cell r="G787">
            <v>0</v>
          </cell>
          <cell r="H787">
            <v>0</v>
          </cell>
          <cell r="J787">
            <v>0</v>
          </cell>
        </row>
        <row r="788">
          <cell r="A788">
            <v>96231050005</v>
          </cell>
          <cell r="B788">
            <v>45037</v>
          </cell>
          <cell r="C788" t="str">
            <v>Regular</v>
          </cell>
          <cell r="D788" t="str">
            <v>Hardy 138</v>
          </cell>
          <cell r="E788" t="str">
            <v>COSTCO PRE</v>
          </cell>
          <cell r="F788" t="str">
            <v>A Q V</v>
          </cell>
          <cell r="J788">
            <v>0</v>
          </cell>
        </row>
        <row r="789">
          <cell r="A789">
            <v>96231010479</v>
          </cell>
          <cell r="B789">
            <v>45037</v>
          </cell>
          <cell r="C789" t="str">
            <v>Regular</v>
          </cell>
          <cell r="D789" t="str">
            <v>JOHN 738</v>
          </cell>
          <cell r="F789" t="str">
            <v>Q,V</v>
          </cell>
          <cell r="G789">
            <v>0</v>
          </cell>
          <cell r="J789">
            <v>0</v>
          </cell>
        </row>
        <row r="790">
          <cell r="A790">
            <v>96231110268</v>
          </cell>
          <cell r="B790">
            <v>45037</v>
          </cell>
          <cell r="C790" t="str">
            <v>Regular</v>
          </cell>
          <cell r="D790" t="str">
            <v>NGOC 697</v>
          </cell>
          <cell r="E790" t="str">
            <v>DISNEY, 15:27</v>
          </cell>
          <cell r="F790" t="str">
            <v>Q,V</v>
          </cell>
          <cell r="G790">
            <v>0</v>
          </cell>
          <cell r="J790">
            <v>0</v>
          </cell>
        </row>
        <row r="791">
          <cell r="A791">
            <v>96231110270</v>
          </cell>
          <cell r="B791">
            <v>45037</v>
          </cell>
          <cell r="C791" t="str">
            <v>Regular</v>
          </cell>
          <cell r="D791" t="str">
            <v>NGOC 697</v>
          </cell>
          <cell r="E791" t="str">
            <v>DISNEY, 15:27</v>
          </cell>
          <cell r="F791" t="str">
            <v>Q,V</v>
          </cell>
          <cell r="G791">
            <v>0</v>
          </cell>
          <cell r="J791">
            <v>0</v>
          </cell>
        </row>
        <row r="792">
          <cell r="A792">
            <v>96231110272</v>
          </cell>
          <cell r="B792">
            <v>45037</v>
          </cell>
          <cell r="C792" t="str">
            <v>Regular</v>
          </cell>
          <cell r="D792" t="str">
            <v>NGOC 697</v>
          </cell>
          <cell r="E792" t="str">
            <v>DISNEY, 15:27</v>
          </cell>
          <cell r="F792" t="str">
            <v>Q,V</v>
          </cell>
          <cell r="G792">
            <v>0</v>
          </cell>
          <cell r="J792">
            <v>0</v>
          </cell>
        </row>
        <row r="793">
          <cell r="A793">
            <v>96230970222</v>
          </cell>
          <cell r="B793">
            <v>45023</v>
          </cell>
          <cell r="C793" t="str">
            <v>Regular</v>
          </cell>
          <cell r="D793" t="str">
            <v>NGOC 697</v>
          </cell>
          <cell r="E793" t="str">
            <v>DISNEY</v>
          </cell>
          <cell r="F793" t="str">
            <v>A Q V</v>
          </cell>
          <cell r="J793">
            <v>0</v>
          </cell>
        </row>
        <row r="794">
          <cell r="A794">
            <v>96231020588</v>
          </cell>
          <cell r="B794">
            <v>45037</v>
          </cell>
          <cell r="C794" t="str">
            <v>Regular</v>
          </cell>
          <cell r="D794" t="str">
            <v>Duy (738)</v>
          </cell>
          <cell r="F794" t="str">
            <v>Q, V</v>
          </cell>
          <cell r="G794">
            <v>0</v>
          </cell>
          <cell r="J794">
            <v>0</v>
          </cell>
        </row>
        <row r="795">
          <cell r="A795" t="str">
            <v>96230930448(2)</v>
          </cell>
          <cell r="B795">
            <v>45037</v>
          </cell>
          <cell r="C795" t="str">
            <v>Regular</v>
          </cell>
          <cell r="D795" t="str">
            <v>Vu 138</v>
          </cell>
          <cell r="F795" t="str">
            <v>Q</v>
          </cell>
          <cell r="G795">
            <v>0</v>
          </cell>
          <cell r="I795">
            <v>0</v>
          </cell>
          <cell r="J795">
            <v>0</v>
          </cell>
        </row>
        <row r="796">
          <cell r="A796" t="str">
            <v>96230930450(2)</v>
          </cell>
          <cell r="B796">
            <v>45037</v>
          </cell>
          <cell r="C796" t="str">
            <v>Regular</v>
          </cell>
          <cell r="D796" t="str">
            <v>Vu 138</v>
          </cell>
          <cell r="F796" t="str">
            <v>Q</v>
          </cell>
          <cell r="G796">
            <v>0</v>
          </cell>
          <cell r="I796">
            <v>0</v>
          </cell>
          <cell r="J796">
            <v>0</v>
          </cell>
        </row>
        <row r="797">
          <cell r="A797">
            <v>96230930452</v>
          </cell>
          <cell r="B797">
            <v>45037</v>
          </cell>
          <cell r="C797" t="str">
            <v>Regular</v>
          </cell>
          <cell r="D797" t="str">
            <v>Vu 138</v>
          </cell>
          <cell r="F797" t="str">
            <v>Q</v>
          </cell>
          <cell r="G797">
            <v>0</v>
          </cell>
          <cell r="I797">
            <v>0</v>
          </cell>
          <cell r="J797">
            <v>0</v>
          </cell>
        </row>
        <row r="798">
          <cell r="A798">
            <v>96231010178</v>
          </cell>
          <cell r="B798">
            <v>45037</v>
          </cell>
          <cell r="C798" t="str">
            <v>Regular</v>
          </cell>
          <cell r="D798" t="str">
            <v>HOANG 738</v>
          </cell>
          <cell r="F798" t="str">
            <v>Q V</v>
          </cell>
          <cell r="G798">
            <v>0</v>
          </cell>
          <cell r="J798">
            <v>0</v>
          </cell>
        </row>
        <row r="799">
          <cell r="A799">
            <v>96231090583</v>
          </cell>
          <cell r="B799">
            <v>45037</v>
          </cell>
          <cell r="C799" t="str">
            <v>Regular</v>
          </cell>
          <cell r="D799" t="str">
            <v>HAO 718</v>
          </cell>
          <cell r="F799" t="str">
            <v>Q</v>
          </cell>
          <cell r="G799">
            <v>0</v>
          </cell>
          <cell r="I799">
            <v>0</v>
          </cell>
          <cell r="J799">
            <v>0</v>
          </cell>
        </row>
        <row r="800">
          <cell r="A800">
            <v>96231090585</v>
          </cell>
          <cell r="B800">
            <v>45037</v>
          </cell>
          <cell r="C800" t="str">
            <v>Regular</v>
          </cell>
          <cell r="D800" t="str">
            <v>HAO 718</v>
          </cell>
          <cell r="F800" t="str">
            <v>Q</v>
          </cell>
          <cell r="G800">
            <v>0</v>
          </cell>
          <cell r="I800">
            <v>0</v>
          </cell>
          <cell r="J800">
            <v>0</v>
          </cell>
        </row>
        <row r="801">
          <cell r="A801">
            <v>96231080249</v>
          </cell>
          <cell r="B801">
            <v>45037</v>
          </cell>
          <cell r="C801" t="str">
            <v>Regular</v>
          </cell>
          <cell r="D801" t="str">
            <v>GIB 718</v>
          </cell>
          <cell r="F801" t="str">
            <v>Q</v>
          </cell>
          <cell r="G801">
            <v>0</v>
          </cell>
          <cell r="I801">
            <v>0</v>
          </cell>
          <cell r="J801">
            <v>0</v>
          </cell>
        </row>
        <row r="802">
          <cell r="A802">
            <v>96231000114</v>
          </cell>
          <cell r="B802">
            <v>45037</v>
          </cell>
          <cell r="C802" t="str">
            <v>Regular</v>
          </cell>
          <cell r="D802" t="str">
            <v>GIB 718</v>
          </cell>
          <cell r="F802" t="str">
            <v>Q</v>
          </cell>
          <cell r="G802">
            <v>0</v>
          </cell>
          <cell r="I802">
            <v>0</v>
          </cell>
          <cell r="J802">
            <v>0</v>
          </cell>
        </row>
        <row r="803">
          <cell r="A803">
            <v>96231090395</v>
          </cell>
          <cell r="B803">
            <v>45037</v>
          </cell>
          <cell r="C803" t="str">
            <v>Regular</v>
          </cell>
          <cell r="D803" t="str">
            <v>CEP (138)</v>
          </cell>
          <cell r="F803" t="str">
            <v>Q</v>
          </cell>
        </row>
        <row r="804">
          <cell r="A804">
            <v>96231090385</v>
          </cell>
          <cell r="B804">
            <v>45037</v>
          </cell>
          <cell r="C804" t="str">
            <v>Regular</v>
          </cell>
          <cell r="D804" t="str">
            <v>CEP (138)</v>
          </cell>
          <cell r="F804" t="str">
            <v>Q</v>
          </cell>
        </row>
        <row r="805">
          <cell r="A805">
            <v>96231110206</v>
          </cell>
          <cell r="B805">
            <v>45037</v>
          </cell>
          <cell r="C805" t="str">
            <v>Regular</v>
          </cell>
          <cell r="D805" t="str">
            <v>LUK 138</v>
          </cell>
          <cell r="F805" t="str">
            <v>Q</v>
          </cell>
          <cell r="G805">
            <v>0</v>
          </cell>
          <cell r="I805">
            <v>0</v>
          </cell>
          <cell r="J805">
            <v>0</v>
          </cell>
        </row>
        <row r="806">
          <cell r="A806">
            <v>96230910334</v>
          </cell>
          <cell r="B806">
            <v>45037</v>
          </cell>
          <cell r="C806" t="str">
            <v>Regular</v>
          </cell>
          <cell r="D806" t="str">
            <v>GIB 718</v>
          </cell>
          <cell r="F806" t="str">
            <v>V</v>
          </cell>
          <cell r="G806">
            <v>0</v>
          </cell>
          <cell r="H806">
            <v>0</v>
          </cell>
          <cell r="J806">
            <v>0</v>
          </cell>
        </row>
        <row r="807">
          <cell r="A807">
            <v>96231090138</v>
          </cell>
          <cell r="B807">
            <v>45038</v>
          </cell>
          <cell r="C807" t="str">
            <v>Regular</v>
          </cell>
          <cell r="D807" t="str">
            <v>VINCENT (698)</v>
          </cell>
          <cell r="F807" t="str">
            <v>Q</v>
          </cell>
          <cell r="G807">
            <v>0</v>
          </cell>
          <cell r="I807">
            <v>0</v>
          </cell>
          <cell r="J807">
            <v>0</v>
          </cell>
        </row>
        <row r="808">
          <cell r="A808">
            <v>96231110542</v>
          </cell>
          <cell r="B808">
            <v>45038</v>
          </cell>
          <cell r="C808" t="str">
            <v>Regular</v>
          </cell>
          <cell r="D808" t="str">
            <v>VYN 731</v>
          </cell>
          <cell r="E808" t="str">
            <v>DISNEY</v>
          </cell>
          <cell r="F808" t="str">
            <v>QV</v>
          </cell>
          <cell r="G808">
            <v>0</v>
          </cell>
          <cell r="J808">
            <v>0</v>
          </cell>
        </row>
        <row r="809">
          <cell r="A809">
            <v>96231000432</v>
          </cell>
          <cell r="B809">
            <v>45028</v>
          </cell>
          <cell r="C809" t="str">
            <v>Regular</v>
          </cell>
          <cell r="D809" t="str">
            <v>NGOC 697</v>
          </cell>
          <cell r="F809" t="str">
            <v>Q V</v>
          </cell>
          <cell r="G809">
            <v>0</v>
          </cell>
          <cell r="J809">
            <v>0</v>
          </cell>
        </row>
        <row r="810">
          <cell r="A810">
            <v>96231000434</v>
          </cell>
          <cell r="B810">
            <v>45028</v>
          </cell>
          <cell r="C810" t="str">
            <v>Regular</v>
          </cell>
          <cell r="D810" t="str">
            <v>NGOC 697</v>
          </cell>
          <cell r="F810" t="str">
            <v>Q V</v>
          </cell>
          <cell r="G810">
            <v>0</v>
          </cell>
          <cell r="J810">
            <v>0</v>
          </cell>
        </row>
        <row r="811">
          <cell r="A811">
            <v>96231000445</v>
          </cell>
          <cell r="B811">
            <v>45028</v>
          </cell>
          <cell r="C811" t="str">
            <v>Regular</v>
          </cell>
          <cell r="D811" t="str">
            <v>NGOC 697</v>
          </cell>
          <cell r="F811" t="str">
            <v>Q V</v>
          </cell>
          <cell r="G811">
            <v>0</v>
          </cell>
          <cell r="J811">
            <v>0</v>
          </cell>
        </row>
        <row r="812">
          <cell r="A812">
            <v>96231110542</v>
          </cell>
          <cell r="B812">
            <v>45038</v>
          </cell>
          <cell r="C812" t="str">
            <v>Regular</v>
          </cell>
          <cell r="D812" t="str">
            <v>VYN 731</v>
          </cell>
          <cell r="E812" t="str">
            <v>disney, 10:50</v>
          </cell>
          <cell r="F812" t="str">
            <v>QV</v>
          </cell>
          <cell r="G812">
            <v>0</v>
          </cell>
          <cell r="J812">
            <v>0</v>
          </cell>
        </row>
        <row r="813">
          <cell r="A813">
            <v>96231010314</v>
          </cell>
          <cell r="B813">
            <v>45038</v>
          </cell>
          <cell r="C813" t="str">
            <v>Regular</v>
          </cell>
          <cell r="D813" t="str">
            <v>HAO 718</v>
          </cell>
          <cell r="F813" t="str">
            <v>Q</v>
          </cell>
          <cell r="G813">
            <v>0</v>
          </cell>
          <cell r="I813">
            <v>0</v>
          </cell>
          <cell r="J813">
            <v>0</v>
          </cell>
        </row>
        <row r="814">
          <cell r="A814">
            <v>96231100638</v>
          </cell>
          <cell r="B814">
            <v>45038</v>
          </cell>
          <cell r="C814" t="str">
            <v>Regular</v>
          </cell>
          <cell r="D814" t="str">
            <v>HUYEN 151</v>
          </cell>
          <cell r="F814" t="str">
            <v>Q V</v>
          </cell>
          <cell r="G814">
            <v>0</v>
          </cell>
          <cell r="J814">
            <v>0</v>
          </cell>
        </row>
        <row r="815">
          <cell r="A815">
            <v>96231120142</v>
          </cell>
          <cell r="B815">
            <v>45038</v>
          </cell>
          <cell r="C815" t="str">
            <v>Regular</v>
          </cell>
          <cell r="D815" t="str">
            <v>NGOC 697</v>
          </cell>
          <cell r="E815" t="str">
            <v>DISNEY, 13:29</v>
          </cell>
          <cell r="F815" t="str">
            <v>Q V</v>
          </cell>
          <cell r="G815">
            <v>0</v>
          </cell>
          <cell r="J815">
            <v>0</v>
          </cell>
        </row>
        <row r="816">
          <cell r="A816">
            <v>96231120143</v>
          </cell>
          <cell r="B816">
            <v>45038</v>
          </cell>
          <cell r="C816" t="str">
            <v>Regular</v>
          </cell>
          <cell r="D816" t="str">
            <v>NGOC 697</v>
          </cell>
          <cell r="E816" t="str">
            <v>DISNEY, 13:29</v>
          </cell>
          <cell r="F816" t="str">
            <v>Q V</v>
          </cell>
          <cell r="G816">
            <v>0</v>
          </cell>
          <cell r="J816">
            <v>0</v>
          </cell>
        </row>
        <row r="817">
          <cell r="A817">
            <v>96231110425</v>
          </cell>
          <cell r="B817">
            <v>45038</v>
          </cell>
          <cell r="C817" t="str">
            <v>Regular</v>
          </cell>
          <cell r="D817" t="str">
            <v>HAO 718</v>
          </cell>
          <cell r="F817" t="str">
            <v>Q</v>
          </cell>
          <cell r="G817">
            <v>0</v>
          </cell>
          <cell r="I817">
            <v>0</v>
          </cell>
          <cell r="J817">
            <v>0</v>
          </cell>
        </row>
        <row r="818">
          <cell r="A818">
            <v>96231120002</v>
          </cell>
          <cell r="B818">
            <v>45038</v>
          </cell>
          <cell r="C818" t="str">
            <v>Regular</v>
          </cell>
          <cell r="D818" t="str">
            <v>JH 698</v>
          </cell>
          <cell r="E818" t="str">
            <v>CRAYOLA</v>
          </cell>
          <cell r="F818" t="str">
            <v>Q,V</v>
          </cell>
          <cell r="G818">
            <v>0</v>
          </cell>
          <cell r="J818">
            <v>0</v>
          </cell>
        </row>
        <row r="819">
          <cell r="A819">
            <v>96231120112</v>
          </cell>
          <cell r="B819">
            <v>45038</v>
          </cell>
          <cell r="C819" t="str">
            <v>Regular</v>
          </cell>
          <cell r="D819" t="str">
            <v>VYN 731</v>
          </cell>
          <cell r="E819" t="str">
            <v>disney, 14:10</v>
          </cell>
          <cell r="F819" t="str">
            <v>QV</v>
          </cell>
          <cell r="G819">
            <v>0</v>
          </cell>
          <cell r="J819">
            <v>0</v>
          </cell>
        </row>
        <row r="820">
          <cell r="A820">
            <v>96231120116</v>
          </cell>
          <cell r="B820">
            <v>45038</v>
          </cell>
          <cell r="C820" t="str">
            <v>Regular</v>
          </cell>
          <cell r="D820" t="str">
            <v>VYN 731</v>
          </cell>
          <cell r="E820" t="str">
            <v>disney, 14:10</v>
          </cell>
          <cell r="F820" t="str">
            <v>QV</v>
          </cell>
          <cell r="G820">
            <v>0</v>
          </cell>
          <cell r="J820">
            <v>0</v>
          </cell>
        </row>
        <row r="821">
          <cell r="A821">
            <v>96231120117</v>
          </cell>
          <cell r="B821">
            <v>45038</v>
          </cell>
          <cell r="C821" t="str">
            <v>Regular</v>
          </cell>
          <cell r="D821" t="str">
            <v>VYN 731</v>
          </cell>
          <cell r="E821" t="str">
            <v>disney, 14:10</v>
          </cell>
          <cell r="F821" t="str">
            <v>QV</v>
          </cell>
          <cell r="G821">
            <v>0</v>
          </cell>
          <cell r="J821">
            <v>0</v>
          </cell>
        </row>
        <row r="822">
          <cell r="A822">
            <v>96231120121</v>
          </cell>
          <cell r="B822">
            <v>45038</v>
          </cell>
          <cell r="C822" t="str">
            <v>Regular</v>
          </cell>
          <cell r="D822" t="str">
            <v>VYN 731</v>
          </cell>
          <cell r="E822" t="str">
            <v>disney, 14:10</v>
          </cell>
          <cell r="F822" t="str">
            <v>QV</v>
          </cell>
          <cell r="G822">
            <v>0</v>
          </cell>
          <cell r="J822">
            <v>0</v>
          </cell>
        </row>
        <row r="823">
          <cell r="A823">
            <v>96231070515</v>
          </cell>
          <cell r="B823">
            <v>45038</v>
          </cell>
          <cell r="C823" t="str">
            <v>Regular</v>
          </cell>
          <cell r="D823" t="str">
            <v>Vu 138</v>
          </cell>
          <cell r="F823" t="str">
            <v>Q</v>
          </cell>
          <cell r="G823">
            <v>0</v>
          </cell>
          <cell r="I823">
            <v>0</v>
          </cell>
          <cell r="J823">
            <v>0</v>
          </cell>
        </row>
        <row r="824">
          <cell r="A824">
            <v>96231120163</v>
          </cell>
          <cell r="B824">
            <v>45038</v>
          </cell>
          <cell r="C824" t="str">
            <v>Regular</v>
          </cell>
          <cell r="D824" t="str">
            <v>MARIS (619)</v>
          </cell>
          <cell r="F824" t="str">
            <v>QV</v>
          </cell>
          <cell r="G824">
            <v>0</v>
          </cell>
          <cell r="J824">
            <v>0</v>
          </cell>
        </row>
        <row r="825">
          <cell r="A825">
            <v>96231120164</v>
          </cell>
          <cell r="B825">
            <v>45038</v>
          </cell>
          <cell r="C825" t="str">
            <v>Regular</v>
          </cell>
          <cell r="D825" t="str">
            <v>MARIS (619)</v>
          </cell>
          <cell r="F825" t="str">
            <v>QV</v>
          </cell>
          <cell r="G825">
            <v>0</v>
          </cell>
          <cell r="J825">
            <v>0</v>
          </cell>
        </row>
        <row r="826">
          <cell r="A826">
            <v>96231120122</v>
          </cell>
          <cell r="B826">
            <v>45038</v>
          </cell>
          <cell r="C826" t="str">
            <v>Regular</v>
          </cell>
          <cell r="D826" t="str">
            <v>MARIS (619)</v>
          </cell>
          <cell r="F826" t="str">
            <v>QV</v>
          </cell>
          <cell r="G826">
            <v>0</v>
          </cell>
          <cell r="J826">
            <v>0</v>
          </cell>
        </row>
        <row r="827">
          <cell r="A827" t="str">
            <v>96230960463(2)</v>
          </cell>
          <cell r="B827">
            <v>45040</v>
          </cell>
          <cell r="C827" t="str">
            <v>Regular</v>
          </cell>
          <cell r="D827" t="str">
            <v>JOHN 738</v>
          </cell>
          <cell r="F827" t="str">
            <v>Q,V</v>
          </cell>
          <cell r="G827">
            <v>0</v>
          </cell>
          <cell r="J827">
            <v>0</v>
          </cell>
        </row>
        <row r="828">
          <cell r="A828" t="str">
            <v>96230960489(2)</v>
          </cell>
          <cell r="B828">
            <v>45040</v>
          </cell>
          <cell r="C828" t="str">
            <v>Regular</v>
          </cell>
          <cell r="D828" t="str">
            <v>JOHN 738</v>
          </cell>
          <cell r="F828" t="str">
            <v>Q,V</v>
          </cell>
          <cell r="G828">
            <v>0</v>
          </cell>
          <cell r="J828">
            <v>0</v>
          </cell>
        </row>
        <row r="829">
          <cell r="A829" t="str">
            <v>96230960464(2)</v>
          </cell>
          <cell r="B829">
            <v>45040</v>
          </cell>
          <cell r="C829" t="str">
            <v>Regular</v>
          </cell>
          <cell r="D829" t="str">
            <v>JOHN 738</v>
          </cell>
          <cell r="F829" t="str">
            <v>Q,V</v>
          </cell>
          <cell r="G829">
            <v>0</v>
          </cell>
          <cell r="J829">
            <v>0</v>
          </cell>
        </row>
        <row r="830">
          <cell r="A830">
            <v>96231120001</v>
          </cell>
          <cell r="B830">
            <v>45040</v>
          </cell>
          <cell r="C830" t="str">
            <v>Regular</v>
          </cell>
          <cell r="D830" t="str">
            <v>JH 698</v>
          </cell>
          <cell r="F830" t="str">
            <v>V</v>
          </cell>
          <cell r="G830">
            <v>0</v>
          </cell>
          <cell r="H830">
            <v>0</v>
          </cell>
          <cell r="J830">
            <v>0</v>
          </cell>
        </row>
        <row r="831">
          <cell r="A831">
            <v>96231110124</v>
          </cell>
          <cell r="B831">
            <v>45040</v>
          </cell>
          <cell r="C831" t="str">
            <v>Regular</v>
          </cell>
          <cell r="D831" t="str">
            <v>CEP (138)</v>
          </cell>
          <cell r="F831" t="str">
            <v>Q</v>
          </cell>
          <cell r="G831">
            <v>0</v>
          </cell>
          <cell r="I831">
            <v>0</v>
          </cell>
          <cell r="J831">
            <v>0</v>
          </cell>
        </row>
        <row r="832">
          <cell r="A832" t="str">
            <v>96230650068(3)</v>
          </cell>
          <cell r="B832">
            <v>45040</v>
          </cell>
          <cell r="C832" t="str">
            <v>Regular</v>
          </cell>
          <cell r="D832" t="str">
            <v>JOHN 738</v>
          </cell>
          <cell r="F832" t="str">
            <v>Q,V</v>
          </cell>
          <cell r="G832">
            <v>0</v>
          </cell>
          <cell r="J832">
            <v>0</v>
          </cell>
        </row>
        <row r="833">
          <cell r="A833">
            <v>96231110334</v>
          </cell>
          <cell r="B833">
            <v>45040</v>
          </cell>
          <cell r="C833" t="str">
            <v>Regular</v>
          </cell>
          <cell r="D833" t="str">
            <v>JUN (151)</v>
          </cell>
          <cell r="F833" t="str">
            <v>Q</v>
          </cell>
          <cell r="G833">
            <v>0</v>
          </cell>
          <cell r="I833">
            <v>0</v>
          </cell>
          <cell r="J833">
            <v>0</v>
          </cell>
        </row>
        <row r="834">
          <cell r="A834">
            <v>96231140013</v>
          </cell>
          <cell r="B834">
            <v>45040</v>
          </cell>
          <cell r="C834" t="str">
            <v>PRIORITY</v>
          </cell>
          <cell r="D834" t="str">
            <v>JUN (151)</v>
          </cell>
          <cell r="F834" t="str">
            <v>Q, V</v>
          </cell>
          <cell r="G834">
            <v>0</v>
          </cell>
          <cell r="J834">
            <v>0</v>
          </cell>
        </row>
        <row r="835">
          <cell r="A835">
            <v>96231040367</v>
          </cell>
          <cell r="B835">
            <v>45040</v>
          </cell>
          <cell r="C835" t="str">
            <v>Regular</v>
          </cell>
          <cell r="D835" t="str">
            <v>GIB 718</v>
          </cell>
          <cell r="F835" t="str">
            <v>Q V</v>
          </cell>
          <cell r="G835">
            <v>0</v>
          </cell>
          <cell r="J835">
            <v>0</v>
          </cell>
        </row>
        <row r="836">
          <cell r="A836">
            <v>96231120387</v>
          </cell>
          <cell r="B836">
            <v>45040</v>
          </cell>
          <cell r="C836" t="str">
            <v>RUSH</v>
          </cell>
          <cell r="D836" t="str">
            <v>VINCENT (698)</v>
          </cell>
          <cell r="F836" t="str">
            <v>Q, V</v>
          </cell>
          <cell r="G836">
            <v>0</v>
          </cell>
          <cell r="J836">
            <v>0</v>
          </cell>
        </row>
        <row r="837">
          <cell r="A837" t="str">
            <v>96230690133(2)</v>
          </cell>
          <cell r="B837">
            <v>45040</v>
          </cell>
          <cell r="C837" t="str">
            <v>Regular</v>
          </cell>
          <cell r="D837" t="str">
            <v>Daniel (EE)</v>
          </cell>
          <cell r="F837" t="str">
            <v>Q, V</v>
          </cell>
          <cell r="G837">
            <v>0</v>
          </cell>
          <cell r="J837">
            <v>0</v>
          </cell>
        </row>
        <row r="838">
          <cell r="A838">
            <v>96231020581</v>
          </cell>
          <cell r="B838">
            <v>45040</v>
          </cell>
          <cell r="C838" t="str">
            <v>Regular</v>
          </cell>
          <cell r="D838" t="str">
            <v>HOANG 738</v>
          </cell>
          <cell r="F838" t="str">
            <v>Q V</v>
          </cell>
          <cell r="G838">
            <v>0</v>
          </cell>
          <cell r="J838">
            <v>0</v>
          </cell>
        </row>
        <row r="839">
          <cell r="A839">
            <v>96231090343</v>
          </cell>
          <cell r="B839">
            <v>45040</v>
          </cell>
          <cell r="C839" t="str">
            <v>Regular</v>
          </cell>
          <cell r="D839" t="str">
            <v>MINH 718</v>
          </cell>
          <cell r="F839" t="str">
            <v>V</v>
          </cell>
          <cell r="G839">
            <v>0</v>
          </cell>
          <cell r="H839">
            <v>0</v>
          </cell>
          <cell r="J839">
            <v>0</v>
          </cell>
        </row>
        <row r="840">
          <cell r="A840">
            <v>96231100544</v>
          </cell>
          <cell r="B840">
            <v>45040</v>
          </cell>
          <cell r="C840" t="str">
            <v>Regular</v>
          </cell>
          <cell r="D840" t="str">
            <v>MINH 718</v>
          </cell>
          <cell r="F840" t="str">
            <v>V</v>
          </cell>
          <cell r="G840">
            <v>0</v>
          </cell>
          <cell r="H840">
            <v>0</v>
          </cell>
          <cell r="J840">
            <v>0</v>
          </cell>
        </row>
        <row r="841">
          <cell r="A841">
            <v>96231140210</v>
          </cell>
          <cell r="B841">
            <v>45040</v>
          </cell>
          <cell r="C841" t="str">
            <v>Regular</v>
          </cell>
          <cell r="D841" t="str">
            <v>MARIS (619)</v>
          </cell>
          <cell r="F841" t="str">
            <v>A,X,Q,V</v>
          </cell>
        </row>
        <row r="842">
          <cell r="A842">
            <v>96231110596</v>
          </cell>
          <cell r="B842">
            <v>45040</v>
          </cell>
          <cell r="C842" t="str">
            <v>Regular</v>
          </cell>
          <cell r="D842" t="str">
            <v>HUYEN 151</v>
          </cell>
          <cell r="F842" t="str">
            <v>Q V</v>
          </cell>
          <cell r="G842">
            <v>0</v>
          </cell>
          <cell r="J842">
            <v>0</v>
          </cell>
        </row>
        <row r="843">
          <cell r="A843">
            <v>96231140373</v>
          </cell>
          <cell r="B843">
            <v>45040</v>
          </cell>
          <cell r="C843" t="str">
            <v>Regular</v>
          </cell>
          <cell r="D843" t="str">
            <v>JH 698</v>
          </cell>
          <cell r="E843" t="str">
            <v>MATTEL</v>
          </cell>
          <cell r="F843" t="str">
            <v>Q,V</v>
          </cell>
          <cell r="G843">
            <v>0</v>
          </cell>
          <cell r="J843">
            <v>0</v>
          </cell>
        </row>
        <row r="844">
          <cell r="A844" t="str">
            <v>96230960219(2)</v>
          </cell>
          <cell r="B844">
            <v>45040</v>
          </cell>
          <cell r="C844" t="str">
            <v>Regular</v>
          </cell>
          <cell r="D844" t="str">
            <v>NGOC 697</v>
          </cell>
          <cell r="E844" t="str">
            <v>DISNEY</v>
          </cell>
          <cell r="F844" t="str">
            <v>Q V</v>
          </cell>
          <cell r="G844">
            <v>0</v>
          </cell>
          <cell r="J844">
            <v>0</v>
          </cell>
        </row>
        <row r="845">
          <cell r="A845" t="str">
            <v>96230960229(2)</v>
          </cell>
          <cell r="B845">
            <v>45040</v>
          </cell>
          <cell r="C845" t="str">
            <v>Regular</v>
          </cell>
          <cell r="D845" t="str">
            <v>NGOC 697</v>
          </cell>
          <cell r="E845" t="str">
            <v>DISNEY</v>
          </cell>
          <cell r="F845" t="str">
            <v>Q</v>
          </cell>
          <cell r="G845">
            <v>0</v>
          </cell>
          <cell r="J845">
            <v>0</v>
          </cell>
        </row>
        <row r="846">
          <cell r="A846" t="str">
            <v>96230960231(2)</v>
          </cell>
          <cell r="B846">
            <v>45040</v>
          </cell>
          <cell r="C846" t="str">
            <v>Regular</v>
          </cell>
          <cell r="D846" t="str">
            <v>NGOC 697</v>
          </cell>
          <cell r="E846" t="str">
            <v>DISNEY</v>
          </cell>
          <cell r="F846" t="str">
            <v>Q V A</v>
          </cell>
          <cell r="J846">
            <v>0</v>
          </cell>
        </row>
        <row r="847">
          <cell r="A847" t="str">
            <v>96230960232(2)</v>
          </cell>
          <cell r="B847">
            <v>45040</v>
          </cell>
          <cell r="C847" t="str">
            <v>Regular</v>
          </cell>
          <cell r="D847" t="str">
            <v>NGOC 697</v>
          </cell>
          <cell r="E847" t="str">
            <v>DISNEY</v>
          </cell>
          <cell r="F847" t="str">
            <v>Q</v>
          </cell>
          <cell r="G847">
            <v>0</v>
          </cell>
          <cell r="J847">
            <v>0</v>
          </cell>
        </row>
        <row r="848">
          <cell r="A848" t="str">
            <v>96230960234(2)</v>
          </cell>
          <cell r="B848">
            <v>45040</v>
          </cell>
          <cell r="C848" t="str">
            <v>Regular</v>
          </cell>
          <cell r="D848" t="str">
            <v>NGOC 697</v>
          </cell>
          <cell r="E848" t="str">
            <v>DISNEY</v>
          </cell>
          <cell r="F848" t="str">
            <v>Q</v>
          </cell>
          <cell r="G848">
            <v>0</v>
          </cell>
          <cell r="J848">
            <v>0</v>
          </cell>
        </row>
        <row r="849">
          <cell r="A849" t="str">
            <v>96230960236(2)</v>
          </cell>
          <cell r="B849">
            <v>45040</v>
          </cell>
          <cell r="C849" t="str">
            <v>Regular</v>
          </cell>
          <cell r="D849" t="str">
            <v>NGOC 697</v>
          </cell>
          <cell r="E849" t="str">
            <v>DISNEY</v>
          </cell>
          <cell r="F849" t="str">
            <v>Q</v>
          </cell>
          <cell r="G849">
            <v>0</v>
          </cell>
          <cell r="J849">
            <v>0</v>
          </cell>
        </row>
        <row r="850">
          <cell r="A850" t="str">
            <v>96230960238(2)</v>
          </cell>
          <cell r="B850">
            <v>45040</v>
          </cell>
          <cell r="C850" t="str">
            <v>Regular</v>
          </cell>
          <cell r="D850" t="str">
            <v>NGOC 697</v>
          </cell>
          <cell r="E850" t="str">
            <v>DISNEY</v>
          </cell>
          <cell r="F850" t="str">
            <v>Q</v>
          </cell>
          <cell r="G850">
            <v>0</v>
          </cell>
          <cell r="J850">
            <v>0</v>
          </cell>
        </row>
        <row r="851">
          <cell r="A851" t="str">
            <v>96230960240(2)</v>
          </cell>
          <cell r="B851">
            <v>45040</v>
          </cell>
          <cell r="C851" t="str">
            <v>Regular</v>
          </cell>
          <cell r="D851" t="str">
            <v>NGOC 697</v>
          </cell>
          <cell r="E851" t="str">
            <v>DISNEY</v>
          </cell>
          <cell r="F851" t="str">
            <v>Q</v>
          </cell>
          <cell r="G851">
            <v>0</v>
          </cell>
          <cell r="J851">
            <v>0</v>
          </cell>
        </row>
        <row r="852">
          <cell r="A852">
            <v>96231120189</v>
          </cell>
          <cell r="B852">
            <v>45040</v>
          </cell>
          <cell r="C852" t="str">
            <v>Regular</v>
          </cell>
          <cell r="D852" t="str">
            <v>LUK 138</v>
          </cell>
          <cell r="F852" t="str">
            <v>Q</v>
          </cell>
          <cell r="G852">
            <v>0</v>
          </cell>
          <cell r="I852">
            <v>0</v>
          </cell>
          <cell r="J852">
            <v>0</v>
          </cell>
        </row>
        <row r="853">
          <cell r="A853">
            <v>96231070234</v>
          </cell>
          <cell r="B853">
            <v>45040</v>
          </cell>
          <cell r="C853" t="str">
            <v>Regular</v>
          </cell>
          <cell r="D853" t="str">
            <v>FANTOM(719)</v>
          </cell>
          <cell r="F853" t="str">
            <v>A, V, Q</v>
          </cell>
          <cell r="J853">
            <v>0</v>
          </cell>
        </row>
        <row r="854">
          <cell r="A854">
            <v>96231070240</v>
          </cell>
          <cell r="B854">
            <v>45040</v>
          </cell>
          <cell r="C854" t="str">
            <v>Regular</v>
          </cell>
          <cell r="D854" t="str">
            <v>FANTOM(719)</v>
          </cell>
          <cell r="F854" t="str">
            <v>Q</v>
          </cell>
          <cell r="G854">
            <v>0</v>
          </cell>
          <cell r="I854">
            <v>0</v>
          </cell>
          <cell r="J854">
            <v>0</v>
          </cell>
        </row>
        <row r="855">
          <cell r="A855">
            <v>96231100282</v>
          </cell>
          <cell r="B855">
            <v>45040</v>
          </cell>
          <cell r="C855" t="str">
            <v>Regular</v>
          </cell>
          <cell r="D855" t="str">
            <v>JUN (151)</v>
          </cell>
          <cell r="F855" t="str">
            <v>Q V</v>
          </cell>
          <cell r="G855">
            <v>0</v>
          </cell>
          <cell r="J855">
            <v>0</v>
          </cell>
        </row>
        <row r="856">
          <cell r="A856">
            <v>96231100483</v>
          </cell>
          <cell r="B856">
            <v>45040</v>
          </cell>
          <cell r="C856" t="str">
            <v>Regular</v>
          </cell>
          <cell r="D856" t="str">
            <v>FANTOM(719)</v>
          </cell>
          <cell r="F856" t="str">
            <v>A, Q, V</v>
          </cell>
          <cell r="J856">
            <v>0</v>
          </cell>
        </row>
        <row r="857">
          <cell r="A857">
            <v>96231090439</v>
          </cell>
          <cell r="B857">
            <v>45040</v>
          </cell>
          <cell r="C857" t="str">
            <v>Regular</v>
          </cell>
          <cell r="D857" t="str">
            <v>NGOC 697</v>
          </cell>
          <cell r="F857" t="str">
            <v>Q V</v>
          </cell>
          <cell r="G857">
            <v>0</v>
          </cell>
          <cell r="J857">
            <v>0</v>
          </cell>
        </row>
        <row r="858">
          <cell r="A858">
            <v>96231090440</v>
          </cell>
          <cell r="B858">
            <v>45040</v>
          </cell>
          <cell r="C858" t="str">
            <v>Regular</v>
          </cell>
          <cell r="D858" t="str">
            <v>NGOC 697</v>
          </cell>
          <cell r="F858" t="str">
            <v>Q V</v>
          </cell>
          <cell r="G858">
            <v>0</v>
          </cell>
          <cell r="J858">
            <v>0</v>
          </cell>
        </row>
        <row r="859">
          <cell r="A859">
            <v>96231090444</v>
          </cell>
          <cell r="B859">
            <v>45040</v>
          </cell>
          <cell r="C859" t="str">
            <v>Regular</v>
          </cell>
          <cell r="D859" t="str">
            <v>NGOC 697</v>
          </cell>
          <cell r="F859" t="str">
            <v>Q V</v>
          </cell>
          <cell r="G859">
            <v>0</v>
          </cell>
          <cell r="J859">
            <v>0</v>
          </cell>
        </row>
        <row r="860">
          <cell r="A860">
            <v>96230660241</v>
          </cell>
          <cell r="B860">
            <v>45040</v>
          </cell>
          <cell r="C860" t="str">
            <v>Regular</v>
          </cell>
          <cell r="D860" t="str">
            <v>LUK 138</v>
          </cell>
          <cell r="F860" t="str">
            <v>Q V</v>
          </cell>
          <cell r="G860">
            <v>0</v>
          </cell>
          <cell r="J860">
            <v>0</v>
          </cell>
        </row>
        <row r="861">
          <cell r="A861">
            <v>96231120247</v>
          </cell>
          <cell r="B861">
            <v>45041</v>
          </cell>
          <cell r="C861" t="str">
            <v>Regular</v>
          </cell>
          <cell r="D861" t="str">
            <v>Hardy 138</v>
          </cell>
          <cell r="F861" t="str">
            <v>A Q V</v>
          </cell>
          <cell r="J861">
            <v>0</v>
          </cell>
        </row>
        <row r="862">
          <cell r="A862">
            <v>96231140378</v>
          </cell>
          <cell r="B862">
            <v>45040</v>
          </cell>
          <cell r="C862" t="str">
            <v>PRIORITY</v>
          </cell>
          <cell r="D862" t="str">
            <v>THE HIEN (EE)</v>
          </cell>
          <cell r="F862" t="str">
            <v>QV</v>
          </cell>
          <cell r="G862">
            <v>0</v>
          </cell>
          <cell r="J862">
            <v>0</v>
          </cell>
        </row>
        <row r="863">
          <cell r="A863">
            <v>96231140379</v>
          </cell>
          <cell r="B863">
            <v>45040</v>
          </cell>
          <cell r="C863" t="str">
            <v>PRIORITY</v>
          </cell>
          <cell r="D863" t="str">
            <v>THE HIEN (EE)</v>
          </cell>
          <cell r="F863" t="str">
            <v>QV</v>
          </cell>
          <cell r="G863">
            <v>0</v>
          </cell>
          <cell r="J863">
            <v>0</v>
          </cell>
        </row>
        <row r="864">
          <cell r="A864">
            <v>96231010312</v>
          </cell>
          <cell r="B864">
            <v>45041</v>
          </cell>
          <cell r="C864" t="str">
            <v>Regular</v>
          </cell>
          <cell r="D864" t="str">
            <v>LUK 138</v>
          </cell>
          <cell r="F864" t="str">
            <v>Q</v>
          </cell>
          <cell r="G864">
            <v>0</v>
          </cell>
          <cell r="I864">
            <v>0</v>
          </cell>
          <cell r="J864">
            <v>0</v>
          </cell>
        </row>
        <row r="865">
          <cell r="A865">
            <v>96231140547</v>
          </cell>
          <cell r="B865">
            <v>45041</v>
          </cell>
          <cell r="C865" t="str">
            <v>RUSH</v>
          </cell>
          <cell r="D865" t="str">
            <v>VYN 731</v>
          </cell>
          <cell r="F865" t="str">
            <v>Q</v>
          </cell>
          <cell r="G865">
            <v>0</v>
          </cell>
          <cell r="I865">
            <v>0</v>
          </cell>
          <cell r="J865">
            <v>0</v>
          </cell>
        </row>
        <row r="866">
          <cell r="A866">
            <v>96231110534</v>
          </cell>
          <cell r="B866">
            <v>45041</v>
          </cell>
          <cell r="C866" t="str">
            <v>Regular</v>
          </cell>
          <cell r="D866" t="str">
            <v>MARIS (619)</v>
          </cell>
          <cell r="E866" t="str">
            <v>DISNEY - 10:19 AM</v>
          </cell>
          <cell r="F866" t="str">
            <v>A Q V X</v>
          </cell>
        </row>
        <row r="867">
          <cell r="A867">
            <v>96231110536</v>
          </cell>
          <cell r="B867">
            <v>45041</v>
          </cell>
          <cell r="C867" t="str">
            <v>Regular</v>
          </cell>
          <cell r="D867" t="str">
            <v>MARIS (619)</v>
          </cell>
          <cell r="E867" t="str">
            <v>RF SP 96231110534 - DISNEY - 10:19 AM</v>
          </cell>
          <cell r="F867" t="str">
            <v>Q V</v>
          </cell>
          <cell r="G867">
            <v>0</v>
          </cell>
          <cell r="J867">
            <v>0</v>
          </cell>
        </row>
        <row r="868">
          <cell r="A868">
            <v>96231110538</v>
          </cell>
          <cell r="B868">
            <v>45041</v>
          </cell>
          <cell r="C868" t="str">
            <v>Regular</v>
          </cell>
          <cell r="D868" t="str">
            <v>MARIS (619)</v>
          </cell>
          <cell r="E868" t="str">
            <v>RF SP 96231110534 - DISNEY - 10:19 AM</v>
          </cell>
          <cell r="F868" t="str">
            <v>A Q V</v>
          </cell>
          <cell r="J868">
            <v>0</v>
          </cell>
        </row>
        <row r="869">
          <cell r="A869">
            <v>96231140420</v>
          </cell>
          <cell r="B869">
            <v>45041</v>
          </cell>
          <cell r="C869" t="str">
            <v>RUSH</v>
          </cell>
          <cell r="D869" t="str">
            <v>Vu 138</v>
          </cell>
          <cell r="F869" t="str">
            <v>Q</v>
          </cell>
          <cell r="G869">
            <v>0</v>
          </cell>
          <cell r="I869">
            <v>0</v>
          </cell>
          <cell r="J869">
            <v>0</v>
          </cell>
        </row>
        <row r="870">
          <cell r="A870">
            <v>96231140230</v>
          </cell>
          <cell r="B870">
            <v>45041</v>
          </cell>
          <cell r="C870" t="str">
            <v>Regular</v>
          </cell>
          <cell r="D870" t="str">
            <v>CEP (138)</v>
          </cell>
          <cell r="F870" t="str">
            <v>Q</v>
          </cell>
          <cell r="G870">
            <v>0</v>
          </cell>
          <cell r="I870">
            <v>0</v>
          </cell>
          <cell r="J870">
            <v>0</v>
          </cell>
        </row>
        <row r="871">
          <cell r="A871">
            <v>96231140366</v>
          </cell>
          <cell r="B871">
            <v>45041</v>
          </cell>
          <cell r="C871" t="str">
            <v>Regular</v>
          </cell>
          <cell r="D871" t="str">
            <v>CEP (138)</v>
          </cell>
          <cell r="F871" t="str">
            <v>Q</v>
          </cell>
          <cell r="G871">
            <v>0</v>
          </cell>
          <cell r="I871">
            <v>0</v>
          </cell>
          <cell r="J871">
            <v>0</v>
          </cell>
        </row>
        <row r="872">
          <cell r="A872">
            <v>96231100151</v>
          </cell>
          <cell r="B872">
            <v>45041</v>
          </cell>
          <cell r="C872" t="str">
            <v>Regular</v>
          </cell>
          <cell r="D872" t="str">
            <v>LUK 138</v>
          </cell>
          <cell r="F872" t="str">
            <v>Q V</v>
          </cell>
          <cell r="G872">
            <v>0</v>
          </cell>
          <cell r="J872">
            <v>0</v>
          </cell>
        </row>
        <row r="873">
          <cell r="A873">
            <v>96231120246</v>
          </cell>
          <cell r="B873">
            <v>45041</v>
          </cell>
          <cell r="C873" t="str">
            <v>Regular</v>
          </cell>
          <cell r="D873" t="str">
            <v>HUYEN 151</v>
          </cell>
          <cell r="F873" t="str">
            <v>Q</v>
          </cell>
          <cell r="G873">
            <v>0</v>
          </cell>
          <cell r="I873">
            <v>0</v>
          </cell>
          <cell r="J873">
            <v>0</v>
          </cell>
        </row>
        <row r="874">
          <cell r="A874">
            <v>96231120167</v>
          </cell>
          <cell r="B874">
            <v>45041</v>
          </cell>
          <cell r="C874" t="str">
            <v>Regular</v>
          </cell>
          <cell r="D874" t="str">
            <v>HUYEN 151</v>
          </cell>
          <cell r="F874" t="str">
            <v>Q</v>
          </cell>
          <cell r="G874">
            <v>0</v>
          </cell>
          <cell r="I874">
            <v>0</v>
          </cell>
          <cell r="J874">
            <v>0</v>
          </cell>
        </row>
        <row r="875">
          <cell r="A875">
            <v>96231120321</v>
          </cell>
          <cell r="B875">
            <v>45041</v>
          </cell>
          <cell r="C875" t="str">
            <v>Regular</v>
          </cell>
          <cell r="D875" t="str">
            <v>HOANG 738</v>
          </cell>
          <cell r="F875" t="str">
            <v>Q</v>
          </cell>
          <cell r="G875">
            <v>0</v>
          </cell>
          <cell r="I875">
            <v>0</v>
          </cell>
          <cell r="J875">
            <v>0</v>
          </cell>
        </row>
        <row r="876">
          <cell r="A876">
            <v>96231100654</v>
          </cell>
          <cell r="B876">
            <v>45041</v>
          </cell>
          <cell r="C876" t="str">
            <v>Regular</v>
          </cell>
          <cell r="D876" t="str">
            <v>VINCENT (698)</v>
          </cell>
          <cell r="F876" t="str">
            <v>A, Q, V</v>
          </cell>
          <cell r="J876">
            <v>0</v>
          </cell>
        </row>
        <row r="877">
          <cell r="A877">
            <v>96231090587</v>
          </cell>
          <cell r="B877">
            <v>45041</v>
          </cell>
          <cell r="C877" t="str">
            <v>Regular</v>
          </cell>
          <cell r="D877" t="str">
            <v>GIB 718</v>
          </cell>
          <cell r="F877" t="str">
            <v>A, Q, V</v>
          </cell>
          <cell r="J877">
            <v>0</v>
          </cell>
        </row>
        <row r="878">
          <cell r="A878">
            <v>96231090588</v>
          </cell>
          <cell r="B878">
            <v>45041</v>
          </cell>
          <cell r="C878" t="str">
            <v>Regular</v>
          </cell>
          <cell r="D878" t="str">
            <v>GIB 718</v>
          </cell>
          <cell r="F878" t="str">
            <v>A, Q, V</v>
          </cell>
          <cell r="J878">
            <v>0</v>
          </cell>
        </row>
        <row r="879">
          <cell r="A879">
            <v>96231150313</v>
          </cell>
          <cell r="B879">
            <v>45041</v>
          </cell>
          <cell r="C879" t="str">
            <v>Regular</v>
          </cell>
          <cell r="D879" t="str">
            <v>MARIS (619)</v>
          </cell>
          <cell r="F879" t="str">
            <v>Q</v>
          </cell>
          <cell r="G879">
            <v>0</v>
          </cell>
          <cell r="I879">
            <v>0</v>
          </cell>
          <cell r="J879">
            <v>0</v>
          </cell>
        </row>
        <row r="880">
          <cell r="A880">
            <v>96231000121</v>
          </cell>
          <cell r="B880">
            <v>45041</v>
          </cell>
          <cell r="C880" t="str">
            <v>Regular</v>
          </cell>
          <cell r="D880" t="str">
            <v>GIB 718</v>
          </cell>
          <cell r="F880" t="str">
            <v>Q</v>
          </cell>
          <cell r="G880">
            <v>0</v>
          </cell>
          <cell r="I880">
            <v>0</v>
          </cell>
          <cell r="J880">
            <v>0</v>
          </cell>
        </row>
        <row r="881">
          <cell r="A881">
            <v>96231000130</v>
          </cell>
          <cell r="B881">
            <v>45041</v>
          </cell>
          <cell r="C881" t="str">
            <v>Regular</v>
          </cell>
          <cell r="D881" t="str">
            <v>GIB 718</v>
          </cell>
          <cell r="F881" t="str">
            <v>Q</v>
          </cell>
          <cell r="G881">
            <v>0</v>
          </cell>
          <cell r="I881">
            <v>0</v>
          </cell>
          <cell r="J881">
            <v>0</v>
          </cell>
        </row>
        <row r="882">
          <cell r="A882">
            <v>96231120243</v>
          </cell>
          <cell r="B882">
            <v>45041</v>
          </cell>
          <cell r="C882" t="str">
            <v>Regular</v>
          </cell>
          <cell r="D882" t="str">
            <v>Hardy 138</v>
          </cell>
          <cell r="E882" t="str">
            <v>Costco Vendor PUSH 
report 5/3</v>
          </cell>
          <cell r="F882" t="str">
            <v>A Q V</v>
          </cell>
          <cell r="J882">
            <v>0</v>
          </cell>
        </row>
        <row r="883">
          <cell r="A883" t="str">
            <v>96230760732(2)</v>
          </cell>
          <cell r="B883">
            <v>45041</v>
          </cell>
          <cell r="C883" t="str">
            <v>Regular</v>
          </cell>
          <cell r="D883" t="str">
            <v>Duy (738)</v>
          </cell>
          <cell r="F883" t="str">
            <v>Q</v>
          </cell>
          <cell r="G883">
            <v>0</v>
          </cell>
          <cell r="I883">
            <v>0</v>
          </cell>
          <cell r="J883">
            <v>0</v>
          </cell>
        </row>
        <row r="884">
          <cell r="A884">
            <v>96231140431</v>
          </cell>
          <cell r="B884">
            <v>45041</v>
          </cell>
          <cell r="C884" t="str">
            <v>Regular</v>
          </cell>
          <cell r="D884" t="str">
            <v>GIB 718</v>
          </cell>
          <cell r="F884" t="str">
            <v>Q</v>
          </cell>
          <cell r="G884">
            <v>0</v>
          </cell>
          <cell r="I884">
            <v>0</v>
          </cell>
          <cell r="J884">
            <v>0</v>
          </cell>
        </row>
        <row r="885">
          <cell r="A885">
            <v>96231150217</v>
          </cell>
          <cell r="B885">
            <v>45041</v>
          </cell>
          <cell r="C885" t="str">
            <v>Regular</v>
          </cell>
          <cell r="D885" t="str">
            <v>MARIS (619)</v>
          </cell>
          <cell r="F885" t="str">
            <v>Q</v>
          </cell>
          <cell r="G885">
            <v>0</v>
          </cell>
          <cell r="I885">
            <v>0</v>
          </cell>
          <cell r="J885">
            <v>0</v>
          </cell>
        </row>
        <row r="886">
          <cell r="A886">
            <v>96231150180</v>
          </cell>
          <cell r="B886">
            <v>45041</v>
          </cell>
          <cell r="C886" t="str">
            <v>Regular</v>
          </cell>
          <cell r="D886" t="str">
            <v>VINCENT (698)</v>
          </cell>
          <cell r="F886" t="str">
            <v>Q</v>
          </cell>
          <cell r="G886">
            <v>0</v>
          </cell>
          <cell r="I886">
            <v>0</v>
          </cell>
          <cell r="J886">
            <v>0</v>
          </cell>
        </row>
        <row r="887">
          <cell r="A887">
            <v>96231150187</v>
          </cell>
          <cell r="B887">
            <v>45041</v>
          </cell>
          <cell r="C887" t="str">
            <v>Regular</v>
          </cell>
          <cell r="D887" t="str">
            <v>VINCENT (698)</v>
          </cell>
          <cell r="F887" t="str">
            <v>Q</v>
          </cell>
          <cell r="G887">
            <v>0</v>
          </cell>
          <cell r="I887">
            <v>0</v>
          </cell>
          <cell r="J887">
            <v>0</v>
          </cell>
        </row>
        <row r="888">
          <cell r="A888" t="str">
            <v>96230960464(3)</v>
          </cell>
          <cell r="B888">
            <v>45041</v>
          </cell>
          <cell r="C888" t="str">
            <v>Regular</v>
          </cell>
          <cell r="D888" t="str">
            <v>JOHN 738</v>
          </cell>
          <cell r="F888" t="str">
            <v>Q</v>
          </cell>
          <cell r="G888">
            <v>0</v>
          </cell>
          <cell r="I888">
            <v>0</v>
          </cell>
          <cell r="J888">
            <v>0</v>
          </cell>
        </row>
        <row r="889">
          <cell r="A889">
            <v>96231120400</v>
          </cell>
          <cell r="B889">
            <v>45041</v>
          </cell>
          <cell r="C889" t="str">
            <v>Regular</v>
          </cell>
          <cell r="D889" t="str">
            <v>Duy (738)</v>
          </cell>
          <cell r="F889" t="str">
            <v>Q, V</v>
          </cell>
          <cell r="G889">
            <v>0</v>
          </cell>
          <cell r="H889" t="str">
            <v>Q</v>
          </cell>
          <cell r="I889" t="str">
            <v>V</v>
          </cell>
          <cell r="J889">
            <v>0</v>
          </cell>
        </row>
        <row r="890">
          <cell r="A890">
            <v>96231150094</v>
          </cell>
          <cell r="B890">
            <v>45041</v>
          </cell>
          <cell r="C890" t="str">
            <v>Regular</v>
          </cell>
          <cell r="D890" t="str">
            <v>HAO 718</v>
          </cell>
          <cell r="F890" t="str">
            <v>Q</v>
          </cell>
          <cell r="G890">
            <v>0</v>
          </cell>
          <cell r="I890">
            <v>0</v>
          </cell>
          <cell r="J890">
            <v>0</v>
          </cell>
        </row>
        <row r="891">
          <cell r="A891">
            <v>96231030118</v>
          </cell>
          <cell r="B891">
            <v>45041</v>
          </cell>
          <cell r="C891" t="str">
            <v>RUSH</v>
          </cell>
          <cell r="D891" t="str">
            <v>HAO 718</v>
          </cell>
          <cell r="F891" t="str">
            <v>Q</v>
          </cell>
          <cell r="G891">
            <v>0</v>
          </cell>
          <cell r="I891">
            <v>0</v>
          </cell>
          <cell r="J891">
            <v>0</v>
          </cell>
        </row>
        <row r="892">
          <cell r="A892">
            <v>96231050456</v>
          </cell>
          <cell r="B892">
            <v>45041</v>
          </cell>
          <cell r="C892" t="str">
            <v>Regular</v>
          </cell>
          <cell r="D892" t="str">
            <v>Duy (738)</v>
          </cell>
          <cell r="F892" t="str">
            <v>Q, A</v>
          </cell>
          <cell r="I892">
            <v>0</v>
          </cell>
          <cell r="J892">
            <v>0</v>
          </cell>
        </row>
        <row r="893">
          <cell r="A893">
            <v>96231020607</v>
          </cell>
          <cell r="B893">
            <v>45037</v>
          </cell>
          <cell r="C893" t="str">
            <v>Regular</v>
          </cell>
          <cell r="D893" t="str">
            <v>Ducthang (EE)</v>
          </cell>
          <cell r="E893" t="str">
            <v>3 set</v>
          </cell>
          <cell r="F893" t="str">
            <v>Q, V</v>
          </cell>
          <cell r="G893">
            <v>0</v>
          </cell>
          <cell r="J893">
            <v>0</v>
          </cell>
        </row>
        <row r="894">
          <cell r="A894">
            <v>96231090345</v>
          </cell>
          <cell r="B894">
            <v>45037</v>
          </cell>
          <cell r="C894" t="str">
            <v>PRIORITY</v>
          </cell>
          <cell r="D894" t="str">
            <v>VINCENT (698)</v>
          </cell>
          <cell r="F894" t="str">
            <v>Q</v>
          </cell>
          <cell r="G894">
            <v>0</v>
          </cell>
          <cell r="I894">
            <v>0</v>
          </cell>
          <cell r="J894">
            <v>0</v>
          </cell>
        </row>
        <row r="895">
          <cell r="A895">
            <v>96231150101</v>
          </cell>
          <cell r="B895">
            <v>45042</v>
          </cell>
          <cell r="C895" t="str">
            <v>Regular</v>
          </cell>
          <cell r="D895" t="str">
            <v>HAO 718</v>
          </cell>
          <cell r="F895" t="str">
            <v>Q</v>
          </cell>
          <cell r="G895">
            <v>0</v>
          </cell>
          <cell r="I895">
            <v>0</v>
          </cell>
          <cell r="J895">
            <v>0</v>
          </cell>
        </row>
        <row r="896">
          <cell r="A896">
            <v>96230970236</v>
          </cell>
          <cell r="B896">
            <v>45042</v>
          </cell>
          <cell r="C896" t="str">
            <v>RUSH</v>
          </cell>
          <cell r="D896" t="str">
            <v>HOANG 738</v>
          </cell>
          <cell r="F896" t="str">
            <v>Q</v>
          </cell>
          <cell r="G896">
            <v>0</v>
          </cell>
          <cell r="I896">
            <v>0</v>
          </cell>
          <cell r="J896">
            <v>0</v>
          </cell>
        </row>
        <row r="897">
          <cell r="A897">
            <v>96231160077</v>
          </cell>
          <cell r="B897">
            <v>45042</v>
          </cell>
          <cell r="C897" t="str">
            <v>Regular</v>
          </cell>
          <cell r="D897" t="str">
            <v>MARIS (619)</v>
          </cell>
          <cell r="E897" t="str">
            <v>DISNEY 10:37 AM</v>
          </cell>
          <cell r="F897" t="str">
            <v>Q V</v>
          </cell>
          <cell r="G897">
            <v>0</v>
          </cell>
          <cell r="J897">
            <v>0</v>
          </cell>
        </row>
        <row r="898">
          <cell r="A898">
            <v>96231160078</v>
          </cell>
          <cell r="B898">
            <v>45042</v>
          </cell>
          <cell r="C898" t="str">
            <v>Regular</v>
          </cell>
          <cell r="D898" t="str">
            <v>MARIS (619)</v>
          </cell>
          <cell r="E898" t="str">
            <v>DISNEY 10:37 AM</v>
          </cell>
          <cell r="F898" t="str">
            <v>Q V</v>
          </cell>
          <cell r="G898">
            <v>0</v>
          </cell>
          <cell r="J898">
            <v>0</v>
          </cell>
        </row>
        <row r="899">
          <cell r="A899">
            <v>96231160076</v>
          </cell>
          <cell r="B899">
            <v>45042</v>
          </cell>
          <cell r="C899" t="str">
            <v>Regular</v>
          </cell>
          <cell r="D899" t="str">
            <v>MARIS (619)</v>
          </cell>
          <cell r="E899" t="str">
            <v>DISNEY 10:37 AM</v>
          </cell>
          <cell r="F899" t="str">
            <v>Q V</v>
          </cell>
          <cell r="G899">
            <v>0</v>
          </cell>
          <cell r="J899">
            <v>0</v>
          </cell>
        </row>
        <row r="900">
          <cell r="A900">
            <v>96230700228</v>
          </cell>
          <cell r="B900">
            <v>45042</v>
          </cell>
          <cell r="C900" t="str">
            <v>Regular</v>
          </cell>
          <cell r="D900" t="str">
            <v>GIB 718</v>
          </cell>
          <cell r="F900" t="str">
            <v>Q V</v>
          </cell>
          <cell r="G900">
            <v>0</v>
          </cell>
          <cell r="J900">
            <v>0</v>
          </cell>
        </row>
        <row r="901">
          <cell r="A901">
            <v>96231090096</v>
          </cell>
          <cell r="B901">
            <v>45037</v>
          </cell>
          <cell r="C901" t="str">
            <v>Regular</v>
          </cell>
          <cell r="D901" t="str">
            <v>MINH 718</v>
          </cell>
          <cell r="F901" t="str">
            <v>V</v>
          </cell>
          <cell r="G901">
            <v>0</v>
          </cell>
          <cell r="H901">
            <v>0</v>
          </cell>
          <cell r="J901">
            <v>0</v>
          </cell>
        </row>
        <row r="902">
          <cell r="A902">
            <v>96231080425</v>
          </cell>
          <cell r="B902">
            <v>45042</v>
          </cell>
          <cell r="C902" t="str">
            <v>Regular</v>
          </cell>
          <cell r="D902" t="str">
            <v>GIB 718</v>
          </cell>
          <cell r="F902" t="str">
            <v>V</v>
          </cell>
          <cell r="G902">
            <v>0</v>
          </cell>
          <cell r="H902">
            <v>0</v>
          </cell>
          <cell r="J902">
            <v>0</v>
          </cell>
        </row>
        <row r="903">
          <cell r="A903">
            <v>96231080427</v>
          </cell>
          <cell r="B903">
            <v>45042</v>
          </cell>
          <cell r="C903" t="str">
            <v>Regular</v>
          </cell>
          <cell r="D903" t="str">
            <v>GIB 718</v>
          </cell>
          <cell r="F903" t="str">
            <v>Q V</v>
          </cell>
          <cell r="G903">
            <v>0</v>
          </cell>
          <cell r="J903">
            <v>0</v>
          </cell>
        </row>
        <row r="904">
          <cell r="A904">
            <v>96231020579</v>
          </cell>
          <cell r="B904">
            <v>45042</v>
          </cell>
          <cell r="C904" t="str">
            <v>Regular</v>
          </cell>
          <cell r="D904" t="str">
            <v>HOANG 738</v>
          </cell>
          <cell r="F904" t="str">
            <v xml:space="preserve">Q V </v>
          </cell>
          <cell r="G904">
            <v>0</v>
          </cell>
          <cell r="J904">
            <v>0</v>
          </cell>
        </row>
        <row r="905">
          <cell r="A905">
            <v>96231020580</v>
          </cell>
          <cell r="B905">
            <v>45042</v>
          </cell>
          <cell r="C905" t="str">
            <v>Regular</v>
          </cell>
          <cell r="D905" t="str">
            <v>HOANG 738</v>
          </cell>
          <cell r="F905" t="str">
            <v>Q</v>
          </cell>
          <cell r="G905">
            <v>0</v>
          </cell>
          <cell r="I905">
            <v>0</v>
          </cell>
          <cell r="J905">
            <v>0</v>
          </cell>
        </row>
        <row r="906">
          <cell r="A906">
            <v>96231150254</v>
          </cell>
          <cell r="B906">
            <v>45042</v>
          </cell>
          <cell r="C906" t="str">
            <v>Regular</v>
          </cell>
          <cell r="D906" t="str">
            <v>HAO 718</v>
          </cell>
          <cell r="F906" t="str">
            <v>Q V</v>
          </cell>
          <cell r="G906">
            <v>0</v>
          </cell>
          <cell r="J906">
            <v>0</v>
          </cell>
        </row>
        <row r="907">
          <cell r="A907">
            <v>96231150262</v>
          </cell>
          <cell r="B907">
            <v>45042</v>
          </cell>
          <cell r="C907" t="str">
            <v>Regular</v>
          </cell>
          <cell r="D907" t="str">
            <v>HAO 718</v>
          </cell>
          <cell r="F907" t="str">
            <v>Q V</v>
          </cell>
          <cell r="G907">
            <v>0</v>
          </cell>
          <cell r="J907">
            <v>0</v>
          </cell>
        </row>
        <row r="908">
          <cell r="A908">
            <v>96231150274</v>
          </cell>
          <cell r="B908">
            <v>45042</v>
          </cell>
          <cell r="C908" t="str">
            <v>Regular</v>
          </cell>
          <cell r="D908" t="str">
            <v>HAO 718</v>
          </cell>
          <cell r="F908" t="str">
            <v>Q V</v>
          </cell>
          <cell r="G908">
            <v>0</v>
          </cell>
          <cell r="J908">
            <v>0</v>
          </cell>
        </row>
        <row r="909">
          <cell r="A909">
            <v>96231150278</v>
          </cell>
          <cell r="B909">
            <v>45042</v>
          </cell>
          <cell r="C909" t="str">
            <v>Regular</v>
          </cell>
          <cell r="D909" t="str">
            <v>HAO 718</v>
          </cell>
          <cell r="F909" t="str">
            <v>Q V</v>
          </cell>
          <cell r="G909">
            <v>0</v>
          </cell>
          <cell r="J909">
            <v>0</v>
          </cell>
        </row>
        <row r="910">
          <cell r="A910">
            <v>96231160360</v>
          </cell>
          <cell r="B910">
            <v>45042</v>
          </cell>
          <cell r="C910" t="str">
            <v>Regular</v>
          </cell>
          <cell r="D910" t="str">
            <v>NGOC 697</v>
          </cell>
          <cell r="E910" t="str">
            <v>DISNEY, 15:09</v>
          </cell>
          <cell r="F910" t="str">
            <v>A Q V</v>
          </cell>
          <cell r="J910">
            <v>0</v>
          </cell>
        </row>
        <row r="911">
          <cell r="A911">
            <v>96231120399</v>
          </cell>
          <cell r="B911">
            <v>45042</v>
          </cell>
          <cell r="C911" t="str">
            <v>Regular</v>
          </cell>
          <cell r="D911" t="str">
            <v>HOANG 738</v>
          </cell>
          <cell r="F911" t="str">
            <v>Q</v>
          </cell>
          <cell r="G911">
            <v>0</v>
          </cell>
          <cell r="I911">
            <v>0</v>
          </cell>
          <cell r="J911">
            <v>0</v>
          </cell>
        </row>
        <row r="912">
          <cell r="A912">
            <v>96231110071</v>
          </cell>
          <cell r="B912">
            <v>45042</v>
          </cell>
          <cell r="C912" t="str">
            <v>Regular</v>
          </cell>
          <cell r="D912" t="str">
            <v>HAO 718</v>
          </cell>
          <cell r="F912" t="str">
            <v>V</v>
          </cell>
          <cell r="G912">
            <v>0</v>
          </cell>
          <cell r="H912">
            <v>0</v>
          </cell>
          <cell r="J912">
            <v>0</v>
          </cell>
        </row>
        <row r="913">
          <cell r="A913">
            <v>96231160417</v>
          </cell>
          <cell r="B913">
            <v>45042</v>
          </cell>
          <cell r="C913" t="str">
            <v>Regular</v>
          </cell>
          <cell r="D913" t="str">
            <v>JH 698</v>
          </cell>
          <cell r="E913" t="str">
            <v>CRAYOLA 15:30</v>
          </cell>
          <cell r="F913" t="str">
            <v>Q,V</v>
          </cell>
          <cell r="G913">
            <v>0</v>
          </cell>
          <cell r="J913">
            <v>0</v>
          </cell>
        </row>
        <row r="914">
          <cell r="A914">
            <v>96231160425</v>
          </cell>
          <cell r="B914">
            <v>45042</v>
          </cell>
          <cell r="C914" t="str">
            <v>Regular</v>
          </cell>
          <cell r="D914" t="str">
            <v>JH 698</v>
          </cell>
          <cell r="E914" t="str">
            <v>CRAYOLA 15:30</v>
          </cell>
          <cell r="F914" t="str">
            <v>V</v>
          </cell>
          <cell r="G914">
            <v>0</v>
          </cell>
          <cell r="H914">
            <v>0</v>
          </cell>
          <cell r="I914" t="str">
            <v>V</v>
          </cell>
          <cell r="J914">
            <v>0</v>
          </cell>
        </row>
        <row r="915">
          <cell r="A915">
            <v>96231140423</v>
          </cell>
          <cell r="B915">
            <v>45042</v>
          </cell>
          <cell r="C915" t="str">
            <v>Regular</v>
          </cell>
          <cell r="D915" t="str">
            <v>Vu 138</v>
          </cell>
          <cell r="F915" t="str">
            <v>Q</v>
          </cell>
          <cell r="G915">
            <v>0</v>
          </cell>
          <cell r="I915">
            <v>0</v>
          </cell>
          <cell r="J915">
            <v>0</v>
          </cell>
        </row>
        <row r="916">
          <cell r="A916">
            <v>96231050269</v>
          </cell>
          <cell r="B916">
            <v>45042</v>
          </cell>
          <cell r="C916" t="str">
            <v>Regular</v>
          </cell>
          <cell r="D916" t="str">
            <v>HAO 718</v>
          </cell>
          <cell r="F916" t="str">
            <v>Q</v>
          </cell>
          <cell r="G916">
            <v>0</v>
          </cell>
          <cell r="I916">
            <v>0</v>
          </cell>
          <cell r="J916">
            <v>0</v>
          </cell>
        </row>
        <row r="917">
          <cell r="A917">
            <v>96231160361</v>
          </cell>
          <cell r="B917">
            <v>45042</v>
          </cell>
          <cell r="C917" t="str">
            <v>Regular</v>
          </cell>
          <cell r="D917" t="str">
            <v>VYN 731</v>
          </cell>
          <cell r="E917" t="str">
            <v>DISNEY, 15:32</v>
          </cell>
          <cell r="F917" t="str">
            <v>AQV</v>
          </cell>
          <cell r="J917">
            <v>0</v>
          </cell>
        </row>
        <row r="918">
          <cell r="A918">
            <v>96231160364</v>
          </cell>
          <cell r="B918">
            <v>45042</v>
          </cell>
          <cell r="C918" t="str">
            <v>Regular</v>
          </cell>
          <cell r="D918" t="str">
            <v>VYN 731</v>
          </cell>
          <cell r="E918" t="str">
            <v>DISNEY, 16:25</v>
          </cell>
          <cell r="F918" t="str">
            <v>AQV</v>
          </cell>
          <cell r="G918" t="str">
            <v>A</v>
          </cell>
          <cell r="H918" t="str">
            <v>Q</v>
          </cell>
          <cell r="I918" t="str">
            <v>V</v>
          </cell>
          <cell r="J918">
            <v>0</v>
          </cell>
        </row>
        <row r="919">
          <cell r="A919">
            <v>96231160371</v>
          </cell>
          <cell r="B919">
            <v>45042</v>
          </cell>
          <cell r="C919" t="str">
            <v>Regular</v>
          </cell>
          <cell r="D919" t="str">
            <v>VYN 731</v>
          </cell>
          <cell r="E919" t="str">
            <v>DISNEY, 16:25</v>
          </cell>
          <cell r="F919" t="str">
            <v>A</v>
          </cell>
          <cell r="H919">
            <v>0</v>
          </cell>
          <cell r="I919">
            <v>0</v>
          </cell>
          <cell r="J919">
            <v>0</v>
          </cell>
        </row>
        <row r="920">
          <cell r="A920">
            <v>96231160340</v>
          </cell>
          <cell r="B920">
            <v>45042</v>
          </cell>
          <cell r="C920" t="str">
            <v>Regular</v>
          </cell>
          <cell r="D920" t="str">
            <v>MARIS (619)</v>
          </cell>
          <cell r="E920" t="str">
            <v>DISNEY, 14:40</v>
          </cell>
          <cell r="F920" t="str">
            <v>A Q V X</v>
          </cell>
        </row>
        <row r="921">
          <cell r="A921">
            <v>96231160362</v>
          </cell>
          <cell r="B921">
            <v>45042</v>
          </cell>
          <cell r="C921" t="str">
            <v>Regular</v>
          </cell>
          <cell r="D921" t="str">
            <v>NGOC 697</v>
          </cell>
          <cell r="E921" t="str">
            <v>DISNEY, 17:36</v>
          </cell>
          <cell r="F921" t="str">
            <v>A Q V</v>
          </cell>
          <cell r="J921">
            <v>0</v>
          </cell>
        </row>
        <row r="922">
          <cell r="A922">
            <v>96231160370</v>
          </cell>
          <cell r="B922">
            <v>45042</v>
          </cell>
          <cell r="C922" t="str">
            <v>Regular</v>
          </cell>
          <cell r="D922" t="str">
            <v>NGOC 697</v>
          </cell>
          <cell r="E922" t="str">
            <v>DISNEY, 17:36</v>
          </cell>
          <cell r="F922" t="str">
            <v>A</v>
          </cell>
          <cell r="H922">
            <v>0</v>
          </cell>
          <cell r="I922">
            <v>0</v>
          </cell>
          <cell r="J922">
            <v>0</v>
          </cell>
        </row>
        <row r="923">
          <cell r="A923">
            <v>96231030608</v>
          </cell>
          <cell r="B923">
            <v>45033</v>
          </cell>
          <cell r="C923" t="str">
            <v>Regular</v>
          </cell>
          <cell r="D923" t="str">
            <v>FANTOM(719)</v>
          </cell>
          <cell r="F923" t="str">
            <v>A, V, Q</v>
          </cell>
          <cell r="J923">
            <v>0</v>
          </cell>
        </row>
        <row r="924">
          <cell r="A924">
            <v>96231160001</v>
          </cell>
          <cell r="B924">
            <v>45043</v>
          </cell>
          <cell r="C924" t="str">
            <v>RUSH</v>
          </cell>
          <cell r="D924" t="str">
            <v>HUYEN 151</v>
          </cell>
          <cell r="E924" t="str">
            <v>Review doc</v>
          </cell>
          <cell r="F924" t="str">
            <v>Q</v>
          </cell>
          <cell r="G924">
            <v>0</v>
          </cell>
          <cell r="I924">
            <v>0</v>
          </cell>
          <cell r="J924">
            <v>0</v>
          </cell>
        </row>
        <row r="925">
          <cell r="A925">
            <v>96230980512</v>
          </cell>
          <cell r="B925">
            <v>45043</v>
          </cell>
          <cell r="C925" t="str">
            <v>Regular</v>
          </cell>
          <cell r="D925" t="str">
            <v>HAO 718</v>
          </cell>
          <cell r="F925" t="str">
            <v>V</v>
          </cell>
          <cell r="G925">
            <v>0</v>
          </cell>
          <cell r="H925">
            <v>0</v>
          </cell>
          <cell r="J925">
            <v>0</v>
          </cell>
        </row>
        <row r="926">
          <cell r="A926">
            <v>96231170111</v>
          </cell>
          <cell r="B926">
            <v>45043</v>
          </cell>
          <cell r="C926" t="str">
            <v>Regular</v>
          </cell>
          <cell r="D926" t="str">
            <v>Maris 619</v>
          </cell>
          <cell r="F926" t="str">
            <v>Q V</v>
          </cell>
          <cell r="G926">
            <v>0</v>
          </cell>
          <cell r="J926">
            <v>0</v>
          </cell>
        </row>
        <row r="927">
          <cell r="A927">
            <v>96231170110</v>
          </cell>
          <cell r="B927">
            <v>45043</v>
          </cell>
          <cell r="C927" t="str">
            <v>Regular</v>
          </cell>
          <cell r="D927" t="str">
            <v>Maris 619</v>
          </cell>
          <cell r="F927" t="str">
            <v>Q V</v>
          </cell>
          <cell r="G927">
            <v>0</v>
          </cell>
          <cell r="J927">
            <v>0</v>
          </cell>
        </row>
        <row r="928">
          <cell r="A928">
            <v>96231160488</v>
          </cell>
          <cell r="B928">
            <v>45043</v>
          </cell>
          <cell r="C928" t="str">
            <v>Regular</v>
          </cell>
          <cell r="D928" t="str">
            <v>MINH 718</v>
          </cell>
          <cell r="F928" t="str">
            <v>Q</v>
          </cell>
          <cell r="G928">
            <v>0</v>
          </cell>
          <cell r="I928">
            <v>0</v>
          </cell>
          <cell r="J928">
            <v>0</v>
          </cell>
        </row>
        <row r="929">
          <cell r="A929">
            <v>96231110181</v>
          </cell>
          <cell r="B929">
            <v>45037</v>
          </cell>
          <cell r="C929" t="str">
            <v>Regular</v>
          </cell>
          <cell r="D929" t="str">
            <v>JUN (151)</v>
          </cell>
          <cell r="F929" t="str">
            <v>Q</v>
          </cell>
          <cell r="G929">
            <v>0</v>
          </cell>
          <cell r="I929">
            <v>0</v>
          </cell>
          <cell r="J929">
            <v>0</v>
          </cell>
        </row>
        <row r="930">
          <cell r="A930">
            <v>96231110178</v>
          </cell>
          <cell r="B930">
            <v>45037</v>
          </cell>
          <cell r="C930" t="str">
            <v>Regular</v>
          </cell>
          <cell r="D930" t="str">
            <v>JUN (151)</v>
          </cell>
          <cell r="F930" t="str">
            <v>Q</v>
          </cell>
          <cell r="G930">
            <v>0</v>
          </cell>
          <cell r="I930">
            <v>0</v>
          </cell>
          <cell r="J930">
            <v>0</v>
          </cell>
        </row>
        <row r="931">
          <cell r="A931">
            <v>96231110129</v>
          </cell>
          <cell r="B931">
            <v>45043</v>
          </cell>
          <cell r="C931" t="str">
            <v>Regular</v>
          </cell>
          <cell r="D931" t="str">
            <v>LUK 138</v>
          </cell>
          <cell r="F931" t="str">
            <v>Q</v>
          </cell>
          <cell r="G931">
            <v>0</v>
          </cell>
          <cell r="I931">
            <v>0</v>
          </cell>
          <cell r="J931">
            <v>0</v>
          </cell>
        </row>
        <row r="932">
          <cell r="A932">
            <v>96231160524</v>
          </cell>
          <cell r="B932">
            <v>45043</v>
          </cell>
          <cell r="C932" t="str">
            <v>Regular</v>
          </cell>
          <cell r="D932" t="str">
            <v>VINCENT (698)</v>
          </cell>
          <cell r="F932" t="str">
            <v>Q,V</v>
          </cell>
          <cell r="G932">
            <v>0</v>
          </cell>
          <cell r="J932">
            <v>0</v>
          </cell>
        </row>
        <row r="933">
          <cell r="A933">
            <v>96231170069</v>
          </cell>
          <cell r="B933">
            <v>45043</v>
          </cell>
          <cell r="C933" t="str">
            <v>Regular</v>
          </cell>
          <cell r="D933" t="str">
            <v>VYN 731</v>
          </cell>
          <cell r="F933" t="str">
            <v>AQV</v>
          </cell>
          <cell r="J933">
            <v>0</v>
          </cell>
        </row>
        <row r="934">
          <cell r="A934">
            <v>96231170392</v>
          </cell>
          <cell r="B934">
            <v>45043</v>
          </cell>
          <cell r="C934" t="str">
            <v>Regular</v>
          </cell>
          <cell r="D934" t="str">
            <v>NGOC 697</v>
          </cell>
          <cell r="F934" t="str">
            <v>QV</v>
          </cell>
          <cell r="G934">
            <v>0</v>
          </cell>
          <cell r="J934">
            <v>0</v>
          </cell>
        </row>
        <row r="935">
          <cell r="A935">
            <v>96231170394</v>
          </cell>
          <cell r="B935">
            <v>45043</v>
          </cell>
          <cell r="C935" t="str">
            <v>Regular</v>
          </cell>
          <cell r="D935" t="str">
            <v>NGOC 697</v>
          </cell>
          <cell r="F935" t="str">
            <v>QV</v>
          </cell>
          <cell r="G935">
            <v>0</v>
          </cell>
          <cell r="J935">
            <v>0</v>
          </cell>
        </row>
        <row r="936">
          <cell r="A936">
            <v>96231170395</v>
          </cell>
          <cell r="B936">
            <v>45043</v>
          </cell>
          <cell r="C936" t="str">
            <v>Regular</v>
          </cell>
          <cell r="D936" t="str">
            <v>NGOC 697</v>
          </cell>
          <cell r="F936" t="str">
            <v>AQV</v>
          </cell>
          <cell r="J936">
            <v>0</v>
          </cell>
        </row>
        <row r="937">
          <cell r="A937" t="str">
            <v>96230580221(2)</v>
          </cell>
          <cell r="B937">
            <v>45043</v>
          </cell>
          <cell r="C937" t="str">
            <v>Regular</v>
          </cell>
          <cell r="D937" t="str">
            <v>GIB 718</v>
          </cell>
          <cell r="F937" t="str">
            <v>Q</v>
          </cell>
          <cell r="G937">
            <v>0</v>
          </cell>
          <cell r="I937">
            <v>0</v>
          </cell>
          <cell r="J937">
            <v>0</v>
          </cell>
        </row>
        <row r="938">
          <cell r="A938">
            <v>96231160294</v>
          </cell>
          <cell r="B938">
            <v>45043</v>
          </cell>
          <cell r="C938" t="str">
            <v>Regular</v>
          </cell>
          <cell r="D938" t="str">
            <v>HUYEN 151</v>
          </cell>
          <cell r="F938" t="str">
            <v>A Q X V</v>
          </cell>
        </row>
        <row r="939">
          <cell r="A939">
            <v>96231170509</v>
          </cell>
          <cell r="B939">
            <v>45043</v>
          </cell>
          <cell r="C939" t="str">
            <v>Regular</v>
          </cell>
          <cell r="D939" t="str">
            <v>MARIS 619</v>
          </cell>
          <cell r="F939" t="str">
            <v>Q V</v>
          </cell>
          <cell r="G939">
            <v>0</v>
          </cell>
          <cell r="J939">
            <v>0</v>
          </cell>
        </row>
        <row r="940">
          <cell r="A940">
            <v>96231110118</v>
          </cell>
          <cell r="B940">
            <v>45044</v>
          </cell>
          <cell r="C940" t="str">
            <v>Regular</v>
          </cell>
          <cell r="D940" t="str">
            <v>Vu 138</v>
          </cell>
          <cell r="F940" t="str">
            <v>Q</v>
          </cell>
          <cell r="G940">
            <v>0</v>
          </cell>
          <cell r="I940">
            <v>0</v>
          </cell>
          <cell r="J940">
            <v>0</v>
          </cell>
        </row>
        <row r="941">
          <cell r="A941">
            <v>96231160172</v>
          </cell>
          <cell r="B941">
            <v>45044</v>
          </cell>
          <cell r="C941" t="str">
            <v>Regular</v>
          </cell>
          <cell r="D941" t="str">
            <v>HAO 718</v>
          </cell>
          <cell r="F941" t="str">
            <v>V</v>
          </cell>
          <cell r="G941">
            <v>0</v>
          </cell>
          <cell r="H941">
            <v>0</v>
          </cell>
          <cell r="J941">
            <v>0</v>
          </cell>
        </row>
        <row r="942">
          <cell r="A942">
            <v>96231160395</v>
          </cell>
          <cell r="B942">
            <v>45044</v>
          </cell>
          <cell r="C942" t="str">
            <v>Regular</v>
          </cell>
          <cell r="D942" t="str">
            <v>VYN 731</v>
          </cell>
          <cell r="F942" t="str">
            <v>QV</v>
          </cell>
          <cell r="G942">
            <v>0</v>
          </cell>
          <cell r="H942" t="str">
            <v>Q</v>
          </cell>
          <cell r="I942" t="str">
            <v>V</v>
          </cell>
          <cell r="J942">
            <v>0</v>
          </cell>
        </row>
        <row r="943">
          <cell r="A943">
            <v>96231150109</v>
          </cell>
          <cell r="B943">
            <v>45044</v>
          </cell>
          <cell r="C943" t="str">
            <v>Regular</v>
          </cell>
          <cell r="D943" t="str">
            <v>HAO 718</v>
          </cell>
          <cell r="F943" t="str">
            <v>Q</v>
          </cell>
          <cell r="G943">
            <v>0</v>
          </cell>
          <cell r="I943">
            <v>0</v>
          </cell>
          <cell r="J943">
            <v>0</v>
          </cell>
        </row>
        <row r="944">
          <cell r="A944">
            <v>96231150110</v>
          </cell>
          <cell r="B944">
            <v>45044</v>
          </cell>
          <cell r="C944" t="str">
            <v>Regular</v>
          </cell>
          <cell r="D944" t="str">
            <v>HAO 718</v>
          </cell>
          <cell r="F944" t="str">
            <v>Q</v>
          </cell>
          <cell r="G944">
            <v>0</v>
          </cell>
          <cell r="I944">
            <v>0</v>
          </cell>
          <cell r="J944">
            <v>0</v>
          </cell>
        </row>
        <row r="945">
          <cell r="A945">
            <v>96231150111</v>
          </cell>
          <cell r="B945">
            <v>45044</v>
          </cell>
          <cell r="C945" t="str">
            <v>Regular</v>
          </cell>
          <cell r="D945" t="str">
            <v>HAO 718</v>
          </cell>
          <cell r="F945" t="str">
            <v>Q</v>
          </cell>
          <cell r="G945">
            <v>0</v>
          </cell>
          <cell r="I945">
            <v>0</v>
          </cell>
          <cell r="J945">
            <v>0</v>
          </cell>
        </row>
        <row r="946">
          <cell r="A946">
            <v>96231150112</v>
          </cell>
          <cell r="B946">
            <v>45044</v>
          </cell>
          <cell r="C946" t="str">
            <v>Regular</v>
          </cell>
          <cell r="D946" t="str">
            <v>HAO 718</v>
          </cell>
          <cell r="F946" t="str">
            <v>Q</v>
          </cell>
          <cell r="G946">
            <v>0</v>
          </cell>
          <cell r="I946">
            <v>0</v>
          </cell>
          <cell r="J946">
            <v>0</v>
          </cell>
        </row>
        <row r="947">
          <cell r="A947">
            <v>96231160562</v>
          </cell>
          <cell r="B947">
            <v>45044</v>
          </cell>
          <cell r="C947" t="str">
            <v>Regular</v>
          </cell>
          <cell r="D947" t="str">
            <v>HOANG 738</v>
          </cell>
          <cell r="F947" t="str">
            <v>Q</v>
          </cell>
          <cell r="G947">
            <v>0</v>
          </cell>
          <cell r="I947">
            <v>0</v>
          </cell>
          <cell r="J947">
            <v>0</v>
          </cell>
        </row>
        <row r="948">
          <cell r="A948">
            <v>96231140370</v>
          </cell>
          <cell r="B948">
            <v>45044</v>
          </cell>
          <cell r="C948" t="str">
            <v>Regular</v>
          </cell>
          <cell r="D948" t="str">
            <v>VYN 731</v>
          </cell>
          <cell r="F948" t="str">
            <v>AQV</v>
          </cell>
          <cell r="G948" t="str">
            <v>A</v>
          </cell>
          <cell r="H948" t="str">
            <v>Q</v>
          </cell>
          <cell r="I948" t="str">
            <v>V</v>
          </cell>
          <cell r="J948">
            <v>0</v>
          </cell>
        </row>
        <row r="949">
          <cell r="A949">
            <v>96231140374</v>
          </cell>
          <cell r="B949">
            <v>45044</v>
          </cell>
          <cell r="C949" t="str">
            <v>Regular</v>
          </cell>
          <cell r="D949" t="str">
            <v>VYN 731</v>
          </cell>
          <cell r="F949" t="str">
            <v>AQV</v>
          </cell>
          <cell r="G949" t="str">
            <v>A</v>
          </cell>
          <cell r="H949" t="str">
            <v>Q</v>
          </cell>
          <cell r="I949" t="str">
            <v>V</v>
          </cell>
          <cell r="J949">
            <v>0</v>
          </cell>
        </row>
        <row r="950">
          <cell r="A950">
            <v>96231150712</v>
          </cell>
          <cell r="B950">
            <v>45044</v>
          </cell>
          <cell r="C950" t="str">
            <v>Regular</v>
          </cell>
          <cell r="D950" t="str">
            <v>VYN 731</v>
          </cell>
          <cell r="F950" t="str">
            <v>AQV</v>
          </cell>
          <cell r="G950" t="str">
            <v>A</v>
          </cell>
          <cell r="H950" t="str">
            <v>Q</v>
          </cell>
          <cell r="I950" t="str">
            <v>V</v>
          </cell>
          <cell r="J950">
            <v>0</v>
          </cell>
        </row>
        <row r="951">
          <cell r="A951">
            <v>96231140351</v>
          </cell>
          <cell r="B951">
            <v>45044</v>
          </cell>
          <cell r="C951" t="str">
            <v>Regular</v>
          </cell>
          <cell r="D951" t="str">
            <v>JH 698</v>
          </cell>
          <cell r="E951" t="str">
            <v>RF SP 96231140329</v>
          </cell>
          <cell r="F951" t="str">
            <v>Q,V</v>
          </cell>
          <cell r="G951">
            <v>0</v>
          </cell>
          <cell r="H951" t="str">
            <v>Q</v>
          </cell>
          <cell r="I951" t="str">
            <v>V</v>
          </cell>
          <cell r="J951">
            <v>0</v>
          </cell>
        </row>
        <row r="952">
          <cell r="A952">
            <v>96231140377</v>
          </cell>
          <cell r="B952">
            <v>45044</v>
          </cell>
          <cell r="C952" t="str">
            <v>Regular</v>
          </cell>
          <cell r="D952" t="str">
            <v>Maris 619</v>
          </cell>
          <cell r="F952" t="str">
            <v>AQV</v>
          </cell>
          <cell r="G952" t="str">
            <v>A</v>
          </cell>
          <cell r="H952" t="str">
            <v>Q</v>
          </cell>
          <cell r="I952" t="str">
            <v>V</v>
          </cell>
          <cell r="J952">
            <v>0</v>
          </cell>
        </row>
        <row r="953">
          <cell r="A953">
            <v>96231140385</v>
          </cell>
          <cell r="B953">
            <v>45044</v>
          </cell>
          <cell r="C953" t="str">
            <v>Regular</v>
          </cell>
          <cell r="D953" t="str">
            <v>Maris 619</v>
          </cell>
          <cell r="F953" t="str">
            <v>AQV</v>
          </cell>
          <cell r="G953" t="str">
            <v>A</v>
          </cell>
          <cell r="H953" t="str">
            <v>Q</v>
          </cell>
          <cell r="I953" t="str">
            <v>V</v>
          </cell>
          <cell r="J953">
            <v>0</v>
          </cell>
        </row>
        <row r="954">
          <cell r="A954">
            <v>96231180555</v>
          </cell>
          <cell r="B954">
            <v>45044</v>
          </cell>
          <cell r="C954" t="str">
            <v>Regular</v>
          </cell>
          <cell r="D954" t="str">
            <v>VYN 731</v>
          </cell>
          <cell r="E954" t="str">
            <v>mattel</v>
          </cell>
          <cell r="F954" t="str">
            <v>QV</v>
          </cell>
          <cell r="G954">
            <v>0</v>
          </cell>
          <cell r="H954" t="str">
            <v>Q</v>
          </cell>
          <cell r="I954" t="str">
            <v>V</v>
          </cell>
          <cell r="J954">
            <v>0</v>
          </cell>
        </row>
        <row r="955">
          <cell r="A955" t="str">
            <v>96231160294(2)</v>
          </cell>
          <cell r="B955">
            <v>45044</v>
          </cell>
          <cell r="C955" t="str">
            <v>Regular</v>
          </cell>
          <cell r="D955" t="str">
            <v>HUYEN 151</v>
          </cell>
          <cell r="E955" t="str">
            <v>mẫu gửi c Hảo</v>
          </cell>
          <cell r="F955" t="str">
            <v>V</v>
          </cell>
          <cell r="G955">
            <v>0</v>
          </cell>
          <cell r="H955">
            <v>0</v>
          </cell>
          <cell r="J955">
            <v>0</v>
          </cell>
        </row>
        <row r="956">
          <cell r="A956">
            <v>96231170328</v>
          </cell>
          <cell r="B956">
            <v>45044</v>
          </cell>
          <cell r="C956" t="str">
            <v>Regular</v>
          </cell>
          <cell r="D956" t="str">
            <v>VINCENT (698)</v>
          </cell>
          <cell r="F956" t="str">
            <v>V</v>
          </cell>
          <cell r="G956">
            <v>0</v>
          </cell>
          <cell r="H956">
            <v>0</v>
          </cell>
          <cell r="J956">
            <v>0</v>
          </cell>
        </row>
        <row r="957">
          <cell r="A957">
            <v>96231180392</v>
          </cell>
          <cell r="B957">
            <v>45044</v>
          </cell>
          <cell r="C957" t="str">
            <v>Regular</v>
          </cell>
          <cell r="D957" t="str">
            <v>NGOC 697</v>
          </cell>
          <cell r="E957" t="str">
            <v>CRAYOLA, 4:59 PM</v>
          </cell>
          <cell r="F957" t="str">
            <v>Q</v>
          </cell>
          <cell r="G957">
            <v>0</v>
          </cell>
          <cell r="I957">
            <v>0</v>
          </cell>
          <cell r="J957">
            <v>0</v>
          </cell>
        </row>
        <row r="958">
          <cell r="A958">
            <v>96231180410</v>
          </cell>
          <cell r="B958">
            <v>45044</v>
          </cell>
          <cell r="C958" t="str">
            <v>Regular</v>
          </cell>
          <cell r="D958" t="str">
            <v>NGOC 697</v>
          </cell>
          <cell r="E958" t="str">
            <v>CRAYOLA, 4:59 PM</v>
          </cell>
          <cell r="F958" t="str">
            <v>Q</v>
          </cell>
          <cell r="G958">
            <v>0</v>
          </cell>
          <cell r="I958">
            <v>0</v>
          </cell>
          <cell r="J958">
            <v>0</v>
          </cell>
        </row>
        <row r="959">
          <cell r="A959">
            <v>96231180403</v>
          </cell>
          <cell r="B959">
            <v>45044</v>
          </cell>
          <cell r="C959" t="str">
            <v>Regular</v>
          </cell>
          <cell r="D959" t="str">
            <v>NGOC 697</v>
          </cell>
          <cell r="E959" t="str">
            <v>CRAYOLA, 4:59 PM</v>
          </cell>
          <cell r="F959" t="str">
            <v>Q</v>
          </cell>
          <cell r="G959">
            <v>0</v>
          </cell>
          <cell r="I959">
            <v>0</v>
          </cell>
          <cell r="J959">
            <v>0</v>
          </cell>
        </row>
        <row r="960">
          <cell r="A960">
            <v>96231000116</v>
          </cell>
          <cell r="B960">
            <v>45044</v>
          </cell>
          <cell r="C960" t="str">
            <v>Regular</v>
          </cell>
          <cell r="D960" t="str">
            <v>GIB 718</v>
          </cell>
          <cell r="F960" t="str">
            <v>Q V</v>
          </cell>
          <cell r="G960">
            <v>0</v>
          </cell>
          <cell r="J960">
            <v>0</v>
          </cell>
        </row>
        <row r="961">
          <cell r="A961">
            <v>96231000120</v>
          </cell>
          <cell r="B961">
            <v>45044</v>
          </cell>
          <cell r="C961" t="str">
            <v>Regular</v>
          </cell>
          <cell r="D961" t="str">
            <v>GIB 718</v>
          </cell>
          <cell r="F961" t="str">
            <v>Q V</v>
          </cell>
          <cell r="G961">
            <v>0</v>
          </cell>
          <cell r="J961">
            <v>0</v>
          </cell>
        </row>
        <row r="962">
          <cell r="A962">
            <v>96231180468</v>
          </cell>
          <cell r="B962">
            <v>45049</v>
          </cell>
          <cell r="C962" t="str">
            <v>Regular</v>
          </cell>
          <cell r="D962" t="str">
            <v>Maris 619</v>
          </cell>
          <cell r="E962" t="str">
            <v>DISNEY</v>
          </cell>
          <cell r="F962" t="str">
            <v>Q V</v>
          </cell>
          <cell r="G962">
            <v>0</v>
          </cell>
          <cell r="J962">
            <v>0</v>
          </cell>
        </row>
        <row r="963">
          <cell r="A963">
            <v>96231180494</v>
          </cell>
          <cell r="B963">
            <v>45049</v>
          </cell>
          <cell r="C963" t="str">
            <v>Regular</v>
          </cell>
          <cell r="D963" t="str">
            <v>Maris 619</v>
          </cell>
          <cell r="E963" t="str">
            <v>DISNEY</v>
          </cell>
          <cell r="F963" t="str">
            <v>Q V</v>
          </cell>
          <cell r="G963">
            <v>0</v>
          </cell>
          <cell r="J963">
            <v>0</v>
          </cell>
        </row>
        <row r="964">
          <cell r="A964">
            <v>96231180513</v>
          </cell>
          <cell r="B964">
            <v>45049</v>
          </cell>
          <cell r="C964" t="str">
            <v>Regular</v>
          </cell>
          <cell r="D964" t="str">
            <v>Maris 619</v>
          </cell>
          <cell r="E964" t="str">
            <v>DISNEY</v>
          </cell>
          <cell r="F964" t="str">
            <v>Q V</v>
          </cell>
          <cell r="G964">
            <v>0</v>
          </cell>
          <cell r="J964">
            <v>0</v>
          </cell>
        </row>
        <row r="965">
          <cell r="A965">
            <v>96231150361</v>
          </cell>
          <cell r="B965">
            <v>45043</v>
          </cell>
          <cell r="C965" t="str">
            <v>Regular</v>
          </cell>
          <cell r="D965" t="str">
            <v>THE HIEN (EE)</v>
          </cell>
          <cell r="E965" t="str">
            <v xml:space="preserve"> </v>
          </cell>
          <cell r="F965" t="str">
            <v>Q V</v>
          </cell>
          <cell r="G965">
            <v>0</v>
          </cell>
          <cell r="J965">
            <v>0</v>
          </cell>
        </row>
        <row r="966">
          <cell r="A966" t="str">
            <v>96231010178(2)</v>
          </cell>
          <cell r="B966">
            <v>45049</v>
          </cell>
          <cell r="C966" t="str">
            <v>Regular</v>
          </cell>
          <cell r="D966" t="str">
            <v>HOANG 738</v>
          </cell>
          <cell r="F966" t="str">
            <v>Q V</v>
          </cell>
          <cell r="G966">
            <v>0</v>
          </cell>
          <cell r="J966">
            <v>0</v>
          </cell>
        </row>
        <row r="967">
          <cell r="A967">
            <v>96231230004</v>
          </cell>
          <cell r="B967">
            <v>45049</v>
          </cell>
          <cell r="C967" t="str">
            <v>PRIORITY</v>
          </cell>
          <cell r="D967" t="str">
            <v>HAO 718</v>
          </cell>
          <cell r="F967" t="str">
            <v>Q</v>
          </cell>
          <cell r="G967">
            <v>0</v>
          </cell>
          <cell r="I967">
            <v>0</v>
          </cell>
          <cell r="J967">
            <v>0</v>
          </cell>
        </row>
        <row r="968">
          <cell r="A968">
            <v>96231180566</v>
          </cell>
          <cell r="B968">
            <v>45044</v>
          </cell>
          <cell r="C968" t="str">
            <v>Regular</v>
          </cell>
          <cell r="D968" t="str">
            <v>MARIS 619</v>
          </cell>
          <cell r="F968" t="str">
            <v>Q</v>
          </cell>
          <cell r="G968">
            <v>0</v>
          </cell>
          <cell r="H968" t="str">
            <v>Q</v>
          </cell>
          <cell r="I968">
            <v>0</v>
          </cell>
          <cell r="J968">
            <v>0</v>
          </cell>
        </row>
        <row r="969">
          <cell r="A969">
            <v>96231180557</v>
          </cell>
          <cell r="B969">
            <v>45044</v>
          </cell>
          <cell r="C969" t="str">
            <v>Regular</v>
          </cell>
          <cell r="D969" t="str">
            <v>MARIS 619</v>
          </cell>
          <cell r="F969" t="str">
            <v>Q V</v>
          </cell>
          <cell r="G969">
            <v>0</v>
          </cell>
          <cell r="H969" t="str">
            <v>Q</v>
          </cell>
          <cell r="I969" t="str">
            <v>V</v>
          </cell>
          <cell r="J969">
            <v>0</v>
          </cell>
        </row>
        <row r="970">
          <cell r="A970">
            <v>96231180425</v>
          </cell>
          <cell r="B970">
            <v>45049</v>
          </cell>
          <cell r="C970" t="str">
            <v>Regular</v>
          </cell>
          <cell r="D970" t="str">
            <v>MARIS 619</v>
          </cell>
          <cell r="F970" t="str">
            <v>Q V</v>
          </cell>
          <cell r="G970">
            <v>0</v>
          </cell>
          <cell r="J970">
            <v>0</v>
          </cell>
        </row>
        <row r="971">
          <cell r="A971">
            <v>96231230010</v>
          </cell>
          <cell r="B971">
            <v>45049</v>
          </cell>
          <cell r="C971" t="str">
            <v>RUSH</v>
          </cell>
          <cell r="D971" t="str">
            <v>MARIS 619</v>
          </cell>
          <cell r="F971" t="str">
            <v>V</v>
          </cell>
          <cell r="G971">
            <v>0</v>
          </cell>
          <cell r="H971">
            <v>0</v>
          </cell>
          <cell r="J971">
            <v>0</v>
          </cell>
        </row>
        <row r="972">
          <cell r="A972">
            <v>96231180429</v>
          </cell>
          <cell r="B972">
            <v>45049</v>
          </cell>
          <cell r="C972" t="str">
            <v>Regular</v>
          </cell>
          <cell r="D972" t="str">
            <v>MARIS 619</v>
          </cell>
          <cell r="F972" t="str">
            <v>X</v>
          </cell>
          <cell r="G972">
            <v>0</v>
          </cell>
          <cell r="H972">
            <v>0</v>
          </cell>
          <cell r="I972">
            <v>0</v>
          </cell>
          <cell r="J972" t="str">
            <v>X</v>
          </cell>
        </row>
        <row r="973">
          <cell r="A973">
            <v>96231180426</v>
          </cell>
          <cell r="B973">
            <v>45049</v>
          </cell>
          <cell r="C973" t="str">
            <v>Regular</v>
          </cell>
          <cell r="D973" t="str">
            <v>MARIS 619</v>
          </cell>
          <cell r="F973" t="str">
            <v>Q V</v>
          </cell>
          <cell r="G973">
            <v>0</v>
          </cell>
          <cell r="J973">
            <v>0</v>
          </cell>
        </row>
        <row r="974">
          <cell r="A974">
            <v>96231180504</v>
          </cell>
          <cell r="B974">
            <v>45049</v>
          </cell>
          <cell r="C974" t="str">
            <v>Regular</v>
          </cell>
          <cell r="D974" t="str">
            <v>MINH 718</v>
          </cell>
          <cell r="F974" t="str">
            <v>Q</v>
          </cell>
          <cell r="G974">
            <v>0</v>
          </cell>
          <cell r="I974">
            <v>0</v>
          </cell>
          <cell r="J974">
            <v>0</v>
          </cell>
        </row>
        <row r="975">
          <cell r="A975">
            <v>96231180510</v>
          </cell>
          <cell r="B975">
            <v>45049</v>
          </cell>
          <cell r="C975" t="str">
            <v>Regular</v>
          </cell>
          <cell r="D975" t="str">
            <v>MINH 718</v>
          </cell>
          <cell r="F975" t="str">
            <v>Q</v>
          </cell>
          <cell r="G975">
            <v>0</v>
          </cell>
          <cell r="I975">
            <v>0</v>
          </cell>
          <cell r="J975">
            <v>0</v>
          </cell>
        </row>
        <row r="976">
          <cell r="A976">
            <v>96231230069</v>
          </cell>
          <cell r="B976">
            <v>45049</v>
          </cell>
          <cell r="C976" t="str">
            <v>RUSH</v>
          </cell>
          <cell r="D976" t="str">
            <v>Vu 138</v>
          </cell>
          <cell r="F976" t="str">
            <v>Q</v>
          </cell>
          <cell r="G976">
            <v>0</v>
          </cell>
          <cell r="I976">
            <v>0</v>
          </cell>
          <cell r="J976">
            <v>0</v>
          </cell>
        </row>
        <row r="977">
          <cell r="A977">
            <v>96231230005</v>
          </cell>
          <cell r="B977">
            <v>45049</v>
          </cell>
          <cell r="C977" t="str">
            <v>Regular</v>
          </cell>
          <cell r="D977" t="str">
            <v>Maris 619</v>
          </cell>
          <cell r="F977" t="str">
            <v>A, Q, V</v>
          </cell>
          <cell r="J977">
            <v>0</v>
          </cell>
        </row>
        <row r="978">
          <cell r="A978">
            <v>96231170502</v>
          </cell>
          <cell r="B978">
            <v>45049</v>
          </cell>
          <cell r="C978" t="str">
            <v>RUSH</v>
          </cell>
          <cell r="D978" t="str">
            <v>HUYEN 151</v>
          </cell>
          <cell r="F978" t="str">
            <v>Q V</v>
          </cell>
          <cell r="G978">
            <v>0</v>
          </cell>
          <cell r="J978">
            <v>0</v>
          </cell>
        </row>
        <row r="979">
          <cell r="A979">
            <v>96231180344</v>
          </cell>
          <cell r="B979">
            <v>45049</v>
          </cell>
          <cell r="C979" t="str">
            <v>Regular</v>
          </cell>
          <cell r="D979" t="str">
            <v>JUN (151)</v>
          </cell>
          <cell r="F979" t="str">
            <v>Q</v>
          </cell>
          <cell r="G979">
            <v>0</v>
          </cell>
          <cell r="I979">
            <v>0</v>
          </cell>
          <cell r="J979">
            <v>0</v>
          </cell>
        </row>
        <row r="980">
          <cell r="A980">
            <v>96231070278</v>
          </cell>
          <cell r="B980">
            <v>45049</v>
          </cell>
          <cell r="C980" t="str">
            <v>Regular</v>
          </cell>
          <cell r="D980" t="str">
            <v>HOANG 738</v>
          </cell>
          <cell r="F980" t="str">
            <v>Q V</v>
          </cell>
          <cell r="G980">
            <v>0</v>
          </cell>
          <cell r="J980">
            <v>0</v>
          </cell>
        </row>
        <row r="981">
          <cell r="A981">
            <v>96231170517</v>
          </cell>
          <cell r="B981">
            <v>45049</v>
          </cell>
          <cell r="C981" t="str">
            <v>Regular</v>
          </cell>
          <cell r="D981" t="str">
            <v>Daniel (EE)</v>
          </cell>
          <cell r="F981" t="str">
            <v>Q</v>
          </cell>
          <cell r="G981">
            <v>0</v>
          </cell>
          <cell r="I981">
            <v>0</v>
          </cell>
          <cell r="J981">
            <v>0</v>
          </cell>
        </row>
        <row r="982">
          <cell r="A982">
            <v>96231170363</v>
          </cell>
          <cell r="B982">
            <v>45049</v>
          </cell>
          <cell r="C982" t="str">
            <v>Regular</v>
          </cell>
          <cell r="D982" t="str">
            <v>Daniel (EE)</v>
          </cell>
          <cell r="F982" t="str">
            <v>Q</v>
          </cell>
          <cell r="G982">
            <v>0</v>
          </cell>
          <cell r="I982">
            <v>0</v>
          </cell>
          <cell r="J982">
            <v>0</v>
          </cell>
        </row>
        <row r="983">
          <cell r="A983">
            <v>96231180527</v>
          </cell>
          <cell r="B983">
            <v>45049</v>
          </cell>
          <cell r="C983" t="str">
            <v>Regular</v>
          </cell>
          <cell r="D983" t="str">
            <v>NGOC 697</v>
          </cell>
          <cell r="F983" t="str">
            <v>Q</v>
          </cell>
          <cell r="G983">
            <v>0</v>
          </cell>
          <cell r="I983">
            <v>0</v>
          </cell>
          <cell r="J983">
            <v>0</v>
          </cell>
        </row>
        <row r="984">
          <cell r="A984">
            <v>96231150441</v>
          </cell>
          <cell r="B984">
            <v>45049</v>
          </cell>
          <cell r="C984" t="str">
            <v>Regular</v>
          </cell>
          <cell r="D984" t="str">
            <v>Duy (738)</v>
          </cell>
          <cell r="F984" t="str">
            <v>Q</v>
          </cell>
          <cell r="G984">
            <v>0</v>
          </cell>
          <cell r="I984">
            <v>0</v>
          </cell>
          <cell r="J984">
            <v>0</v>
          </cell>
        </row>
        <row r="985">
          <cell r="A985">
            <v>96231180415</v>
          </cell>
          <cell r="B985">
            <v>45050</v>
          </cell>
          <cell r="C985" t="str">
            <v>Regular</v>
          </cell>
          <cell r="D985" t="str">
            <v>JH 698</v>
          </cell>
          <cell r="F985" t="str">
            <v>Q,V</v>
          </cell>
          <cell r="G985">
            <v>0</v>
          </cell>
          <cell r="H985" t="str">
            <v>Q</v>
          </cell>
          <cell r="I985" t="str">
            <v>V</v>
          </cell>
          <cell r="J985">
            <v>0</v>
          </cell>
        </row>
        <row r="986">
          <cell r="A986">
            <v>96231180420</v>
          </cell>
          <cell r="B986">
            <v>45050</v>
          </cell>
          <cell r="C986" t="str">
            <v>Regular</v>
          </cell>
          <cell r="D986" t="str">
            <v>JH 698</v>
          </cell>
          <cell r="F986" t="str">
            <v>Q,V</v>
          </cell>
          <cell r="G986">
            <v>0</v>
          </cell>
          <cell r="H986" t="str">
            <v>Q</v>
          </cell>
          <cell r="J986">
            <v>0</v>
          </cell>
        </row>
        <row r="987">
          <cell r="A987">
            <v>96230970622</v>
          </cell>
          <cell r="B987">
            <v>45050</v>
          </cell>
          <cell r="C987" t="str">
            <v>Regular</v>
          </cell>
          <cell r="D987" t="str">
            <v>LUK 138</v>
          </cell>
          <cell r="F987" t="str">
            <v>V</v>
          </cell>
          <cell r="G987">
            <v>0</v>
          </cell>
          <cell r="H987">
            <v>0</v>
          </cell>
          <cell r="J987">
            <v>0</v>
          </cell>
        </row>
        <row r="988">
          <cell r="A988" t="str">
            <v>96231120189(2)</v>
          </cell>
          <cell r="B988">
            <v>45050</v>
          </cell>
          <cell r="C988" t="str">
            <v>Regular</v>
          </cell>
          <cell r="D988" t="str">
            <v>LUK 138</v>
          </cell>
          <cell r="F988" t="str">
            <v>Q</v>
          </cell>
          <cell r="G988">
            <v>0</v>
          </cell>
          <cell r="I988">
            <v>0</v>
          </cell>
          <cell r="J988">
            <v>0</v>
          </cell>
        </row>
        <row r="989">
          <cell r="A989">
            <v>96231160569</v>
          </cell>
          <cell r="B989">
            <v>45050</v>
          </cell>
          <cell r="C989" t="str">
            <v>Regular</v>
          </cell>
          <cell r="D989" t="str">
            <v>Vu 138</v>
          </cell>
          <cell r="F989" t="str">
            <v>Q</v>
          </cell>
          <cell r="G989">
            <v>0</v>
          </cell>
          <cell r="I989">
            <v>0</v>
          </cell>
          <cell r="J989">
            <v>0</v>
          </cell>
        </row>
        <row r="990">
          <cell r="A990">
            <v>96231140329</v>
          </cell>
          <cell r="B990">
            <v>45050</v>
          </cell>
          <cell r="C990" t="str">
            <v>Regular</v>
          </cell>
          <cell r="D990" t="str">
            <v>JH 698</v>
          </cell>
          <cell r="F990" t="str">
            <v>A,Q,V</v>
          </cell>
          <cell r="G990" t="str">
            <v>A</v>
          </cell>
          <cell r="H990" t="str">
            <v>Q</v>
          </cell>
          <cell r="I990" t="str">
            <v>V</v>
          </cell>
          <cell r="J990">
            <v>0</v>
          </cell>
        </row>
        <row r="991">
          <cell r="A991">
            <v>96231140356</v>
          </cell>
          <cell r="B991">
            <v>45050</v>
          </cell>
          <cell r="C991" t="str">
            <v>Regular</v>
          </cell>
          <cell r="D991" t="str">
            <v>JH 698</v>
          </cell>
          <cell r="F991" t="str">
            <v>A,Q,V</v>
          </cell>
          <cell r="G991" t="str">
            <v>A</v>
          </cell>
          <cell r="H991" t="str">
            <v>Q</v>
          </cell>
          <cell r="I991" t="str">
            <v>V</v>
          </cell>
          <cell r="J991">
            <v>0</v>
          </cell>
        </row>
        <row r="992">
          <cell r="A992">
            <v>96231160571</v>
          </cell>
          <cell r="B992">
            <v>45050</v>
          </cell>
          <cell r="C992" t="str">
            <v>Regular</v>
          </cell>
          <cell r="D992" t="str">
            <v>Vu 138</v>
          </cell>
          <cell r="F992" t="str">
            <v>Q</v>
          </cell>
          <cell r="G992">
            <v>0</v>
          </cell>
          <cell r="I992">
            <v>0</v>
          </cell>
          <cell r="J992">
            <v>0</v>
          </cell>
        </row>
        <row r="993">
          <cell r="A993">
            <v>96231170507</v>
          </cell>
          <cell r="B993">
            <v>45050</v>
          </cell>
          <cell r="C993" t="str">
            <v>Regular</v>
          </cell>
          <cell r="D993" t="str">
            <v>VYN 731</v>
          </cell>
          <cell r="F993" t="str">
            <v>QV</v>
          </cell>
          <cell r="G993">
            <v>0</v>
          </cell>
          <cell r="J993">
            <v>0</v>
          </cell>
        </row>
        <row r="994">
          <cell r="A994">
            <v>96231230338</v>
          </cell>
          <cell r="B994">
            <v>45050</v>
          </cell>
          <cell r="C994" t="str">
            <v>RUSH</v>
          </cell>
          <cell r="D994" t="str">
            <v>JUN (151)</v>
          </cell>
          <cell r="F994" t="str">
            <v>Q V</v>
          </cell>
          <cell r="G994">
            <v>0</v>
          </cell>
          <cell r="J994">
            <v>0</v>
          </cell>
        </row>
        <row r="995">
          <cell r="A995">
            <v>96231230339</v>
          </cell>
          <cell r="B995">
            <v>45050</v>
          </cell>
          <cell r="C995" t="str">
            <v>RUSH</v>
          </cell>
          <cell r="D995" t="str">
            <v>JUN (151)</v>
          </cell>
          <cell r="F995" t="str">
            <v>Q</v>
          </cell>
          <cell r="G995">
            <v>0</v>
          </cell>
          <cell r="I995">
            <v>0</v>
          </cell>
          <cell r="J995">
            <v>0</v>
          </cell>
        </row>
        <row r="996">
          <cell r="A996">
            <v>96231240045</v>
          </cell>
          <cell r="B996">
            <v>45050</v>
          </cell>
          <cell r="C996" t="str">
            <v>Regular</v>
          </cell>
          <cell r="D996" t="str">
            <v>MARIS 619</v>
          </cell>
          <cell r="E996" t="str">
            <v>DISNEY 1:10 PM</v>
          </cell>
          <cell r="F996" t="str">
            <v>A Q V</v>
          </cell>
          <cell r="J996">
            <v>0</v>
          </cell>
        </row>
        <row r="997">
          <cell r="A997">
            <v>96231240095</v>
          </cell>
          <cell r="B997">
            <v>45050</v>
          </cell>
          <cell r="C997" t="str">
            <v>Regular</v>
          </cell>
          <cell r="D997" t="str">
            <v>MARIS 619</v>
          </cell>
          <cell r="E997" t="str">
            <v>DISNEY 1:10 PM</v>
          </cell>
          <cell r="F997" t="str">
            <v>A Q V</v>
          </cell>
          <cell r="G997" t="str">
            <v>A</v>
          </cell>
          <cell r="H997" t="str">
            <v>Q</v>
          </cell>
          <cell r="I997" t="str">
            <v>V</v>
          </cell>
          <cell r="J997">
            <v>0</v>
          </cell>
        </row>
        <row r="998">
          <cell r="A998">
            <v>96231140365</v>
          </cell>
          <cell r="B998">
            <v>45050</v>
          </cell>
          <cell r="C998" t="str">
            <v>Regular</v>
          </cell>
          <cell r="D998" t="str">
            <v>VYN 731</v>
          </cell>
          <cell r="F998" t="str">
            <v>AQV</v>
          </cell>
          <cell r="G998" t="str">
            <v>A</v>
          </cell>
          <cell r="H998" t="str">
            <v>Q</v>
          </cell>
          <cell r="I998" t="str">
            <v>V</v>
          </cell>
          <cell r="J998">
            <v>0</v>
          </cell>
        </row>
        <row r="999">
          <cell r="A999">
            <v>96231240106</v>
          </cell>
          <cell r="B999">
            <v>45050</v>
          </cell>
          <cell r="C999" t="str">
            <v>Regular</v>
          </cell>
          <cell r="D999" t="str">
            <v>VYN 731</v>
          </cell>
          <cell r="E999" t="str">
            <v>DISNEY, 13:20 PM</v>
          </cell>
          <cell r="F999" t="str">
            <v>QV</v>
          </cell>
          <cell r="G999">
            <v>0</v>
          </cell>
          <cell r="J999">
            <v>0</v>
          </cell>
        </row>
        <row r="1000">
          <cell r="A1000">
            <v>96231240115</v>
          </cell>
          <cell r="B1000">
            <v>45050</v>
          </cell>
          <cell r="C1000" t="str">
            <v>Regular</v>
          </cell>
          <cell r="D1000" t="str">
            <v>VYN 731</v>
          </cell>
          <cell r="E1000" t="str">
            <v>DISNEY, 13:20 PM</v>
          </cell>
          <cell r="F1000" t="str">
            <v>QV</v>
          </cell>
          <cell r="G1000">
            <v>0</v>
          </cell>
          <cell r="J1000">
            <v>0</v>
          </cell>
        </row>
        <row r="1001">
          <cell r="A1001">
            <v>96231070511</v>
          </cell>
          <cell r="B1001">
            <v>45050</v>
          </cell>
          <cell r="C1001" t="str">
            <v>Regular</v>
          </cell>
          <cell r="D1001" t="str">
            <v>Duy (738)</v>
          </cell>
          <cell r="F1001" t="str">
            <v>Q, V</v>
          </cell>
          <cell r="G1001">
            <v>0</v>
          </cell>
          <cell r="J1001">
            <v>0</v>
          </cell>
        </row>
        <row r="1002">
          <cell r="A1002">
            <v>96231230350</v>
          </cell>
          <cell r="B1002">
            <v>45050</v>
          </cell>
          <cell r="C1002" t="str">
            <v>Regular</v>
          </cell>
          <cell r="D1002" t="str">
            <v>Duy (738)</v>
          </cell>
          <cell r="F1002" t="str">
            <v>Q, V</v>
          </cell>
          <cell r="G1002">
            <v>0</v>
          </cell>
          <cell r="J1002">
            <v>0</v>
          </cell>
        </row>
        <row r="1003">
          <cell r="A1003">
            <v>96231230349</v>
          </cell>
          <cell r="B1003">
            <v>45050</v>
          </cell>
          <cell r="C1003" t="str">
            <v>Regular</v>
          </cell>
          <cell r="D1003" t="str">
            <v>Duy (738)</v>
          </cell>
          <cell r="F1003" t="str">
            <v>Q</v>
          </cell>
          <cell r="G1003">
            <v>0</v>
          </cell>
          <cell r="I1003">
            <v>0</v>
          </cell>
          <cell r="J1003">
            <v>0</v>
          </cell>
        </row>
        <row r="1004">
          <cell r="A1004">
            <v>96231180301</v>
          </cell>
          <cell r="B1004">
            <v>45050</v>
          </cell>
          <cell r="C1004" t="str">
            <v>Regular</v>
          </cell>
          <cell r="D1004" t="str">
            <v>Duy (738)</v>
          </cell>
          <cell r="F1004" t="str">
            <v>Q,V</v>
          </cell>
          <cell r="G1004">
            <v>0</v>
          </cell>
          <cell r="H1004" t="str">
            <v>Q</v>
          </cell>
          <cell r="I1004" t="str">
            <v>V</v>
          </cell>
          <cell r="J1004">
            <v>0</v>
          </cell>
        </row>
        <row r="1005">
          <cell r="A1005" t="str">
            <v>96230960231(3)</v>
          </cell>
          <cell r="B1005">
            <v>45050</v>
          </cell>
          <cell r="C1005" t="str">
            <v>Regular</v>
          </cell>
          <cell r="D1005" t="str">
            <v>NGOC 697</v>
          </cell>
          <cell r="E1005" t="str">
            <v>DISNEY, 14:38</v>
          </cell>
          <cell r="F1005" t="str">
            <v>A</v>
          </cell>
          <cell r="H1005">
            <v>0</v>
          </cell>
          <cell r="I1005">
            <v>0</v>
          </cell>
          <cell r="J1005">
            <v>0</v>
          </cell>
        </row>
        <row r="1006">
          <cell r="A1006">
            <v>96231240100</v>
          </cell>
          <cell r="B1006">
            <v>45050</v>
          </cell>
          <cell r="C1006" t="str">
            <v>Regular</v>
          </cell>
          <cell r="D1006" t="str">
            <v>NGOC 697</v>
          </cell>
          <cell r="E1006" t="str">
            <v>DISNEY, 14:38</v>
          </cell>
          <cell r="F1006" t="str">
            <v>A Q V</v>
          </cell>
          <cell r="G1006" t="str">
            <v>A</v>
          </cell>
          <cell r="H1006" t="str">
            <v>Q</v>
          </cell>
          <cell r="I1006" t="str">
            <v>V</v>
          </cell>
          <cell r="J1006">
            <v>0</v>
          </cell>
        </row>
        <row r="1007">
          <cell r="A1007">
            <v>96231240265</v>
          </cell>
          <cell r="B1007">
            <v>45050</v>
          </cell>
          <cell r="C1007" t="str">
            <v>Regular</v>
          </cell>
          <cell r="D1007" t="str">
            <v>MARIS 619</v>
          </cell>
          <cell r="E1007" t="str">
            <v>DISNEY 15:00</v>
          </cell>
          <cell r="F1007" t="str">
            <v>QV</v>
          </cell>
          <cell r="G1007">
            <v>0</v>
          </cell>
          <cell r="J1007">
            <v>0</v>
          </cell>
        </row>
        <row r="1008">
          <cell r="A1008">
            <v>96231240266</v>
          </cell>
          <cell r="B1008">
            <v>45050</v>
          </cell>
          <cell r="C1008" t="str">
            <v>Regular</v>
          </cell>
          <cell r="D1008" t="str">
            <v>MARIS 619</v>
          </cell>
          <cell r="E1008" t="str">
            <v>DISNEY 15:00 RE SP 96231240265</v>
          </cell>
          <cell r="F1008" t="str">
            <v>QV</v>
          </cell>
          <cell r="G1008">
            <v>0</v>
          </cell>
          <cell r="J1008">
            <v>0</v>
          </cell>
        </row>
        <row r="1009">
          <cell r="A1009">
            <v>96231110331</v>
          </cell>
          <cell r="B1009">
            <v>45050</v>
          </cell>
          <cell r="C1009" t="str">
            <v>Regular</v>
          </cell>
          <cell r="D1009" t="str">
            <v>CEP (138)</v>
          </cell>
          <cell r="F1009" t="str">
            <v>Q</v>
          </cell>
          <cell r="G1009">
            <v>0</v>
          </cell>
          <cell r="H1009" t="str">
            <v>Q</v>
          </cell>
          <cell r="I1009">
            <v>0</v>
          </cell>
          <cell r="J1009">
            <v>0</v>
          </cell>
        </row>
        <row r="1010">
          <cell r="A1010">
            <v>96231180280</v>
          </cell>
          <cell r="B1010">
            <v>45050</v>
          </cell>
          <cell r="C1010" t="str">
            <v>Regular</v>
          </cell>
          <cell r="D1010" t="str">
            <v>GIB 718</v>
          </cell>
          <cell r="F1010" t="str">
            <v>QV</v>
          </cell>
          <cell r="G1010">
            <v>0</v>
          </cell>
          <cell r="J1010">
            <v>0</v>
          </cell>
        </row>
        <row r="1011">
          <cell r="A1011">
            <v>96230980510</v>
          </cell>
          <cell r="B1011">
            <v>45050</v>
          </cell>
          <cell r="C1011" t="str">
            <v>Regular</v>
          </cell>
          <cell r="D1011" t="str">
            <v>HAO 718</v>
          </cell>
          <cell r="F1011" t="str">
            <v>Q</v>
          </cell>
          <cell r="G1011">
            <v>0</v>
          </cell>
          <cell r="I1011">
            <v>0</v>
          </cell>
          <cell r="J1011">
            <v>0</v>
          </cell>
        </row>
        <row r="1012">
          <cell r="A1012">
            <v>96231180544</v>
          </cell>
          <cell r="B1012">
            <v>45050</v>
          </cell>
          <cell r="C1012" t="str">
            <v>RUSH</v>
          </cell>
          <cell r="D1012" t="str">
            <v>HAO 718</v>
          </cell>
          <cell r="F1012" t="str">
            <v>Q</v>
          </cell>
          <cell r="G1012">
            <v>0</v>
          </cell>
          <cell r="I1012">
            <v>0</v>
          </cell>
          <cell r="J1012">
            <v>0</v>
          </cell>
        </row>
        <row r="1013">
          <cell r="A1013">
            <v>96231240262</v>
          </cell>
          <cell r="B1013">
            <v>45050</v>
          </cell>
          <cell r="C1013" t="str">
            <v>Regular</v>
          </cell>
          <cell r="D1013" t="str">
            <v>VYN 731</v>
          </cell>
          <cell r="E1013" t="str">
            <v xml:space="preserve">DISNEY 15:15 </v>
          </cell>
          <cell r="F1013" t="str">
            <v>QV</v>
          </cell>
          <cell r="G1013">
            <v>0</v>
          </cell>
          <cell r="J1013">
            <v>0</v>
          </cell>
        </row>
        <row r="1014">
          <cell r="A1014">
            <v>96231240263</v>
          </cell>
          <cell r="B1014">
            <v>45050</v>
          </cell>
          <cell r="C1014" t="str">
            <v>Regular</v>
          </cell>
          <cell r="D1014" t="str">
            <v>VYN 731</v>
          </cell>
          <cell r="E1014" t="str">
            <v xml:space="preserve">DISNEY 15:15 </v>
          </cell>
          <cell r="F1014" t="str">
            <v>QV</v>
          </cell>
          <cell r="G1014">
            <v>0</v>
          </cell>
          <cell r="I1014" t="str">
            <v>V</v>
          </cell>
          <cell r="J1014">
            <v>0</v>
          </cell>
        </row>
        <row r="1015">
          <cell r="A1015">
            <v>96231180347</v>
          </cell>
          <cell r="B1015">
            <v>45050</v>
          </cell>
          <cell r="C1015" t="str">
            <v>PRIORITY</v>
          </cell>
          <cell r="D1015" t="str">
            <v>GIB 718</v>
          </cell>
          <cell r="F1015" t="str">
            <v>Q</v>
          </cell>
          <cell r="G1015">
            <v>0</v>
          </cell>
          <cell r="I1015">
            <v>0</v>
          </cell>
          <cell r="J1015">
            <v>0</v>
          </cell>
        </row>
        <row r="1016">
          <cell r="A1016">
            <v>96231170337</v>
          </cell>
          <cell r="B1016">
            <v>45050</v>
          </cell>
          <cell r="C1016" t="str">
            <v>Regular</v>
          </cell>
          <cell r="D1016" t="str">
            <v>JH 698</v>
          </cell>
          <cell r="E1016" t="str">
            <v>18 styles foam</v>
          </cell>
          <cell r="F1016" t="str">
            <v>Q,V</v>
          </cell>
          <cell r="G1016">
            <v>0</v>
          </cell>
          <cell r="H1016" t="str">
            <v>Q</v>
          </cell>
          <cell r="I1016" t="str">
            <v>V</v>
          </cell>
          <cell r="J1016">
            <v>0</v>
          </cell>
        </row>
        <row r="1017">
          <cell r="A1017">
            <v>96231240214</v>
          </cell>
          <cell r="B1017">
            <v>45050</v>
          </cell>
          <cell r="C1017" t="str">
            <v>Regular</v>
          </cell>
          <cell r="D1017" t="str">
            <v>NGOC 697</v>
          </cell>
          <cell r="E1017" t="str">
            <v>DISNEY, 15:50</v>
          </cell>
          <cell r="F1017" t="str">
            <v>AQV</v>
          </cell>
          <cell r="H1017" t="str">
            <v>Q</v>
          </cell>
          <cell r="I1017" t="str">
            <v>V</v>
          </cell>
          <cell r="J1017">
            <v>0</v>
          </cell>
        </row>
        <row r="1018">
          <cell r="A1018">
            <v>96231240219</v>
          </cell>
          <cell r="B1018">
            <v>45050</v>
          </cell>
          <cell r="C1018" t="str">
            <v>Regular</v>
          </cell>
          <cell r="D1018" t="str">
            <v>NGOC 697</v>
          </cell>
          <cell r="E1018" t="str">
            <v>DISNEY, 15:50</v>
          </cell>
          <cell r="F1018" t="str">
            <v>QV</v>
          </cell>
          <cell r="G1018">
            <v>0</v>
          </cell>
          <cell r="H1018" t="str">
            <v>Q</v>
          </cell>
          <cell r="J1018">
            <v>0</v>
          </cell>
        </row>
        <row r="1019">
          <cell r="A1019">
            <v>96231240220</v>
          </cell>
          <cell r="B1019">
            <v>45050</v>
          </cell>
          <cell r="C1019" t="str">
            <v>Regular</v>
          </cell>
          <cell r="D1019" t="str">
            <v>NGOC 697</v>
          </cell>
          <cell r="E1019" t="str">
            <v>DISNEY, 15:50</v>
          </cell>
          <cell r="F1019" t="str">
            <v>QV</v>
          </cell>
          <cell r="G1019">
            <v>0</v>
          </cell>
          <cell r="H1019" t="str">
            <v>Q</v>
          </cell>
          <cell r="J1019">
            <v>0</v>
          </cell>
        </row>
        <row r="1020">
          <cell r="A1020">
            <v>96231240222</v>
          </cell>
          <cell r="B1020">
            <v>45050</v>
          </cell>
          <cell r="C1020" t="str">
            <v>Regular</v>
          </cell>
          <cell r="D1020" t="str">
            <v>NGOC 697</v>
          </cell>
          <cell r="E1020" t="str">
            <v>DISNEY, 15:50</v>
          </cell>
          <cell r="F1020" t="str">
            <v>AQV</v>
          </cell>
          <cell r="G1020" t="str">
            <v>A</v>
          </cell>
          <cell r="H1020" t="str">
            <v>Q</v>
          </cell>
          <cell r="I1020" t="str">
            <v>V</v>
          </cell>
          <cell r="J1020">
            <v>0</v>
          </cell>
        </row>
        <row r="1021">
          <cell r="A1021">
            <v>96231240223</v>
          </cell>
          <cell r="B1021">
            <v>45050</v>
          </cell>
          <cell r="C1021" t="str">
            <v>Regular</v>
          </cell>
          <cell r="D1021" t="str">
            <v>NGOC 697</v>
          </cell>
          <cell r="E1021" t="str">
            <v>DISNEY, 15:50</v>
          </cell>
          <cell r="F1021" t="str">
            <v>AQV</v>
          </cell>
          <cell r="H1021" t="str">
            <v>Q</v>
          </cell>
          <cell r="J1021">
            <v>0</v>
          </cell>
        </row>
        <row r="1022">
          <cell r="A1022">
            <v>96231240224</v>
          </cell>
          <cell r="B1022">
            <v>45050</v>
          </cell>
          <cell r="C1022" t="str">
            <v>Regular</v>
          </cell>
          <cell r="D1022" t="str">
            <v>NGOC 697</v>
          </cell>
          <cell r="E1022" t="str">
            <v>DISNEY, 15:50</v>
          </cell>
          <cell r="F1022" t="str">
            <v>AQV</v>
          </cell>
          <cell r="G1022" t="str">
            <v>A</v>
          </cell>
          <cell r="H1022" t="str">
            <v>Q</v>
          </cell>
          <cell r="I1022" t="str">
            <v>V</v>
          </cell>
          <cell r="J1022">
            <v>0</v>
          </cell>
        </row>
        <row r="1023">
          <cell r="A1023">
            <v>96231240227</v>
          </cell>
          <cell r="B1023">
            <v>45050</v>
          </cell>
          <cell r="C1023" t="str">
            <v>Regular</v>
          </cell>
          <cell r="D1023" t="str">
            <v>NGOC 697</v>
          </cell>
          <cell r="E1023" t="str">
            <v>DISNEY, 15:50</v>
          </cell>
          <cell r="F1023" t="str">
            <v>AQV</v>
          </cell>
          <cell r="H1023" t="str">
            <v>Q</v>
          </cell>
          <cell r="J1023">
            <v>0</v>
          </cell>
        </row>
        <row r="1024">
          <cell r="A1024">
            <v>96231240230</v>
          </cell>
          <cell r="B1024">
            <v>45050</v>
          </cell>
          <cell r="C1024" t="str">
            <v>Regular</v>
          </cell>
          <cell r="D1024" t="str">
            <v>NGOC 697</v>
          </cell>
          <cell r="E1024" t="str">
            <v>DISNEY, 15:50</v>
          </cell>
          <cell r="F1024" t="str">
            <v>AQV</v>
          </cell>
          <cell r="H1024" t="str">
            <v>Q</v>
          </cell>
          <cell r="J1024">
            <v>0</v>
          </cell>
        </row>
        <row r="1025">
          <cell r="A1025">
            <v>96231240231</v>
          </cell>
          <cell r="B1025">
            <v>45050</v>
          </cell>
          <cell r="C1025" t="str">
            <v>Regular</v>
          </cell>
          <cell r="D1025" t="str">
            <v>NGOC 697</v>
          </cell>
          <cell r="E1025" t="str">
            <v>DISNEY, 15:50</v>
          </cell>
          <cell r="F1025" t="str">
            <v>QV</v>
          </cell>
          <cell r="G1025">
            <v>0</v>
          </cell>
          <cell r="H1025" t="str">
            <v>Q</v>
          </cell>
          <cell r="J1025">
            <v>0</v>
          </cell>
        </row>
        <row r="1026">
          <cell r="A1026">
            <v>96231240232</v>
          </cell>
          <cell r="B1026">
            <v>45050</v>
          </cell>
          <cell r="C1026" t="str">
            <v>Regular</v>
          </cell>
          <cell r="D1026" t="str">
            <v>NGOC 697</v>
          </cell>
          <cell r="E1026" t="str">
            <v>DISNEY, 15:50</v>
          </cell>
          <cell r="F1026" t="str">
            <v>AQV</v>
          </cell>
          <cell r="H1026" t="str">
            <v>Q</v>
          </cell>
          <cell r="I1026" t="str">
            <v>V</v>
          </cell>
          <cell r="J1026">
            <v>0</v>
          </cell>
        </row>
        <row r="1027">
          <cell r="A1027">
            <v>96231240233</v>
          </cell>
          <cell r="B1027">
            <v>45050</v>
          </cell>
          <cell r="C1027" t="str">
            <v>Regular</v>
          </cell>
          <cell r="D1027" t="str">
            <v>NGOC 697</v>
          </cell>
          <cell r="E1027" t="str">
            <v>DISNEY, 15:50</v>
          </cell>
          <cell r="F1027" t="str">
            <v>AQV</v>
          </cell>
          <cell r="H1027" t="str">
            <v>Q</v>
          </cell>
          <cell r="J1027">
            <v>0</v>
          </cell>
        </row>
        <row r="1028">
          <cell r="A1028">
            <v>96231230100</v>
          </cell>
          <cell r="B1028">
            <v>45050</v>
          </cell>
          <cell r="C1028" t="str">
            <v>Regular</v>
          </cell>
          <cell r="D1028" t="str">
            <v>Vu 138</v>
          </cell>
          <cell r="F1028" t="str">
            <v>Q</v>
          </cell>
          <cell r="G1028">
            <v>0</v>
          </cell>
          <cell r="I1028">
            <v>0</v>
          </cell>
          <cell r="J1028">
            <v>0</v>
          </cell>
        </row>
        <row r="1029">
          <cell r="A1029">
            <v>96231240112</v>
          </cell>
          <cell r="B1029">
            <v>45050</v>
          </cell>
          <cell r="C1029" t="str">
            <v>Regular</v>
          </cell>
          <cell r="D1029" t="str">
            <v>JUN (151)</v>
          </cell>
          <cell r="F1029" t="str">
            <v>Q</v>
          </cell>
          <cell r="G1029">
            <v>0</v>
          </cell>
          <cell r="H1029" t="str">
            <v>Q</v>
          </cell>
          <cell r="I1029">
            <v>0</v>
          </cell>
          <cell r="J1029">
            <v>0</v>
          </cell>
        </row>
        <row r="1030">
          <cell r="A1030">
            <v>96231240117</v>
          </cell>
          <cell r="B1030">
            <v>45050</v>
          </cell>
          <cell r="C1030" t="str">
            <v>Regular</v>
          </cell>
          <cell r="D1030" t="str">
            <v>JUN (151)</v>
          </cell>
          <cell r="F1030" t="str">
            <v>Q</v>
          </cell>
          <cell r="G1030">
            <v>0</v>
          </cell>
          <cell r="H1030" t="str">
            <v>Q</v>
          </cell>
          <cell r="I1030">
            <v>0</v>
          </cell>
          <cell r="J1030">
            <v>0</v>
          </cell>
        </row>
        <row r="1031">
          <cell r="A1031">
            <v>96231240123</v>
          </cell>
          <cell r="B1031">
            <v>45050</v>
          </cell>
          <cell r="C1031" t="str">
            <v>Regular</v>
          </cell>
          <cell r="D1031" t="str">
            <v>JUN (151)</v>
          </cell>
          <cell r="F1031" t="str">
            <v>Q</v>
          </cell>
          <cell r="G1031">
            <v>0</v>
          </cell>
          <cell r="H1031" t="str">
            <v>Q</v>
          </cell>
          <cell r="I1031">
            <v>0</v>
          </cell>
          <cell r="J1031">
            <v>0</v>
          </cell>
        </row>
        <row r="1032">
          <cell r="A1032">
            <v>96231240119</v>
          </cell>
          <cell r="B1032">
            <v>45050</v>
          </cell>
          <cell r="C1032" t="str">
            <v>Regular</v>
          </cell>
          <cell r="D1032" t="str">
            <v>JUN (151)</v>
          </cell>
          <cell r="F1032" t="str">
            <v>Q</v>
          </cell>
          <cell r="G1032">
            <v>0</v>
          </cell>
          <cell r="H1032" t="str">
            <v>Q</v>
          </cell>
          <cell r="I1032">
            <v>0</v>
          </cell>
          <cell r="J1032">
            <v>0</v>
          </cell>
        </row>
        <row r="1033">
          <cell r="A1033">
            <v>96231240141</v>
          </cell>
          <cell r="B1033">
            <v>45050</v>
          </cell>
          <cell r="C1033" t="str">
            <v>Regular</v>
          </cell>
          <cell r="D1033" t="str">
            <v>JUN (151)</v>
          </cell>
          <cell r="F1033" t="str">
            <v>Q</v>
          </cell>
          <cell r="G1033">
            <v>0</v>
          </cell>
          <cell r="H1033" t="str">
            <v>Q</v>
          </cell>
          <cell r="I1033">
            <v>0</v>
          </cell>
          <cell r="J1033">
            <v>0</v>
          </cell>
        </row>
        <row r="1034">
          <cell r="A1034">
            <v>96231240110</v>
          </cell>
          <cell r="B1034">
            <v>45050</v>
          </cell>
          <cell r="C1034" t="str">
            <v>Regular</v>
          </cell>
          <cell r="D1034" t="str">
            <v>JUN (151)</v>
          </cell>
          <cell r="F1034" t="str">
            <v>Q</v>
          </cell>
          <cell r="G1034">
            <v>0</v>
          </cell>
          <cell r="H1034" t="str">
            <v>Q</v>
          </cell>
          <cell r="I1034">
            <v>0</v>
          </cell>
          <cell r="J1034">
            <v>0</v>
          </cell>
        </row>
        <row r="1035">
          <cell r="A1035">
            <v>96230930350</v>
          </cell>
          <cell r="B1035">
            <v>45050</v>
          </cell>
          <cell r="C1035" t="str">
            <v>Regular</v>
          </cell>
          <cell r="D1035" t="str">
            <v>JOHN 738</v>
          </cell>
          <cell r="F1035" t="str">
            <v>Q</v>
          </cell>
          <cell r="G1035">
            <v>0</v>
          </cell>
          <cell r="H1035" t="str">
            <v>Q</v>
          </cell>
          <cell r="I1035">
            <v>0</v>
          </cell>
          <cell r="J1035">
            <v>0</v>
          </cell>
        </row>
        <row r="1036">
          <cell r="A1036">
            <v>96231240438</v>
          </cell>
          <cell r="B1036">
            <v>45051</v>
          </cell>
          <cell r="C1036" t="str">
            <v>Regular</v>
          </cell>
          <cell r="D1036" t="str">
            <v>MARIS 619</v>
          </cell>
          <cell r="E1036" t="str">
            <v>DISNEY 8:48</v>
          </cell>
          <cell r="F1036" t="str">
            <v>Q V</v>
          </cell>
          <cell r="G1036">
            <v>0</v>
          </cell>
          <cell r="J1036">
            <v>0</v>
          </cell>
        </row>
        <row r="1037">
          <cell r="A1037" t="str">
            <v>96231180510(2)</v>
          </cell>
          <cell r="B1037">
            <v>45051</v>
          </cell>
          <cell r="C1037" t="str">
            <v>Regular</v>
          </cell>
          <cell r="D1037" t="str">
            <v>MINH 718</v>
          </cell>
          <cell r="F1037" t="str">
            <v>Q</v>
          </cell>
          <cell r="G1037">
            <v>0</v>
          </cell>
          <cell r="I1037">
            <v>0</v>
          </cell>
          <cell r="J1037">
            <v>0</v>
          </cell>
        </row>
        <row r="1038">
          <cell r="A1038" t="str">
            <v>96231160562(2)</v>
          </cell>
          <cell r="B1038">
            <v>45051</v>
          </cell>
          <cell r="C1038" t="str">
            <v>Regular</v>
          </cell>
          <cell r="D1038" t="str">
            <v>HOANG 738</v>
          </cell>
          <cell r="F1038" t="str">
            <v>Q</v>
          </cell>
          <cell r="G1038">
            <v>0</v>
          </cell>
          <cell r="I1038">
            <v>0</v>
          </cell>
          <cell r="J1038">
            <v>0</v>
          </cell>
        </row>
        <row r="1039">
          <cell r="A1039">
            <v>96231180284</v>
          </cell>
          <cell r="B1039">
            <v>45051</v>
          </cell>
          <cell r="C1039" t="str">
            <v>Regular</v>
          </cell>
          <cell r="D1039" t="str">
            <v>THE HIEN (EE)</v>
          </cell>
          <cell r="F1039" t="str">
            <v>Q V</v>
          </cell>
          <cell r="G1039">
            <v>0</v>
          </cell>
          <cell r="H1039" t="str">
            <v>Q</v>
          </cell>
          <cell r="I1039" t="str">
            <v>V</v>
          </cell>
          <cell r="J1039">
            <v>0</v>
          </cell>
        </row>
        <row r="1040">
          <cell r="A1040">
            <v>96231180292</v>
          </cell>
          <cell r="B1040">
            <v>45051</v>
          </cell>
          <cell r="C1040" t="str">
            <v>Regular</v>
          </cell>
          <cell r="D1040" t="str">
            <v>THE HIEN (EE)</v>
          </cell>
          <cell r="F1040" t="str">
            <v>Q V</v>
          </cell>
          <cell r="G1040">
            <v>0</v>
          </cell>
          <cell r="H1040" t="str">
            <v>Q</v>
          </cell>
          <cell r="I1040" t="str">
            <v>V</v>
          </cell>
          <cell r="J1040">
            <v>0</v>
          </cell>
        </row>
        <row r="1041">
          <cell r="A1041">
            <v>96231180295</v>
          </cell>
          <cell r="B1041">
            <v>45051</v>
          </cell>
          <cell r="C1041" t="str">
            <v>Regular</v>
          </cell>
          <cell r="D1041" t="str">
            <v>THE HIEN (EE)</v>
          </cell>
          <cell r="F1041" t="str">
            <v>Q V</v>
          </cell>
          <cell r="G1041">
            <v>0</v>
          </cell>
          <cell r="H1041" t="str">
            <v>Q</v>
          </cell>
          <cell r="I1041" t="str">
            <v>V</v>
          </cell>
          <cell r="J1041">
            <v>0</v>
          </cell>
        </row>
        <row r="1042">
          <cell r="A1042">
            <v>96231240459</v>
          </cell>
          <cell r="B1042">
            <v>45051</v>
          </cell>
          <cell r="C1042" t="str">
            <v>Regular</v>
          </cell>
          <cell r="D1042" t="str">
            <v>NGOC 697</v>
          </cell>
          <cell r="E1042" t="str">
            <v>DISNEY, 10:13</v>
          </cell>
          <cell r="F1042" t="str">
            <v>A Q V</v>
          </cell>
          <cell r="G1042" t="str">
            <v>A</v>
          </cell>
          <cell r="H1042" t="str">
            <v>Q</v>
          </cell>
          <cell r="I1042" t="str">
            <v>V</v>
          </cell>
          <cell r="J1042">
            <v>0</v>
          </cell>
        </row>
        <row r="1043">
          <cell r="A1043">
            <v>96231150694</v>
          </cell>
          <cell r="B1043">
            <v>45051</v>
          </cell>
          <cell r="C1043" t="str">
            <v>Regular</v>
          </cell>
          <cell r="D1043" t="str">
            <v>LUK 138</v>
          </cell>
          <cell r="F1043" t="str">
            <v>Q V</v>
          </cell>
          <cell r="G1043">
            <v>0</v>
          </cell>
          <cell r="I1043" t="str">
            <v>V</v>
          </cell>
          <cell r="J1043">
            <v>0</v>
          </cell>
        </row>
        <row r="1044">
          <cell r="A1044">
            <v>96231180601</v>
          </cell>
          <cell r="B1044">
            <v>45051</v>
          </cell>
          <cell r="C1044" t="str">
            <v>Regular</v>
          </cell>
          <cell r="D1044" t="str">
            <v>HUYEN 151</v>
          </cell>
          <cell r="F1044" t="str">
            <v>Q V</v>
          </cell>
          <cell r="G1044">
            <v>0</v>
          </cell>
          <cell r="H1044" t="str">
            <v>Q</v>
          </cell>
          <cell r="I1044" t="str">
            <v>V</v>
          </cell>
          <cell r="J1044">
            <v>0</v>
          </cell>
        </row>
        <row r="1045">
          <cell r="A1045">
            <v>96231120265</v>
          </cell>
          <cell r="B1045">
            <v>45051</v>
          </cell>
          <cell r="C1045" t="str">
            <v>Regular</v>
          </cell>
          <cell r="D1045" t="str">
            <v>HUYEN 151</v>
          </cell>
          <cell r="F1045" t="str">
            <v>Q</v>
          </cell>
          <cell r="G1045">
            <v>0</v>
          </cell>
          <cell r="I1045">
            <v>0</v>
          </cell>
          <cell r="J1045">
            <v>0</v>
          </cell>
        </row>
        <row r="1046">
          <cell r="A1046">
            <v>96231140002</v>
          </cell>
          <cell r="B1046">
            <v>45041</v>
          </cell>
          <cell r="C1046" t="str">
            <v>Regular</v>
          </cell>
          <cell r="D1046" t="str">
            <v>HUYEN 151</v>
          </cell>
          <cell r="F1046" t="str">
            <v>Q V</v>
          </cell>
          <cell r="G1046">
            <v>0</v>
          </cell>
          <cell r="J1046">
            <v>0</v>
          </cell>
        </row>
        <row r="1047">
          <cell r="A1047">
            <v>96231160116</v>
          </cell>
          <cell r="B1047">
            <v>45051</v>
          </cell>
          <cell r="C1047" t="str">
            <v>Regular</v>
          </cell>
          <cell r="D1047" t="str">
            <v>FANTOM(719)</v>
          </cell>
          <cell r="F1047" t="str">
            <v>Q, V</v>
          </cell>
          <cell r="G1047">
            <v>0</v>
          </cell>
          <cell r="J1047">
            <v>0</v>
          </cell>
        </row>
        <row r="1048">
          <cell r="A1048">
            <v>96230760422</v>
          </cell>
          <cell r="B1048">
            <v>45051</v>
          </cell>
          <cell r="C1048" t="str">
            <v>RUSH</v>
          </cell>
          <cell r="D1048" t="str">
            <v>GIB 718</v>
          </cell>
          <cell r="F1048" t="str">
            <v>Q</v>
          </cell>
          <cell r="G1048">
            <v>0</v>
          </cell>
          <cell r="I1048">
            <v>0</v>
          </cell>
          <cell r="J1048">
            <v>0</v>
          </cell>
        </row>
        <row r="1049">
          <cell r="A1049">
            <v>96231250042</v>
          </cell>
          <cell r="B1049">
            <v>45051</v>
          </cell>
          <cell r="C1049" t="str">
            <v>PRIORITY</v>
          </cell>
          <cell r="D1049" t="str">
            <v>HAO 718</v>
          </cell>
          <cell r="F1049" t="str">
            <v>Q</v>
          </cell>
          <cell r="G1049">
            <v>0</v>
          </cell>
          <cell r="I1049">
            <v>0</v>
          </cell>
          <cell r="J1049">
            <v>0</v>
          </cell>
        </row>
        <row r="1050">
          <cell r="A1050">
            <v>96231120388</v>
          </cell>
          <cell r="B1050">
            <v>45043</v>
          </cell>
          <cell r="C1050" t="str">
            <v>Regular</v>
          </cell>
          <cell r="D1050" t="str">
            <v>FANTOM(719)</v>
          </cell>
          <cell r="F1050" t="str">
            <v>A, V, Q</v>
          </cell>
          <cell r="J1050">
            <v>0</v>
          </cell>
        </row>
        <row r="1051">
          <cell r="A1051">
            <v>96231120393</v>
          </cell>
          <cell r="B1051">
            <v>45043</v>
          </cell>
          <cell r="C1051" t="str">
            <v>Regular</v>
          </cell>
          <cell r="D1051" t="str">
            <v>FANTOM(719)</v>
          </cell>
          <cell r="F1051" t="str">
            <v>A, V, Q</v>
          </cell>
          <cell r="J1051">
            <v>0</v>
          </cell>
        </row>
        <row r="1052">
          <cell r="A1052">
            <v>96230890569</v>
          </cell>
          <cell r="B1052">
            <v>45051</v>
          </cell>
          <cell r="C1052" t="str">
            <v>Regular</v>
          </cell>
          <cell r="D1052" t="str">
            <v>Duy (738)</v>
          </cell>
          <cell r="F1052" t="str">
            <v>Q, V</v>
          </cell>
          <cell r="G1052">
            <v>0</v>
          </cell>
          <cell r="I1052" t="str">
            <v>V</v>
          </cell>
          <cell r="J1052">
            <v>0</v>
          </cell>
        </row>
        <row r="1053">
          <cell r="A1053">
            <v>96231240261</v>
          </cell>
          <cell r="B1053">
            <v>45051</v>
          </cell>
          <cell r="C1053" t="str">
            <v>Regular</v>
          </cell>
          <cell r="D1053" t="str">
            <v>JUN (151)</v>
          </cell>
          <cell r="F1053" t="str">
            <v>Q</v>
          </cell>
          <cell r="G1053">
            <v>0</v>
          </cell>
          <cell r="H1053" t="str">
            <v>Q</v>
          </cell>
          <cell r="I1053">
            <v>0</v>
          </cell>
          <cell r="J1053">
            <v>0</v>
          </cell>
        </row>
        <row r="1054">
          <cell r="A1054">
            <v>96230900501</v>
          </cell>
          <cell r="B1054">
            <v>45051</v>
          </cell>
          <cell r="C1054" t="str">
            <v>Regular</v>
          </cell>
          <cell r="D1054" t="str">
            <v>Duy (738)</v>
          </cell>
          <cell r="F1054" t="str">
            <v xml:space="preserve">Q, V </v>
          </cell>
          <cell r="G1054">
            <v>0</v>
          </cell>
          <cell r="J1054">
            <v>0</v>
          </cell>
        </row>
        <row r="1055">
          <cell r="A1055">
            <v>96231230015</v>
          </cell>
          <cell r="B1055">
            <v>45051</v>
          </cell>
          <cell r="C1055" t="str">
            <v>Regular</v>
          </cell>
          <cell r="D1055" t="str">
            <v>VINCENT (698)</v>
          </cell>
          <cell r="F1055" t="str">
            <v>Q, V</v>
          </cell>
          <cell r="G1055">
            <v>0</v>
          </cell>
          <cell r="J1055">
            <v>0</v>
          </cell>
        </row>
        <row r="1056">
          <cell r="A1056">
            <v>96231170254</v>
          </cell>
          <cell r="B1056">
            <v>45051</v>
          </cell>
          <cell r="C1056" t="str">
            <v>Regular</v>
          </cell>
          <cell r="D1056" t="str">
            <v>NGOC 697</v>
          </cell>
          <cell r="F1056" t="str">
            <v>QV</v>
          </cell>
          <cell r="G1056">
            <v>0</v>
          </cell>
          <cell r="H1056" t="str">
            <v>Q</v>
          </cell>
          <cell r="I1056" t="str">
            <v>V</v>
          </cell>
          <cell r="J1056">
            <v>0</v>
          </cell>
        </row>
        <row r="1057">
          <cell r="A1057">
            <v>96231160469</v>
          </cell>
          <cell r="B1057">
            <v>45051</v>
          </cell>
          <cell r="C1057" t="str">
            <v>Regular</v>
          </cell>
          <cell r="D1057" t="str">
            <v>GIB 718</v>
          </cell>
          <cell r="F1057" t="str">
            <v>Q V</v>
          </cell>
          <cell r="G1057">
            <v>0</v>
          </cell>
          <cell r="J1057">
            <v>0</v>
          </cell>
        </row>
        <row r="1058">
          <cell r="A1058">
            <v>96231180184</v>
          </cell>
          <cell r="B1058">
            <v>45051</v>
          </cell>
          <cell r="C1058" t="str">
            <v>Regular</v>
          </cell>
          <cell r="D1058" t="str">
            <v>VYN 731</v>
          </cell>
          <cell r="E1058" t="str">
            <v>DISNEY</v>
          </cell>
          <cell r="F1058" t="str">
            <v>Q V</v>
          </cell>
          <cell r="G1058">
            <v>0</v>
          </cell>
          <cell r="J1058">
            <v>0</v>
          </cell>
        </row>
        <row r="1059">
          <cell r="A1059">
            <v>96231050273</v>
          </cell>
          <cell r="B1059">
            <v>45051</v>
          </cell>
          <cell r="C1059" t="str">
            <v>RUSH</v>
          </cell>
          <cell r="D1059" t="str">
            <v>HAO 718</v>
          </cell>
          <cell r="E1059" t="str">
            <v>Cần KQ ngày 8-May</v>
          </cell>
          <cell r="F1059" t="str">
            <v>Q V</v>
          </cell>
          <cell r="G1059">
            <v>0</v>
          </cell>
          <cell r="J1059">
            <v>0</v>
          </cell>
        </row>
        <row r="1060">
          <cell r="A1060">
            <v>96231170314</v>
          </cell>
          <cell r="B1060">
            <v>45051</v>
          </cell>
          <cell r="C1060" t="str">
            <v>Regular</v>
          </cell>
          <cell r="D1060" t="str">
            <v>HOANG 738</v>
          </cell>
          <cell r="F1060" t="str">
            <v>Q V</v>
          </cell>
          <cell r="G1060">
            <v>0</v>
          </cell>
          <cell r="I1060" t="str">
            <v>V</v>
          </cell>
          <cell r="J1060">
            <v>0</v>
          </cell>
        </row>
        <row r="1061">
          <cell r="A1061">
            <v>96231170315</v>
          </cell>
          <cell r="B1061">
            <v>45051</v>
          </cell>
          <cell r="C1061" t="str">
            <v>Regular</v>
          </cell>
          <cell r="D1061" t="str">
            <v>HOANG 738</v>
          </cell>
          <cell r="F1061" t="str">
            <v>V</v>
          </cell>
          <cell r="G1061">
            <v>0</v>
          </cell>
          <cell r="H1061">
            <v>0</v>
          </cell>
          <cell r="I1061" t="str">
            <v>V</v>
          </cell>
          <cell r="J1061">
            <v>0</v>
          </cell>
        </row>
        <row r="1062">
          <cell r="A1062">
            <v>96231160554</v>
          </cell>
          <cell r="B1062">
            <v>45051</v>
          </cell>
          <cell r="C1062" t="str">
            <v>Regular</v>
          </cell>
          <cell r="D1062" t="str">
            <v>Duy (738)</v>
          </cell>
          <cell r="F1062" t="str">
            <v>Q</v>
          </cell>
          <cell r="G1062">
            <v>0</v>
          </cell>
          <cell r="I1062">
            <v>0</v>
          </cell>
          <cell r="J1062">
            <v>0</v>
          </cell>
        </row>
        <row r="1063">
          <cell r="A1063" t="str">
            <v>96231000116(2)</v>
          </cell>
          <cell r="B1063">
            <v>45051</v>
          </cell>
          <cell r="C1063" t="str">
            <v>Regular</v>
          </cell>
          <cell r="D1063" t="str">
            <v>GIB 718</v>
          </cell>
          <cell r="F1063" t="str">
            <v>V</v>
          </cell>
          <cell r="G1063">
            <v>0</v>
          </cell>
          <cell r="H1063">
            <v>0</v>
          </cell>
          <cell r="I1063" t="str">
            <v>V</v>
          </cell>
          <cell r="J1063">
            <v>0</v>
          </cell>
        </row>
        <row r="1064">
          <cell r="A1064">
            <v>96231250258</v>
          </cell>
          <cell r="B1064">
            <v>45051</v>
          </cell>
          <cell r="C1064" t="str">
            <v>Regular</v>
          </cell>
          <cell r="D1064" t="str">
            <v>Hardy 138</v>
          </cell>
          <cell r="E1064" t="str">
            <v>COSTCO inspection 5/12</v>
          </cell>
          <cell r="F1064" t="str">
            <v>A Q V</v>
          </cell>
          <cell r="G1064" t="str">
            <v>A</v>
          </cell>
          <cell r="H1064" t="str">
            <v>Q</v>
          </cell>
          <cell r="I1064" t="str">
            <v>V</v>
          </cell>
          <cell r="J1064">
            <v>0</v>
          </cell>
        </row>
        <row r="1065">
          <cell r="A1065">
            <v>96231230372</v>
          </cell>
          <cell r="B1065">
            <v>45051</v>
          </cell>
          <cell r="C1065" t="str">
            <v>Regular</v>
          </cell>
          <cell r="D1065" t="str">
            <v>VINCENT (698)</v>
          </cell>
          <cell r="F1065" t="str">
            <v>Q, V</v>
          </cell>
          <cell r="G1065">
            <v>0</v>
          </cell>
          <cell r="H1065" t="str">
            <v>Q</v>
          </cell>
          <cell r="I1065" t="str">
            <v>V</v>
          </cell>
          <cell r="J1065">
            <v>0</v>
          </cell>
        </row>
        <row r="1066">
          <cell r="A1066">
            <v>96231230027</v>
          </cell>
          <cell r="B1066">
            <v>45052</v>
          </cell>
          <cell r="C1066" t="str">
            <v>Regular</v>
          </cell>
          <cell r="D1066" t="str">
            <v>Vu 138</v>
          </cell>
          <cell r="F1066" t="str">
            <v>Q</v>
          </cell>
          <cell r="G1066">
            <v>0</v>
          </cell>
          <cell r="I1066">
            <v>0</v>
          </cell>
          <cell r="J1066">
            <v>0</v>
          </cell>
        </row>
        <row r="1067">
          <cell r="A1067">
            <v>96231250372</v>
          </cell>
          <cell r="B1067">
            <v>45052</v>
          </cell>
          <cell r="C1067" t="str">
            <v>Regular</v>
          </cell>
          <cell r="D1067" t="str">
            <v>VYN 731</v>
          </cell>
          <cell r="E1067" t="str">
            <v>disney, 08:45</v>
          </cell>
          <cell r="F1067" t="str">
            <v>QV</v>
          </cell>
          <cell r="G1067">
            <v>0</v>
          </cell>
          <cell r="I1067" t="str">
            <v>V</v>
          </cell>
          <cell r="J1067">
            <v>0</v>
          </cell>
        </row>
        <row r="1068">
          <cell r="A1068">
            <v>96231250385</v>
          </cell>
          <cell r="B1068">
            <v>45052</v>
          </cell>
          <cell r="C1068" t="str">
            <v>Regular</v>
          </cell>
          <cell r="D1068" t="str">
            <v>VYN 731</v>
          </cell>
          <cell r="E1068" t="str">
            <v>disney, 08:45</v>
          </cell>
          <cell r="F1068" t="str">
            <v>QV</v>
          </cell>
          <cell r="G1068">
            <v>0</v>
          </cell>
          <cell r="J1068">
            <v>0</v>
          </cell>
        </row>
        <row r="1069">
          <cell r="A1069">
            <v>96231250390</v>
          </cell>
          <cell r="B1069">
            <v>45052</v>
          </cell>
          <cell r="C1069" t="str">
            <v>Regular</v>
          </cell>
          <cell r="D1069" t="str">
            <v>VYN 731</v>
          </cell>
          <cell r="E1069" t="str">
            <v>disney, 08:45</v>
          </cell>
          <cell r="F1069" t="str">
            <v>QV</v>
          </cell>
          <cell r="G1069">
            <v>0</v>
          </cell>
          <cell r="H1069" t="str">
            <v>Q</v>
          </cell>
          <cell r="I1069" t="str">
            <v>V</v>
          </cell>
          <cell r="J1069">
            <v>0</v>
          </cell>
        </row>
        <row r="1070">
          <cell r="A1070">
            <v>96231250392</v>
          </cell>
          <cell r="B1070">
            <v>45052</v>
          </cell>
          <cell r="C1070" t="str">
            <v>Regular</v>
          </cell>
          <cell r="D1070" t="str">
            <v>VYN 731</v>
          </cell>
          <cell r="E1070" t="str">
            <v>disney, 08:45</v>
          </cell>
          <cell r="F1070" t="str">
            <v>QV</v>
          </cell>
          <cell r="G1070">
            <v>0</v>
          </cell>
          <cell r="H1070" t="str">
            <v>Q</v>
          </cell>
          <cell r="J1070">
            <v>0</v>
          </cell>
        </row>
        <row r="1071">
          <cell r="A1071">
            <v>96231250195</v>
          </cell>
          <cell r="B1071">
            <v>45052</v>
          </cell>
          <cell r="C1071" t="str">
            <v>Regular</v>
          </cell>
          <cell r="D1071" t="str">
            <v>LUK 138</v>
          </cell>
          <cell r="F1071" t="str">
            <v>Q V</v>
          </cell>
          <cell r="G1071">
            <v>0</v>
          </cell>
          <cell r="H1071" t="str">
            <v>Q</v>
          </cell>
          <cell r="I1071" t="str">
            <v>V</v>
          </cell>
          <cell r="J1071">
            <v>0</v>
          </cell>
        </row>
        <row r="1072">
          <cell r="A1072">
            <v>96231230324</v>
          </cell>
          <cell r="B1072">
            <v>45052</v>
          </cell>
          <cell r="C1072" t="str">
            <v>RUSH</v>
          </cell>
          <cell r="D1072" t="str">
            <v>HUYEN 151</v>
          </cell>
          <cell r="F1072" t="str">
            <v>Q V</v>
          </cell>
          <cell r="G1072">
            <v>0</v>
          </cell>
          <cell r="J1072">
            <v>0</v>
          </cell>
        </row>
        <row r="1073">
          <cell r="A1073">
            <v>96231240407</v>
          </cell>
          <cell r="B1073">
            <v>45052</v>
          </cell>
          <cell r="C1073" t="str">
            <v>Regular</v>
          </cell>
          <cell r="D1073" t="str">
            <v>HOANG 738</v>
          </cell>
          <cell r="F1073" t="str">
            <v>Q V</v>
          </cell>
          <cell r="G1073">
            <v>0</v>
          </cell>
          <cell r="H1073" t="str">
            <v>Q</v>
          </cell>
          <cell r="I1073" t="str">
            <v>V</v>
          </cell>
          <cell r="J1073">
            <v>0</v>
          </cell>
        </row>
        <row r="1074">
          <cell r="A1074">
            <v>96231240043</v>
          </cell>
          <cell r="B1074">
            <v>45052</v>
          </cell>
          <cell r="C1074" t="str">
            <v>Regular</v>
          </cell>
          <cell r="D1074" t="str">
            <v>VINCENT (698)</v>
          </cell>
          <cell r="F1074" t="str">
            <v>Q, V</v>
          </cell>
          <cell r="G1074">
            <v>0</v>
          </cell>
          <cell r="J1074">
            <v>0</v>
          </cell>
        </row>
        <row r="1075">
          <cell r="A1075">
            <v>96231230008</v>
          </cell>
          <cell r="B1075">
            <v>45052</v>
          </cell>
          <cell r="C1075" t="str">
            <v>Regular</v>
          </cell>
          <cell r="D1075" t="str">
            <v>Duy (738)</v>
          </cell>
          <cell r="F1075" t="str">
            <v>Q, V</v>
          </cell>
          <cell r="G1075">
            <v>0</v>
          </cell>
          <cell r="H1075" t="str">
            <v>Q</v>
          </cell>
          <cell r="I1075" t="str">
            <v>V</v>
          </cell>
          <cell r="J1075">
            <v>0</v>
          </cell>
        </row>
        <row r="1076">
          <cell r="A1076">
            <v>96231230009</v>
          </cell>
          <cell r="B1076">
            <v>45052</v>
          </cell>
          <cell r="C1076" t="str">
            <v>Regular</v>
          </cell>
          <cell r="D1076" t="str">
            <v>Duy (738)</v>
          </cell>
          <cell r="E1076" t="str">
            <v>refer sample 96231230008</v>
          </cell>
          <cell r="F1076" t="str">
            <v>V</v>
          </cell>
          <cell r="G1076">
            <v>0</v>
          </cell>
          <cell r="H1076">
            <v>0</v>
          </cell>
          <cell r="I1076" t="str">
            <v>V</v>
          </cell>
          <cell r="J1076">
            <v>0</v>
          </cell>
        </row>
        <row r="1077">
          <cell r="A1077">
            <v>96231240404</v>
          </cell>
          <cell r="B1077">
            <v>45052</v>
          </cell>
          <cell r="C1077" t="str">
            <v>Regular</v>
          </cell>
          <cell r="D1077" t="str">
            <v>HOANG 738</v>
          </cell>
          <cell r="F1077" t="str">
            <v>Q V</v>
          </cell>
          <cell r="G1077">
            <v>0</v>
          </cell>
          <cell r="H1077" t="str">
            <v>Q</v>
          </cell>
          <cell r="I1077" t="str">
            <v>V</v>
          </cell>
          <cell r="J1077">
            <v>0</v>
          </cell>
        </row>
        <row r="1078">
          <cell r="A1078">
            <v>96231250086</v>
          </cell>
          <cell r="B1078">
            <v>45052</v>
          </cell>
          <cell r="C1078" t="str">
            <v>Regular</v>
          </cell>
          <cell r="D1078" t="str">
            <v>VINCENT (698)</v>
          </cell>
          <cell r="F1078" t="str">
            <v>Q</v>
          </cell>
          <cell r="G1078">
            <v>0</v>
          </cell>
          <cell r="H1078" t="str">
            <v>Q</v>
          </cell>
          <cell r="I1078">
            <v>0</v>
          </cell>
          <cell r="J1078">
            <v>0</v>
          </cell>
        </row>
        <row r="1079">
          <cell r="A1079">
            <v>96231180326</v>
          </cell>
          <cell r="B1079">
            <v>45052</v>
          </cell>
          <cell r="C1079" t="str">
            <v>Regular</v>
          </cell>
          <cell r="D1079" t="str">
            <v>HAO 718</v>
          </cell>
          <cell r="F1079" t="str">
            <v>Q</v>
          </cell>
          <cell r="G1079">
            <v>0</v>
          </cell>
          <cell r="H1079" t="str">
            <v>Q</v>
          </cell>
          <cell r="I1079">
            <v>0</v>
          </cell>
          <cell r="J1079">
            <v>0</v>
          </cell>
        </row>
        <row r="1080">
          <cell r="A1080" t="str">
            <v>96231100151(2)</v>
          </cell>
          <cell r="B1080">
            <v>45052</v>
          </cell>
          <cell r="C1080" t="str">
            <v>Regular</v>
          </cell>
          <cell r="D1080" t="str">
            <v>LUK 138</v>
          </cell>
          <cell r="F1080" t="str">
            <v>Q V</v>
          </cell>
          <cell r="G1080">
            <v>0</v>
          </cell>
          <cell r="H1080" t="str">
            <v>Q</v>
          </cell>
          <cell r="I1080" t="str">
            <v>V</v>
          </cell>
          <cell r="J1080">
            <v>0</v>
          </cell>
        </row>
        <row r="1081">
          <cell r="A1081">
            <v>96231250492</v>
          </cell>
          <cell r="B1081">
            <v>45052</v>
          </cell>
          <cell r="C1081" t="str">
            <v>RUSH</v>
          </cell>
          <cell r="D1081" t="str">
            <v>JUN (151)</v>
          </cell>
          <cell r="F1081" t="str">
            <v>Q</v>
          </cell>
          <cell r="G1081">
            <v>0</v>
          </cell>
          <cell r="I1081">
            <v>0</v>
          </cell>
          <cell r="J1081">
            <v>0</v>
          </cell>
        </row>
        <row r="1082">
          <cell r="A1082">
            <v>96231250489</v>
          </cell>
          <cell r="B1082">
            <v>45052</v>
          </cell>
          <cell r="C1082" t="str">
            <v>RUSH</v>
          </cell>
          <cell r="D1082" t="str">
            <v>JUN (151)</v>
          </cell>
          <cell r="F1082" t="str">
            <v>Q</v>
          </cell>
          <cell r="G1082">
            <v>0</v>
          </cell>
          <cell r="I1082">
            <v>0</v>
          </cell>
          <cell r="J1082">
            <v>0</v>
          </cell>
        </row>
        <row r="1083">
          <cell r="A1083">
            <v>96231250486</v>
          </cell>
          <cell r="B1083">
            <v>45052</v>
          </cell>
          <cell r="C1083" t="str">
            <v>RUSH</v>
          </cell>
          <cell r="D1083" t="str">
            <v>JUN (151)</v>
          </cell>
          <cell r="F1083" t="str">
            <v>Q V</v>
          </cell>
          <cell r="G1083">
            <v>0</v>
          </cell>
          <cell r="J1083">
            <v>0</v>
          </cell>
        </row>
        <row r="1084">
          <cell r="A1084">
            <v>96231260009</v>
          </cell>
          <cell r="B1084">
            <v>45052</v>
          </cell>
          <cell r="C1084" t="str">
            <v>Regular</v>
          </cell>
          <cell r="D1084" t="str">
            <v>VYN 731</v>
          </cell>
          <cell r="E1084" t="str">
            <v>DISNEY, 13:00</v>
          </cell>
          <cell r="F1084" t="str">
            <v>QV</v>
          </cell>
          <cell r="G1084">
            <v>0</v>
          </cell>
          <cell r="J1084">
            <v>0</v>
          </cell>
        </row>
        <row r="1085">
          <cell r="A1085">
            <v>96231260018</v>
          </cell>
          <cell r="B1085">
            <v>45052</v>
          </cell>
          <cell r="C1085" t="str">
            <v>Regular</v>
          </cell>
          <cell r="D1085" t="str">
            <v>VYN 731</v>
          </cell>
          <cell r="E1085" t="str">
            <v>DISNEY, 13:00, RF SP 96231260009</v>
          </cell>
          <cell r="F1085" t="str">
            <v>QV</v>
          </cell>
          <cell r="G1085">
            <v>0</v>
          </cell>
          <cell r="H1085" t="str">
            <v>Q</v>
          </cell>
          <cell r="J1085">
            <v>0</v>
          </cell>
        </row>
        <row r="1086">
          <cell r="A1086">
            <v>96231260021</v>
          </cell>
          <cell r="B1086">
            <v>45052</v>
          </cell>
          <cell r="C1086" t="str">
            <v>Regular</v>
          </cell>
          <cell r="D1086" t="str">
            <v>VYN 731</v>
          </cell>
          <cell r="E1086" t="str">
            <v>DISNEY, 13:00, RF SP 96231260009</v>
          </cell>
          <cell r="F1086" t="str">
            <v>QV</v>
          </cell>
          <cell r="G1086">
            <v>0</v>
          </cell>
          <cell r="H1086" t="str">
            <v>Q</v>
          </cell>
          <cell r="J1086">
            <v>0</v>
          </cell>
        </row>
        <row r="1087">
          <cell r="A1087">
            <v>96231260023</v>
          </cell>
          <cell r="B1087">
            <v>45052</v>
          </cell>
          <cell r="C1087" t="str">
            <v>Regular</v>
          </cell>
          <cell r="D1087" t="str">
            <v>VYN 731</v>
          </cell>
          <cell r="E1087" t="str">
            <v>DISNEY, 13:00, RF SP 96231260009</v>
          </cell>
          <cell r="F1087" t="str">
            <v>QV</v>
          </cell>
          <cell r="G1087">
            <v>0</v>
          </cell>
          <cell r="J1087">
            <v>0</v>
          </cell>
        </row>
        <row r="1088">
          <cell r="A1088">
            <v>96231260024</v>
          </cell>
          <cell r="B1088">
            <v>45052</v>
          </cell>
          <cell r="C1088" t="str">
            <v>Regular</v>
          </cell>
          <cell r="D1088" t="str">
            <v>VYN 731</v>
          </cell>
          <cell r="E1088" t="str">
            <v>DISNEY, 13:00, RF SP 96231260009</v>
          </cell>
          <cell r="F1088" t="str">
            <v>QV</v>
          </cell>
          <cell r="G1088">
            <v>0</v>
          </cell>
          <cell r="H1088" t="str">
            <v>Q</v>
          </cell>
          <cell r="J1088">
            <v>0</v>
          </cell>
        </row>
        <row r="1089">
          <cell r="A1089">
            <v>96230880115</v>
          </cell>
          <cell r="B1089">
            <v>45052</v>
          </cell>
          <cell r="C1089" t="str">
            <v>Regular</v>
          </cell>
          <cell r="D1089" t="str">
            <v>HOANG 738</v>
          </cell>
          <cell r="F1089" t="str">
            <v>Q V</v>
          </cell>
          <cell r="G1089">
            <v>0</v>
          </cell>
          <cell r="H1089" t="str">
            <v>Q</v>
          </cell>
          <cell r="I1089" t="str">
            <v>V</v>
          </cell>
          <cell r="J1089">
            <v>0</v>
          </cell>
        </row>
        <row r="1090">
          <cell r="A1090">
            <v>96231260144</v>
          </cell>
          <cell r="B1090">
            <v>45052</v>
          </cell>
          <cell r="C1090" t="str">
            <v>Regular</v>
          </cell>
          <cell r="D1090" t="str">
            <v>NGOC 697</v>
          </cell>
          <cell r="E1090" t="str">
            <v>DISNEY, 14:21</v>
          </cell>
          <cell r="F1090" t="str">
            <v>AVQ</v>
          </cell>
          <cell r="H1090" t="str">
            <v>Q</v>
          </cell>
          <cell r="I1090" t="str">
            <v>V</v>
          </cell>
          <cell r="J1090">
            <v>0</v>
          </cell>
        </row>
        <row r="1091">
          <cell r="A1091">
            <v>96231260115</v>
          </cell>
          <cell r="B1091">
            <v>45052</v>
          </cell>
          <cell r="C1091" t="str">
            <v>Regular</v>
          </cell>
          <cell r="D1091" t="str">
            <v>NGOC 697</v>
          </cell>
          <cell r="E1091" t="str">
            <v>DISNEY, 14:21</v>
          </cell>
          <cell r="F1091" t="str">
            <v>VQ</v>
          </cell>
          <cell r="G1091">
            <v>0</v>
          </cell>
          <cell r="H1091" t="str">
            <v>Q</v>
          </cell>
          <cell r="I1091" t="str">
            <v>V</v>
          </cell>
          <cell r="J1091">
            <v>0</v>
          </cell>
        </row>
        <row r="1092">
          <cell r="A1092">
            <v>96231040369</v>
          </cell>
          <cell r="B1092">
            <v>45052</v>
          </cell>
          <cell r="C1092" t="str">
            <v>Regular</v>
          </cell>
          <cell r="D1092" t="str">
            <v>Vu 138</v>
          </cell>
          <cell r="F1092" t="str">
            <v>Q</v>
          </cell>
          <cell r="G1092">
            <v>0</v>
          </cell>
          <cell r="H1092" t="str">
            <v>Q</v>
          </cell>
          <cell r="I1092">
            <v>0</v>
          </cell>
          <cell r="J1092">
            <v>0</v>
          </cell>
        </row>
        <row r="1093">
          <cell r="A1093">
            <v>96230890354</v>
          </cell>
          <cell r="B1093">
            <v>45052</v>
          </cell>
          <cell r="C1093" t="str">
            <v>PRIORITY</v>
          </cell>
          <cell r="D1093" t="str">
            <v>Duy (738)</v>
          </cell>
          <cell r="F1093" t="str">
            <v>Q, V</v>
          </cell>
          <cell r="G1093">
            <v>0</v>
          </cell>
          <cell r="J1093">
            <v>0</v>
          </cell>
        </row>
        <row r="1094">
          <cell r="A1094">
            <v>96231240207</v>
          </cell>
          <cell r="B1094">
            <v>45052</v>
          </cell>
          <cell r="C1094" t="str">
            <v>Regular</v>
          </cell>
          <cell r="D1094" t="str">
            <v>HUYEN 151</v>
          </cell>
          <cell r="F1094" t="str">
            <v>Q</v>
          </cell>
          <cell r="G1094">
            <v>0</v>
          </cell>
          <cell r="H1094" t="str">
            <v>Q</v>
          </cell>
          <cell r="I1094">
            <v>0</v>
          </cell>
          <cell r="J1094">
            <v>0</v>
          </cell>
        </row>
        <row r="1095">
          <cell r="A1095">
            <v>96231240204</v>
          </cell>
          <cell r="B1095">
            <v>45052</v>
          </cell>
          <cell r="C1095" t="str">
            <v>Regular</v>
          </cell>
          <cell r="D1095" t="str">
            <v>HUYEN 151</v>
          </cell>
          <cell r="F1095" t="str">
            <v>Q</v>
          </cell>
          <cell r="G1095">
            <v>0</v>
          </cell>
          <cell r="I1095">
            <v>0</v>
          </cell>
          <cell r="J1095">
            <v>0</v>
          </cell>
        </row>
        <row r="1096">
          <cell r="A1096">
            <v>96231240198</v>
          </cell>
          <cell r="B1096">
            <v>45052</v>
          </cell>
          <cell r="C1096" t="str">
            <v>Regular</v>
          </cell>
          <cell r="D1096" t="str">
            <v>HUYEN 151</v>
          </cell>
          <cell r="F1096" t="str">
            <v>Q</v>
          </cell>
          <cell r="G1096">
            <v>0</v>
          </cell>
          <cell r="I1096">
            <v>0</v>
          </cell>
          <cell r="J1096">
            <v>0</v>
          </cell>
        </row>
        <row r="1097">
          <cell r="A1097">
            <v>96231240209</v>
          </cell>
          <cell r="B1097">
            <v>45052</v>
          </cell>
          <cell r="C1097" t="str">
            <v>Regular</v>
          </cell>
          <cell r="D1097" t="str">
            <v>HUYEN 151</v>
          </cell>
          <cell r="F1097" t="str">
            <v>Q</v>
          </cell>
          <cell r="G1097">
            <v>0</v>
          </cell>
          <cell r="I1097">
            <v>0</v>
          </cell>
          <cell r="J1097">
            <v>0</v>
          </cell>
        </row>
        <row r="1098">
          <cell r="A1098">
            <v>96231140325</v>
          </cell>
          <cell r="B1098">
            <v>45052</v>
          </cell>
          <cell r="C1098" t="str">
            <v>Regular</v>
          </cell>
          <cell r="D1098" t="str">
            <v>GIB 718</v>
          </cell>
          <cell r="F1098" t="str">
            <v>Q</v>
          </cell>
          <cell r="G1098">
            <v>0</v>
          </cell>
          <cell r="H1098" t="str">
            <v>Q</v>
          </cell>
          <cell r="I1098">
            <v>0</v>
          </cell>
          <cell r="J1098">
            <v>0</v>
          </cell>
        </row>
        <row r="1099">
          <cell r="A1099">
            <v>96231260174</v>
          </cell>
          <cell r="B1099">
            <v>45052</v>
          </cell>
          <cell r="C1099" t="str">
            <v>Regular</v>
          </cell>
          <cell r="D1099" t="str">
            <v>MARIS 619</v>
          </cell>
          <cell r="E1099" t="str">
            <v>DISNEY 16:30</v>
          </cell>
          <cell r="F1099" t="str">
            <v>Q V</v>
          </cell>
          <cell r="G1099">
            <v>0</v>
          </cell>
          <cell r="H1099" t="str">
            <v>Q</v>
          </cell>
          <cell r="I1099" t="str">
            <v>V</v>
          </cell>
          <cell r="J1099">
            <v>0</v>
          </cell>
        </row>
        <row r="1100">
          <cell r="A1100">
            <v>96231260213</v>
          </cell>
          <cell r="B1100">
            <v>45052</v>
          </cell>
          <cell r="C1100" t="str">
            <v>Regular</v>
          </cell>
          <cell r="D1100" t="str">
            <v>MARIS 619</v>
          </cell>
          <cell r="E1100" t="str">
            <v>DISNEY - RF SP 96231260174</v>
          </cell>
          <cell r="F1100" t="str">
            <v>Q V</v>
          </cell>
          <cell r="G1100">
            <v>0</v>
          </cell>
          <cell r="J1100">
            <v>0</v>
          </cell>
        </row>
        <row r="1101">
          <cell r="A1101">
            <v>96231260210</v>
          </cell>
          <cell r="B1101">
            <v>45052</v>
          </cell>
          <cell r="C1101" t="str">
            <v>Regular</v>
          </cell>
          <cell r="D1101" t="str">
            <v>MARIS 619</v>
          </cell>
          <cell r="E1101" t="str">
            <v>DISNEY - RF SP 96231260174</v>
          </cell>
          <cell r="F1101" t="str">
            <v>A Q V</v>
          </cell>
          <cell r="G1101" t="str">
            <v>A</v>
          </cell>
          <cell r="H1101" t="str">
            <v>Q</v>
          </cell>
          <cell r="I1101" t="str">
            <v>V</v>
          </cell>
          <cell r="J1101">
            <v>0</v>
          </cell>
        </row>
        <row r="1102">
          <cell r="A1102">
            <v>96231260208</v>
          </cell>
          <cell r="B1102">
            <v>45052</v>
          </cell>
          <cell r="C1102" t="str">
            <v>Regular</v>
          </cell>
          <cell r="D1102" t="str">
            <v>MARIS 619</v>
          </cell>
          <cell r="E1102" t="str">
            <v>DISNEY - RF SP 96231260174</v>
          </cell>
          <cell r="F1102" t="str">
            <v>Q V</v>
          </cell>
          <cell r="G1102">
            <v>0</v>
          </cell>
          <cell r="H1102" t="str">
            <v>Q</v>
          </cell>
          <cell r="J1102">
            <v>0</v>
          </cell>
        </row>
        <row r="1103">
          <cell r="A1103">
            <v>96231260202</v>
          </cell>
          <cell r="B1103">
            <v>45052</v>
          </cell>
          <cell r="C1103" t="str">
            <v>Regular</v>
          </cell>
          <cell r="D1103" t="str">
            <v>MARIS 619</v>
          </cell>
          <cell r="E1103" t="str">
            <v>DISNEY - RF SP 96231260174</v>
          </cell>
          <cell r="F1103" t="str">
            <v>A Q V</v>
          </cell>
          <cell r="G1103" t="str">
            <v>A</v>
          </cell>
          <cell r="H1103" t="str">
            <v>Q</v>
          </cell>
          <cell r="I1103" t="str">
            <v>V</v>
          </cell>
          <cell r="J1103">
            <v>0</v>
          </cell>
        </row>
        <row r="1104">
          <cell r="A1104">
            <v>96231260201</v>
          </cell>
          <cell r="B1104">
            <v>45052</v>
          </cell>
          <cell r="C1104" t="str">
            <v>Regular</v>
          </cell>
          <cell r="D1104" t="str">
            <v>MARIS 619</v>
          </cell>
          <cell r="E1104" t="str">
            <v>DISNEY - RF SP 96231260174</v>
          </cell>
          <cell r="F1104" t="str">
            <v>A Q V</v>
          </cell>
          <cell r="H1104" t="str">
            <v>Q</v>
          </cell>
          <cell r="J1104">
            <v>0</v>
          </cell>
        </row>
        <row r="1105">
          <cell r="A1105">
            <v>96231260195</v>
          </cell>
          <cell r="B1105">
            <v>45052</v>
          </cell>
          <cell r="C1105" t="str">
            <v>Regular</v>
          </cell>
          <cell r="D1105" t="str">
            <v>MARIS 619</v>
          </cell>
          <cell r="E1105" t="str">
            <v>DISNEY - RF SP 96231260174</v>
          </cell>
          <cell r="F1105" t="str">
            <v>Q V</v>
          </cell>
          <cell r="G1105">
            <v>0</v>
          </cell>
          <cell r="H1105" t="str">
            <v>Q</v>
          </cell>
          <cell r="J1105">
            <v>0</v>
          </cell>
        </row>
        <row r="1106">
          <cell r="A1106">
            <v>96231260197</v>
          </cell>
          <cell r="B1106">
            <v>45052</v>
          </cell>
          <cell r="C1106" t="str">
            <v>Regular</v>
          </cell>
          <cell r="D1106" t="str">
            <v>MARIS 619</v>
          </cell>
          <cell r="E1106" t="str">
            <v>DISNEY - RF SP 96231260174</v>
          </cell>
          <cell r="F1106" t="str">
            <v>A Q V</v>
          </cell>
          <cell r="H1106" t="str">
            <v>Q</v>
          </cell>
          <cell r="J1106">
            <v>0</v>
          </cell>
        </row>
        <row r="1107">
          <cell r="A1107">
            <v>96231260193</v>
          </cell>
          <cell r="B1107">
            <v>45052</v>
          </cell>
          <cell r="C1107" t="str">
            <v>Regular</v>
          </cell>
          <cell r="D1107" t="str">
            <v>MARIS 619</v>
          </cell>
          <cell r="E1107" t="str">
            <v>DISNEY - RF SP 96231260174</v>
          </cell>
          <cell r="F1107" t="str">
            <v>A Q V</v>
          </cell>
          <cell r="H1107" t="str">
            <v>Q</v>
          </cell>
          <cell r="J1107">
            <v>0</v>
          </cell>
        </row>
        <row r="1108">
          <cell r="A1108">
            <v>96231260145</v>
          </cell>
          <cell r="B1108">
            <v>45052</v>
          </cell>
          <cell r="C1108" t="str">
            <v>Regular</v>
          </cell>
          <cell r="D1108" t="str">
            <v>VYN 731</v>
          </cell>
          <cell r="E1108" t="str">
            <v>RETEST 96231080580</v>
          </cell>
          <cell r="F1108" t="str">
            <v>V</v>
          </cell>
          <cell r="G1108">
            <v>0</v>
          </cell>
          <cell r="H1108">
            <v>0</v>
          </cell>
          <cell r="I1108" t="str">
            <v>V</v>
          </cell>
          <cell r="J1108">
            <v>0</v>
          </cell>
        </row>
        <row r="1109">
          <cell r="A1109">
            <v>96231250015</v>
          </cell>
          <cell r="B1109">
            <v>45052</v>
          </cell>
          <cell r="C1109" t="str">
            <v>Regular</v>
          </cell>
          <cell r="D1109" t="str">
            <v>Duy (738)</v>
          </cell>
          <cell r="F1109" t="str">
            <v xml:space="preserve">Q, V </v>
          </cell>
          <cell r="G1109">
            <v>0</v>
          </cell>
          <cell r="H1109" t="str">
            <v>Q</v>
          </cell>
          <cell r="I1109" t="str">
            <v>V</v>
          </cell>
          <cell r="J1109">
            <v>0</v>
          </cell>
        </row>
        <row r="1110">
          <cell r="A1110">
            <v>96231250265</v>
          </cell>
          <cell r="B1110">
            <v>45052</v>
          </cell>
          <cell r="C1110" t="str">
            <v>Regular</v>
          </cell>
          <cell r="D1110" t="str">
            <v>Duy (738)</v>
          </cell>
          <cell r="E1110" t="str">
            <v>refer sample 96231250015</v>
          </cell>
          <cell r="F1110" t="str">
            <v>Q</v>
          </cell>
          <cell r="G1110">
            <v>0</v>
          </cell>
          <cell r="H1110" t="str">
            <v>Q</v>
          </cell>
          <cell r="I1110">
            <v>0</v>
          </cell>
          <cell r="J1110">
            <v>0</v>
          </cell>
        </row>
        <row r="1111">
          <cell r="A1111">
            <v>96231240098</v>
          </cell>
          <cell r="B1111">
            <v>45052</v>
          </cell>
          <cell r="C1111" t="str">
            <v>Regular</v>
          </cell>
          <cell r="D1111" t="str">
            <v>HUYEN 151</v>
          </cell>
          <cell r="F1111" t="str">
            <v>Q V</v>
          </cell>
          <cell r="G1111">
            <v>0</v>
          </cell>
          <cell r="H1111" t="str">
            <v>Q</v>
          </cell>
          <cell r="I1111" t="str">
            <v>V</v>
          </cell>
          <cell r="J1111">
            <v>0</v>
          </cell>
        </row>
        <row r="1112">
          <cell r="A1112">
            <v>96231260522</v>
          </cell>
          <cell r="B1112">
            <v>45054</v>
          </cell>
          <cell r="C1112" t="str">
            <v>Regular</v>
          </cell>
          <cell r="D1112" t="str">
            <v>HOANG 738</v>
          </cell>
          <cell r="F1112" t="str">
            <v>Q V</v>
          </cell>
          <cell r="G1112">
            <v>0</v>
          </cell>
          <cell r="H1112" t="str">
            <v>Q</v>
          </cell>
          <cell r="I1112" t="str">
            <v>V</v>
          </cell>
          <cell r="J1112">
            <v>0</v>
          </cell>
        </row>
        <row r="1113">
          <cell r="A1113">
            <v>96231250475</v>
          </cell>
          <cell r="B1113">
            <v>45054</v>
          </cell>
          <cell r="C1113" t="str">
            <v>Regular</v>
          </cell>
          <cell r="D1113" t="str">
            <v>MARIS 619</v>
          </cell>
          <cell r="F1113" t="str">
            <v>QV</v>
          </cell>
          <cell r="G1113">
            <v>0</v>
          </cell>
          <cell r="H1113" t="str">
            <v>Q</v>
          </cell>
          <cell r="I1113" t="str">
            <v>V</v>
          </cell>
          <cell r="J1113">
            <v>0</v>
          </cell>
        </row>
        <row r="1114">
          <cell r="A1114">
            <v>96231260535</v>
          </cell>
          <cell r="B1114">
            <v>45054</v>
          </cell>
          <cell r="C1114" t="str">
            <v>Regular</v>
          </cell>
          <cell r="D1114" t="str">
            <v>VYN 731</v>
          </cell>
          <cell r="E1114" t="str">
            <v>DISNEY</v>
          </cell>
          <cell r="F1114" t="str">
            <v>QV</v>
          </cell>
          <cell r="G1114">
            <v>0</v>
          </cell>
          <cell r="H1114" t="str">
            <v>Q</v>
          </cell>
          <cell r="I1114" t="str">
            <v>V</v>
          </cell>
          <cell r="J1114">
            <v>0</v>
          </cell>
        </row>
        <row r="1115">
          <cell r="A1115">
            <v>96231260540</v>
          </cell>
          <cell r="B1115">
            <v>45054</v>
          </cell>
          <cell r="C1115" t="str">
            <v>Regular</v>
          </cell>
          <cell r="D1115" t="str">
            <v>VYN 731</v>
          </cell>
          <cell r="E1115" t="str">
            <v>DISNEY</v>
          </cell>
          <cell r="F1115" t="str">
            <v>QV</v>
          </cell>
          <cell r="G1115">
            <v>0</v>
          </cell>
          <cell r="H1115" t="str">
            <v>Q</v>
          </cell>
          <cell r="I1115" t="str">
            <v>V</v>
          </cell>
          <cell r="J1115">
            <v>0</v>
          </cell>
        </row>
        <row r="1116">
          <cell r="A1116" t="str">
            <v>96231180504(2)</v>
          </cell>
          <cell r="B1116">
            <v>45054</v>
          </cell>
          <cell r="C1116" t="str">
            <v>PRIORITY</v>
          </cell>
          <cell r="D1116" t="str">
            <v>MINH 718</v>
          </cell>
          <cell r="F1116" t="str">
            <v>Q</v>
          </cell>
          <cell r="G1116">
            <v>0</v>
          </cell>
          <cell r="I1116">
            <v>0</v>
          </cell>
          <cell r="J1116">
            <v>0</v>
          </cell>
        </row>
        <row r="1117">
          <cell r="A1117">
            <v>96231280136</v>
          </cell>
          <cell r="B1117">
            <v>45054</v>
          </cell>
          <cell r="C1117" t="str">
            <v>Regular</v>
          </cell>
          <cell r="D1117" t="str">
            <v>JH 698</v>
          </cell>
          <cell r="E1117" t="str">
            <v>MATTEL</v>
          </cell>
          <cell r="F1117" t="str">
            <v>Q,V</v>
          </cell>
          <cell r="G1117">
            <v>0</v>
          </cell>
          <cell r="H1117" t="str">
            <v>Q</v>
          </cell>
          <cell r="I1117" t="str">
            <v>V</v>
          </cell>
          <cell r="J1117">
            <v>0</v>
          </cell>
        </row>
        <row r="1118">
          <cell r="A1118">
            <v>96231280196</v>
          </cell>
          <cell r="B1118">
            <v>45054</v>
          </cell>
          <cell r="C1118" t="str">
            <v>Regular</v>
          </cell>
          <cell r="D1118" t="str">
            <v>VYN 731</v>
          </cell>
          <cell r="E1118" t="str">
            <v>disney</v>
          </cell>
          <cell r="F1118" t="str">
            <v>QV</v>
          </cell>
          <cell r="G1118">
            <v>0</v>
          </cell>
          <cell r="H1118" t="str">
            <v>Q</v>
          </cell>
          <cell r="I1118" t="str">
            <v>V</v>
          </cell>
          <cell r="J1118">
            <v>0</v>
          </cell>
        </row>
        <row r="1119">
          <cell r="A1119">
            <v>96231260033</v>
          </cell>
          <cell r="B1119">
            <v>45054</v>
          </cell>
          <cell r="C1119" t="str">
            <v>Regular</v>
          </cell>
          <cell r="D1119" t="str">
            <v>CEP (138)</v>
          </cell>
          <cell r="F1119" t="str">
            <v>Q</v>
          </cell>
          <cell r="G1119">
            <v>0</v>
          </cell>
          <cell r="I1119">
            <v>0</v>
          </cell>
          <cell r="J1119">
            <v>0</v>
          </cell>
        </row>
        <row r="1120">
          <cell r="A1120">
            <v>96231280021</v>
          </cell>
          <cell r="B1120">
            <v>45054</v>
          </cell>
          <cell r="C1120" t="str">
            <v>Regular</v>
          </cell>
          <cell r="D1120" t="str">
            <v>NGOC 697</v>
          </cell>
          <cell r="E1120" t="str">
            <v>DISNEY, 15:27</v>
          </cell>
          <cell r="F1120" t="str">
            <v>Q V</v>
          </cell>
          <cell r="G1120">
            <v>0</v>
          </cell>
          <cell r="H1120" t="str">
            <v>Q</v>
          </cell>
          <cell r="I1120" t="str">
            <v>V</v>
          </cell>
          <cell r="J1120">
            <v>0</v>
          </cell>
        </row>
        <row r="1121">
          <cell r="A1121">
            <v>96231280022</v>
          </cell>
          <cell r="B1121">
            <v>45054</v>
          </cell>
          <cell r="C1121" t="str">
            <v>Regular</v>
          </cell>
          <cell r="D1121" t="str">
            <v>NGOC 697</v>
          </cell>
          <cell r="E1121" t="str">
            <v>DISNEY, 15:27</v>
          </cell>
          <cell r="F1121" t="str">
            <v>Q V</v>
          </cell>
          <cell r="G1121">
            <v>0</v>
          </cell>
          <cell r="H1121" t="str">
            <v>Q</v>
          </cell>
          <cell r="J1121">
            <v>0</v>
          </cell>
        </row>
        <row r="1122">
          <cell r="A1122">
            <v>96231280024</v>
          </cell>
          <cell r="B1122">
            <v>45054</v>
          </cell>
          <cell r="C1122" t="str">
            <v>Regular</v>
          </cell>
          <cell r="D1122" t="str">
            <v>NGOC 697</v>
          </cell>
          <cell r="E1122" t="str">
            <v>DISNEY, 15:27</v>
          </cell>
          <cell r="F1122" t="str">
            <v>Q V A</v>
          </cell>
          <cell r="H1122" t="str">
            <v>Q</v>
          </cell>
          <cell r="I1122" t="str">
            <v>V</v>
          </cell>
          <cell r="J1122">
            <v>0</v>
          </cell>
        </row>
        <row r="1123">
          <cell r="A1123">
            <v>96231280028</v>
          </cell>
          <cell r="B1123">
            <v>45054</v>
          </cell>
          <cell r="C1123" t="str">
            <v>Regular</v>
          </cell>
          <cell r="D1123" t="str">
            <v>NGOC 697</v>
          </cell>
          <cell r="E1123" t="str">
            <v>DISNEY, 15:27</v>
          </cell>
          <cell r="F1123" t="str">
            <v>Q V</v>
          </cell>
          <cell r="G1123">
            <v>0</v>
          </cell>
          <cell r="H1123" t="str">
            <v>Q</v>
          </cell>
          <cell r="J1123">
            <v>0</v>
          </cell>
        </row>
        <row r="1124">
          <cell r="A1124">
            <v>96231280030</v>
          </cell>
          <cell r="B1124">
            <v>45054</v>
          </cell>
          <cell r="C1124" t="str">
            <v>Regular</v>
          </cell>
          <cell r="D1124" t="str">
            <v>NGOC 697</v>
          </cell>
          <cell r="E1124" t="str">
            <v>DISNEY, 15:27</v>
          </cell>
          <cell r="F1124" t="str">
            <v>Q V</v>
          </cell>
          <cell r="G1124">
            <v>0</v>
          </cell>
          <cell r="H1124" t="str">
            <v>Q</v>
          </cell>
          <cell r="J1124">
            <v>0</v>
          </cell>
        </row>
        <row r="1125">
          <cell r="A1125">
            <v>96231250257</v>
          </cell>
          <cell r="B1125">
            <v>45054</v>
          </cell>
          <cell r="C1125" t="str">
            <v>Regular</v>
          </cell>
          <cell r="D1125" t="str">
            <v>HAO 718</v>
          </cell>
          <cell r="F1125" t="str">
            <v xml:space="preserve">Q V X </v>
          </cell>
          <cell r="G1125">
            <v>0</v>
          </cell>
          <cell r="H1125" t="str">
            <v>Q</v>
          </cell>
          <cell r="I1125" t="str">
            <v>V</v>
          </cell>
          <cell r="J1125" t="str">
            <v>X</v>
          </cell>
        </row>
        <row r="1126">
          <cell r="A1126">
            <v>96231260501</v>
          </cell>
          <cell r="B1126">
            <v>45054</v>
          </cell>
          <cell r="C1126" t="str">
            <v>RUSH</v>
          </cell>
          <cell r="D1126" t="str">
            <v>HUYEN 151</v>
          </cell>
          <cell r="F1126" t="str">
            <v>Q V</v>
          </cell>
          <cell r="G1126">
            <v>0</v>
          </cell>
          <cell r="H1126" t="str">
            <v>Q</v>
          </cell>
          <cell r="I1126" t="str">
            <v>V</v>
          </cell>
          <cell r="J1126">
            <v>0</v>
          </cell>
        </row>
        <row r="1127">
          <cell r="A1127">
            <v>96231260504</v>
          </cell>
          <cell r="B1127">
            <v>45054</v>
          </cell>
          <cell r="C1127" t="str">
            <v>Regular</v>
          </cell>
          <cell r="D1127" t="str">
            <v>HUYEN 151</v>
          </cell>
          <cell r="F1127" t="str">
            <v>Q V</v>
          </cell>
          <cell r="G1127">
            <v>0</v>
          </cell>
          <cell r="H1127" t="str">
            <v>Q</v>
          </cell>
          <cell r="I1127" t="str">
            <v>V</v>
          </cell>
          <cell r="J1127">
            <v>0</v>
          </cell>
        </row>
        <row r="1128">
          <cell r="A1128">
            <v>96231280341</v>
          </cell>
          <cell r="B1128">
            <v>45054</v>
          </cell>
          <cell r="C1128" t="str">
            <v>Regular</v>
          </cell>
          <cell r="D1128" t="str">
            <v>VYN 731</v>
          </cell>
          <cell r="E1128" t="str">
            <v>DISNEY</v>
          </cell>
          <cell r="F1128" t="str">
            <v>QV</v>
          </cell>
          <cell r="G1128">
            <v>0</v>
          </cell>
          <cell r="H1128" t="str">
            <v>Q</v>
          </cell>
          <cell r="J1128">
            <v>0</v>
          </cell>
        </row>
        <row r="1129">
          <cell r="A1129">
            <v>96231280353</v>
          </cell>
          <cell r="B1129">
            <v>45054</v>
          </cell>
          <cell r="C1129" t="str">
            <v>Regular</v>
          </cell>
          <cell r="D1129" t="str">
            <v>VYN 731</v>
          </cell>
          <cell r="E1129" t="str">
            <v>DISNEY</v>
          </cell>
          <cell r="F1129" t="str">
            <v>QV</v>
          </cell>
          <cell r="G1129">
            <v>0</v>
          </cell>
          <cell r="H1129" t="str">
            <v>Q</v>
          </cell>
          <cell r="I1129" t="str">
            <v>V</v>
          </cell>
          <cell r="J1129">
            <v>0</v>
          </cell>
        </row>
        <row r="1130">
          <cell r="A1130">
            <v>96231280362</v>
          </cell>
          <cell r="B1130">
            <v>45054</v>
          </cell>
          <cell r="C1130" t="str">
            <v>Regular</v>
          </cell>
          <cell r="D1130" t="str">
            <v>VYN 731</v>
          </cell>
          <cell r="E1130" t="str">
            <v>DISNEY</v>
          </cell>
          <cell r="F1130" t="str">
            <v>QV</v>
          </cell>
          <cell r="G1130">
            <v>0</v>
          </cell>
          <cell r="H1130" t="str">
            <v>Q</v>
          </cell>
          <cell r="I1130" t="str">
            <v>V</v>
          </cell>
          <cell r="J1130">
            <v>0</v>
          </cell>
        </row>
        <row r="1131">
          <cell r="A1131">
            <v>96231280364</v>
          </cell>
          <cell r="B1131">
            <v>45054</v>
          </cell>
          <cell r="C1131" t="str">
            <v>Regular</v>
          </cell>
          <cell r="D1131" t="str">
            <v>VYN 731</v>
          </cell>
          <cell r="E1131" t="str">
            <v>DISNEY</v>
          </cell>
          <cell r="F1131" t="str">
            <v>AQV</v>
          </cell>
          <cell r="G1131" t="str">
            <v>A</v>
          </cell>
          <cell r="H1131" t="str">
            <v>Q</v>
          </cell>
          <cell r="I1131" t="str">
            <v>V</v>
          </cell>
          <cell r="J1131">
            <v>0</v>
          </cell>
        </row>
        <row r="1132">
          <cell r="A1132">
            <v>96231260509</v>
          </cell>
          <cell r="B1132">
            <v>45054</v>
          </cell>
          <cell r="C1132" t="str">
            <v>Regular</v>
          </cell>
          <cell r="D1132" t="str">
            <v>CEP (138)</v>
          </cell>
          <cell r="F1132" t="str">
            <v>Q</v>
          </cell>
          <cell r="G1132">
            <v>0</v>
          </cell>
          <cell r="H1132" t="str">
            <v>Q</v>
          </cell>
          <cell r="I1132">
            <v>0</v>
          </cell>
          <cell r="J1132">
            <v>0</v>
          </cell>
        </row>
        <row r="1133">
          <cell r="A1133">
            <v>96231260500</v>
          </cell>
          <cell r="B1133">
            <v>45054</v>
          </cell>
          <cell r="C1133" t="str">
            <v>Regular</v>
          </cell>
          <cell r="D1133" t="str">
            <v>VINCENT (698)</v>
          </cell>
          <cell r="F1133" t="str">
            <v>Q, V</v>
          </cell>
          <cell r="G1133">
            <v>0</v>
          </cell>
          <cell r="H1133" t="str">
            <v>Q</v>
          </cell>
          <cell r="I1133" t="str">
            <v>V</v>
          </cell>
          <cell r="J1133">
            <v>0</v>
          </cell>
        </row>
        <row r="1134">
          <cell r="A1134" t="str">
            <v>96231160571(2)</v>
          </cell>
          <cell r="B1134">
            <v>45054</v>
          </cell>
          <cell r="C1134" t="str">
            <v>Regular</v>
          </cell>
          <cell r="D1134" t="str">
            <v>Vu 138</v>
          </cell>
          <cell r="F1134" t="str">
            <v>Q</v>
          </cell>
          <cell r="G1134">
            <v>0</v>
          </cell>
          <cell r="H1134" t="str">
            <v>Q</v>
          </cell>
          <cell r="I1134">
            <v>0</v>
          </cell>
          <cell r="J1134">
            <v>0</v>
          </cell>
        </row>
        <row r="1135">
          <cell r="A1135">
            <v>96231250173</v>
          </cell>
          <cell r="B1135">
            <v>45054</v>
          </cell>
          <cell r="C1135" t="str">
            <v>Regular</v>
          </cell>
          <cell r="D1135" t="str">
            <v>MARIS 619</v>
          </cell>
          <cell r="F1135" t="str">
            <v>Q</v>
          </cell>
          <cell r="G1135">
            <v>0</v>
          </cell>
          <cell r="H1135" t="str">
            <v>Q</v>
          </cell>
          <cell r="I1135">
            <v>0</v>
          </cell>
          <cell r="J1135">
            <v>0</v>
          </cell>
        </row>
        <row r="1136">
          <cell r="A1136">
            <v>96231090560</v>
          </cell>
          <cell r="B1136">
            <v>45050</v>
          </cell>
          <cell r="C1136" t="str">
            <v>Regular</v>
          </cell>
          <cell r="D1136" t="str">
            <v>FANTOM(719)</v>
          </cell>
          <cell r="F1136" t="str">
            <v>A</v>
          </cell>
          <cell r="G1136" t="str">
            <v>A</v>
          </cell>
          <cell r="H1136">
            <v>0</v>
          </cell>
          <cell r="I1136">
            <v>0</v>
          </cell>
          <cell r="J1136">
            <v>0</v>
          </cell>
        </row>
        <row r="1137">
          <cell r="A1137">
            <v>96231150359</v>
          </cell>
          <cell r="B1137">
            <v>45050</v>
          </cell>
          <cell r="C1137" t="str">
            <v>Regular</v>
          </cell>
          <cell r="D1137" t="str">
            <v>Duy (738)</v>
          </cell>
          <cell r="E1137" t="str">
            <v>refer sample 96230930350</v>
          </cell>
          <cell r="F1137" t="str">
            <v>V</v>
          </cell>
          <cell r="G1137">
            <v>0</v>
          </cell>
          <cell r="H1137">
            <v>0</v>
          </cell>
          <cell r="I1137" t="str">
            <v>V</v>
          </cell>
          <cell r="J1137">
            <v>0</v>
          </cell>
        </row>
        <row r="1138">
          <cell r="A1138" t="str">
            <v>96230660534(5)</v>
          </cell>
          <cell r="B1138">
            <v>45055</v>
          </cell>
          <cell r="C1138" t="str">
            <v>Regular</v>
          </cell>
          <cell r="D1138" t="str">
            <v>LUK 138</v>
          </cell>
          <cell r="F1138" t="str">
            <v>V</v>
          </cell>
          <cell r="G1138">
            <v>0</v>
          </cell>
          <cell r="H1138">
            <v>0</v>
          </cell>
          <cell r="I1138" t="str">
            <v>V</v>
          </cell>
          <cell r="J1138">
            <v>0</v>
          </cell>
        </row>
        <row r="1139">
          <cell r="A1139">
            <v>96231080720</v>
          </cell>
          <cell r="B1139">
            <v>45055</v>
          </cell>
          <cell r="C1139" t="str">
            <v>Regular</v>
          </cell>
          <cell r="D1139" t="str">
            <v>LUK 138</v>
          </cell>
          <cell r="F1139" t="str">
            <v>Q V A</v>
          </cell>
          <cell r="G1139" t="str">
            <v>A</v>
          </cell>
          <cell r="H1139" t="str">
            <v>Q</v>
          </cell>
          <cell r="I1139" t="str">
            <v>V</v>
          </cell>
          <cell r="J1139">
            <v>0</v>
          </cell>
        </row>
        <row r="1140">
          <cell r="A1140">
            <v>96231260372</v>
          </cell>
          <cell r="B1140">
            <v>45055</v>
          </cell>
          <cell r="C1140" t="str">
            <v>Regular</v>
          </cell>
          <cell r="D1140" t="str">
            <v>HAO 718</v>
          </cell>
          <cell r="F1140" t="str">
            <v>Q V</v>
          </cell>
          <cell r="G1140">
            <v>0</v>
          </cell>
          <cell r="H1140" t="str">
            <v>Q</v>
          </cell>
          <cell r="I1140" t="str">
            <v>V</v>
          </cell>
          <cell r="J1140">
            <v>0</v>
          </cell>
        </row>
        <row r="1141">
          <cell r="A1141">
            <v>96230950645</v>
          </cell>
          <cell r="B1141">
            <v>45055</v>
          </cell>
          <cell r="C1141" t="str">
            <v>Regular</v>
          </cell>
          <cell r="D1141" t="str">
            <v>GIB 718</v>
          </cell>
          <cell r="F1141" t="str">
            <v>Q V</v>
          </cell>
          <cell r="G1141">
            <v>0</v>
          </cell>
          <cell r="H1141" t="str">
            <v>Q</v>
          </cell>
          <cell r="I1141" t="str">
            <v>V</v>
          </cell>
          <cell r="J1141">
            <v>0</v>
          </cell>
        </row>
        <row r="1142">
          <cell r="A1142" t="str">
            <v>96230760422(2)</v>
          </cell>
          <cell r="B1142">
            <v>45055</v>
          </cell>
          <cell r="C1142" t="str">
            <v>Regular</v>
          </cell>
          <cell r="D1142" t="str">
            <v>GIB 718</v>
          </cell>
          <cell r="F1142" t="str">
            <v>Q</v>
          </cell>
          <cell r="G1142">
            <v>0</v>
          </cell>
          <cell r="H1142" t="str">
            <v>Q</v>
          </cell>
          <cell r="I1142">
            <v>0</v>
          </cell>
          <cell r="J1142">
            <v>0</v>
          </cell>
        </row>
        <row r="1143">
          <cell r="A1143">
            <v>96231250435</v>
          </cell>
          <cell r="B1143">
            <v>45055</v>
          </cell>
          <cell r="C1143" t="str">
            <v>Regular</v>
          </cell>
          <cell r="D1143" t="str">
            <v>Vu 138</v>
          </cell>
          <cell r="F1143" t="str">
            <v>Q</v>
          </cell>
          <cell r="G1143">
            <v>0</v>
          </cell>
          <cell r="H1143" t="str">
            <v>Q</v>
          </cell>
          <cell r="I1143">
            <v>0</v>
          </cell>
          <cell r="J1143">
            <v>0</v>
          </cell>
        </row>
        <row r="1144">
          <cell r="A1144" t="str">
            <v>96231160340 (2)</v>
          </cell>
          <cell r="B1144">
            <v>45055</v>
          </cell>
          <cell r="C1144" t="str">
            <v>Regular</v>
          </cell>
          <cell r="D1144" t="str">
            <v>MARIS 619</v>
          </cell>
          <cell r="F1144" t="str">
            <v>Q V A</v>
          </cell>
          <cell r="G1144" t="str">
            <v>A</v>
          </cell>
          <cell r="H1144" t="str">
            <v>Q</v>
          </cell>
          <cell r="I1144" t="str">
            <v>V</v>
          </cell>
          <cell r="J1144">
            <v>0</v>
          </cell>
        </row>
        <row r="1145">
          <cell r="A1145">
            <v>96231280027</v>
          </cell>
          <cell r="B1145">
            <v>45055</v>
          </cell>
          <cell r="C1145" t="str">
            <v>Regular</v>
          </cell>
          <cell r="D1145" t="str">
            <v>GIB 718</v>
          </cell>
          <cell r="F1145" t="str">
            <v>Q</v>
          </cell>
          <cell r="G1145">
            <v>0</v>
          </cell>
          <cell r="H1145" t="str">
            <v>Q</v>
          </cell>
          <cell r="I1145">
            <v>0</v>
          </cell>
          <cell r="J1145">
            <v>0</v>
          </cell>
        </row>
        <row r="1146">
          <cell r="A1146">
            <v>96231240221</v>
          </cell>
          <cell r="B1146">
            <v>45055</v>
          </cell>
          <cell r="C1146" t="str">
            <v>Regular</v>
          </cell>
          <cell r="D1146" t="str">
            <v>THE HIEN (EE)</v>
          </cell>
          <cell r="F1146" t="str">
            <v>Q</v>
          </cell>
          <cell r="H1146" t="str">
            <v>Q</v>
          </cell>
          <cell r="I1146">
            <v>0</v>
          </cell>
          <cell r="J1146">
            <v>0</v>
          </cell>
        </row>
        <row r="1147">
          <cell r="A1147">
            <v>96231240225</v>
          </cell>
          <cell r="B1147">
            <v>45055</v>
          </cell>
          <cell r="C1147" t="str">
            <v>Regular</v>
          </cell>
          <cell r="D1147" t="str">
            <v>THE HIEN (EE)</v>
          </cell>
          <cell r="F1147" t="str">
            <v>Q</v>
          </cell>
          <cell r="G1147">
            <v>0</v>
          </cell>
          <cell r="H1147" t="str">
            <v>Q</v>
          </cell>
          <cell r="I1147">
            <v>0</v>
          </cell>
          <cell r="J1147">
            <v>0</v>
          </cell>
        </row>
        <row r="1148">
          <cell r="G1148">
            <v>0</v>
          </cell>
          <cell r="H1148">
            <v>0</v>
          </cell>
          <cell r="I1148">
            <v>0</v>
          </cell>
          <cell r="J1148">
            <v>0</v>
          </cell>
        </row>
        <row r="1149">
          <cell r="G1149">
            <v>0</v>
          </cell>
          <cell r="H1149">
            <v>0</v>
          </cell>
          <cell r="I1149">
            <v>0</v>
          </cell>
          <cell r="J1149">
            <v>0</v>
          </cell>
        </row>
        <row r="1150">
          <cell r="G1150">
            <v>0</v>
          </cell>
          <cell r="H1150">
            <v>0</v>
          </cell>
          <cell r="I1150">
            <v>0</v>
          </cell>
          <cell r="J1150">
            <v>0</v>
          </cell>
        </row>
        <row r="1151">
          <cell r="G1151">
            <v>0</v>
          </cell>
          <cell r="H1151">
            <v>0</v>
          </cell>
          <cell r="I1151">
            <v>0</v>
          </cell>
          <cell r="J1151">
            <v>0</v>
          </cell>
        </row>
        <row r="1152">
          <cell r="G1152">
            <v>0</v>
          </cell>
          <cell r="H1152">
            <v>0</v>
          </cell>
          <cell r="I1152">
            <v>0</v>
          </cell>
          <cell r="J1152">
            <v>0</v>
          </cell>
        </row>
        <row r="1153">
          <cell r="G1153">
            <v>0</v>
          </cell>
          <cell r="H1153">
            <v>0</v>
          </cell>
          <cell r="I1153">
            <v>0</v>
          </cell>
          <cell r="J1153">
            <v>0</v>
          </cell>
        </row>
        <row r="1154">
          <cell r="G1154">
            <v>0</v>
          </cell>
          <cell r="H1154">
            <v>0</v>
          </cell>
          <cell r="I1154">
            <v>0</v>
          </cell>
          <cell r="J1154">
            <v>0</v>
          </cell>
        </row>
        <row r="1155">
          <cell r="G1155">
            <v>0</v>
          </cell>
          <cell r="H1155">
            <v>0</v>
          </cell>
          <cell r="I1155">
            <v>0</v>
          </cell>
          <cell r="J1155">
            <v>0</v>
          </cell>
        </row>
        <row r="1156">
          <cell r="G1156">
            <v>0</v>
          </cell>
          <cell r="H1156">
            <v>0</v>
          </cell>
          <cell r="I1156">
            <v>0</v>
          </cell>
          <cell r="J1156">
            <v>0</v>
          </cell>
        </row>
        <row r="1157">
          <cell r="G1157">
            <v>0</v>
          </cell>
          <cell r="H1157">
            <v>0</v>
          </cell>
          <cell r="I1157">
            <v>0</v>
          </cell>
          <cell r="J1157">
            <v>0</v>
          </cell>
        </row>
        <row r="1158">
          <cell r="G1158">
            <v>0</v>
          </cell>
          <cell r="H1158">
            <v>0</v>
          </cell>
          <cell r="I1158">
            <v>0</v>
          </cell>
          <cell r="J1158">
            <v>0</v>
          </cell>
        </row>
        <row r="1159">
          <cell r="G1159">
            <v>0</v>
          </cell>
          <cell r="H1159">
            <v>0</v>
          </cell>
          <cell r="I1159">
            <v>0</v>
          </cell>
          <cell r="J1159">
            <v>0</v>
          </cell>
        </row>
        <row r="1160">
          <cell r="G1160">
            <v>0</v>
          </cell>
          <cell r="H1160">
            <v>0</v>
          </cell>
          <cell r="I1160">
            <v>0</v>
          </cell>
          <cell r="J1160">
            <v>0</v>
          </cell>
        </row>
        <row r="1161">
          <cell r="G1161">
            <v>0</v>
          </cell>
          <cell r="H1161">
            <v>0</v>
          </cell>
          <cell r="I1161">
            <v>0</v>
          </cell>
          <cell r="J1161">
            <v>0</v>
          </cell>
        </row>
        <row r="1162">
          <cell r="G1162">
            <v>0</v>
          </cell>
          <cell r="H1162">
            <v>0</v>
          </cell>
          <cell r="I1162">
            <v>0</v>
          </cell>
          <cell r="J1162">
            <v>0</v>
          </cell>
        </row>
        <row r="1163">
          <cell r="G1163">
            <v>0</v>
          </cell>
          <cell r="H1163">
            <v>0</v>
          </cell>
          <cell r="I1163">
            <v>0</v>
          </cell>
          <cell r="J1163">
            <v>0</v>
          </cell>
        </row>
        <row r="1164">
          <cell r="G1164">
            <v>0</v>
          </cell>
          <cell r="H1164">
            <v>0</v>
          </cell>
          <cell r="I1164">
            <v>0</v>
          </cell>
          <cell r="J1164">
            <v>0</v>
          </cell>
        </row>
        <row r="1165">
          <cell r="G1165">
            <v>0</v>
          </cell>
          <cell r="H1165">
            <v>0</v>
          </cell>
          <cell r="I1165">
            <v>0</v>
          </cell>
          <cell r="J1165">
            <v>0</v>
          </cell>
        </row>
        <row r="1166">
          <cell r="G1166">
            <v>0</v>
          </cell>
          <cell r="H1166">
            <v>0</v>
          </cell>
          <cell r="I1166">
            <v>0</v>
          </cell>
          <cell r="J1166">
            <v>0</v>
          </cell>
        </row>
        <row r="1167">
          <cell r="G1167">
            <v>0</v>
          </cell>
          <cell r="H1167">
            <v>0</v>
          </cell>
          <cell r="I1167">
            <v>0</v>
          </cell>
          <cell r="J1167">
            <v>0</v>
          </cell>
        </row>
        <row r="1168">
          <cell r="G1168">
            <v>0</v>
          </cell>
          <cell r="H1168">
            <v>0</v>
          </cell>
          <cell r="I1168">
            <v>0</v>
          </cell>
          <cell r="J1168">
            <v>0</v>
          </cell>
        </row>
        <row r="1169">
          <cell r="G1169">
            <v>0</v>
          </cell>
          <cell r="H1169">
            <v>0</v>
          </cell>
          <cell r="I1169">
            <v>0</v>
          </cell>
          <cell r="J1169">
            <v>0</v>
          </cell>
        </row>
        <row r="1170">
          <cell r="G1170">
            <v>0</v>
          </cell>
          <cell r="H1170">
            <v>0</v>
          </cell>
          <cell r="I1170">
            <v>0</v>
          </cell>
          <cell r="J1170">
            <v>0</v>
          </cell>
        </row>
        <row r="1171">
          <cell r="G1171">
            <v>0</v>
          </cell>
          <cell r="H1171">
            <v>0</v>
          </cell>
          <cell r="I1171">
            <v>0</v>
          </cell>
          <cell r="J1171">
            <v>0</v>
          </cell>
        </row>
        <row r="1172">
          <cell r="G1172">
            <v>0</v>
          </cell>
          <cell r="H1172">
            <v>0</v>
          </cell>
          <cell r="I1172">
            <v>0</v>
          </cell>
          <cell r="J1172">
            <v>0</v>
          </cell>
        </row>
        <row r="1173">
          <cell r="G1173">
            <v>0</v>
          </cell>
          <cell r="H1173">
            <v>0</v>
          </cell>
          <cell r="I1173">
            <v>0</v>
          </cell>
          <cell r="J1173">
            <v>0</v>
          </cell>
        </row>
        <row r="1174">
          <cell r="G1174">
            <v>0</v>
          </cell>
          <cell r="H1174">
            <v>0</v>
          </cell>
          <cell r="I1174">
            <v>0</v>
          </cell>
          <cell r="J1174">
            <v>0</v>
          </cell>
        </row>
        <row r="1175">
          <cell r="G1175">
            <v>0</v>
          </cell>
          <cell r="H1175">
            <v>0</v>
          </cell>
          <cell r="I1175">
            <v>0</v>
          </cell>
          <cell r="J1175">
            <v>0</v>
          </cell>
        </row>
        <row r="1176">
          <cell r="G1176">
            <v>0</v>
          </cell>
          <cell r="H1176">
            <v>0</v>
          </cell>
          <cell r="I1176">
            <v>0</v>
          </cell>
          <cell r="J1176">
            <v>0</v>
          </cell>
        </row>
        <row r="1177">
          <cell r="G1177">
            <v>0</v>
          </cell>
          <cell r="H1177">
            <v>0</v>
          </cell>
          <cell r="I1177">
            <v>0</v>
          </cell>
          <cell r="J1177">
            <v>0</v>
          </cell>
        </row>
        <row r="1178">
          <cell r="G1178">
            <v>0</v>
          </cell>
          <cell r="H1178">
            <v>0</v>
          </cell>
          <cell r="I1178">
            <v>0</v>
          </cell>
          <cell r="J1178">
            <v>0</v>
          </cell>
        </row>
        <row r="1179">
          <cell r="G1179">
            <v>0</v>
          </cell>
          <cell r="H1179">
            <v>0</v>
          </cell>
          <cell r="I1179">
            <v>0</v>
          </cell>
          <cell r="J1179">
            <v>0</v>
          </cell>
        </row>
        <row r="1180">
          <cell r="G1180">
            <v>0</v>
          </cell>
          <cell r="H1180">
            <v>0</v>
          </cell>
          <cell r="I1180">
            <v>0</v>
          </cell>
          <cell r="J1180">
            <v>0</v>
          </cell>
        </row>
        <row r="1181">
          <cell r="G1181">
            <v>0</v>
          </cell>
          <cell r="H1181">
            <v>0</v>
          </cell>
          <cell r="I1181">
            <v>0</v>
          </cell>
          <cell r="J1181">
            <v>0</v>
          </cell>
        </row>
        <row r="1182">
          <cell r="G1182">
            <v>0</v>
          </cell>
          <cell r="H1182">
            <v>0</v>
          </cell>
          <cell r="I1182">
            <v>0</v>
          </cell>
          <cell r="J1182">
            <v>0</v>
          </cell>
        </row>
        <row r="1183">
          <cell r="G1183">
            <v>0</v>
          </cell>
          <cell r="H1183">
            <v>0</v>
          </cell>
          <cell r="I1183">
            <v>0</v>
          </cell>
          <cell r="J1183">
            <v>0</v>
          </cell>
        </row>
        <row r="1184">
          <cell r="G1184">
            <v>0</v>
          </cell>
          <cell r="H1184">
            <v>0</v>
          </cell>
          <cell r="I1184">
            <v>0</v>
          </cell>
          <cell r="J1184">
            <v>0</v>
          </cell>
        </row>
        <row r="1185">
          <cell r="G1185">
            <v>0</v>
          </cell>
          <cell r="H1185">
            <v>0</v>
          </cell>
          <cell r="I1185">
            <v>0</v>
          </cell>
          <cell r="J1185">
            <v>0</v>
          </cell>
        </row>
        <row r="1186">
          <cell r="G1186">
            <v>0</v>
          </cell>
          <cell r="H1186">
            <v>0</v>
          </cell>
          <cell r="I1186">
            <v>0</v>
          </cell>
          <cell r="J1186">
            <v>0</v>
          </cell>
        </row>
        <row r="1187">
          <cell r="G1187">
            <v>0</v>
          </cell>
          <cell r="H1187">
            <v>0</v>
          </cell>
          <cell r="I1187">
            <v>0</v>
          </cell>
          <cell r="J1187">
            <v>0</v>
          </cell>
        </row>
        <row r="1188">
          <cell r="G1188">
            <v>0</v>
          </cell>
          <cell r="H1188">
            <v>0</v>
          </cell>
          <cell r="I1188">
            <v>0</v>
          </cell>
          <cell r="J1188">
            <v>0</v>
          </cell>
        </row>
        <row r="1189">
          <cell r="G1189">
            <v>0</v>
          </cell>
          <cell r="H1189">
            <v>0</v>
          </cell>
          <cell r="I1189">
            <v>0</v>
          </cell>
          <cell r="J1189">
            <v>0</v>
          </cell>
        </row>
        <row r="1190">
          <cell r="G1190">
            <v>0</v>
          </cell>
          <cell r="H1190">
            <v>0</v>
          </cell>
          <cell r="I1190">
            <v>0</v>
          </cell>
          <cell r="J1190">
            <v>0</v>
          </cell>
        </row>
        <row r="1191">
          <cell r="G1191">
            <v>0</v>
          </cell>
          <cell r="H1191">
            <v>0</v>
          </cell>
          <cell r="I1191">
            <v>0</v>
          </cell>
          <cell r="J1191">
            <v>0</v>
          </cell>
        </row>
        <row r="1192">
          <cell r="G1192">
            <v>0</v>
          </cell>
          <cell r="H1192">
            <v>0</v>
          </cell>
          <cell r="I1192">
            <v>0</v>
          </cell>
          <cell r="J1192">
            <v>0</v>
          </cell>
        </row>
        <row r="1193">
          <cell r="G1193">
            <v>0</v>
          </cell>
          <cell r="H1193">
            <v>0</v>
          </cell>
          <cell r="I1193">
            <v>0</v>
          </cell>
          <cell r="J1193">
            <v>0</v>
          </cell>
        </row>
        <row r="1194">
          <cell r="G1194">
            <v>0</v>
          </cell>
          <cell r="H1194">
            <v>0</v>
          </cell>
          <cell r="I1194">
            <v>0</v>
          </cell>
          <cell r="J1194">
            <v>0</v>
          </cell>
        </row>
        <row r="1195">
          <cell r="G1195">
            <v>0</v>
          </cell>
          <cell r="H1195">
            <v>0</v>
          </cell>
          <cell r="I1195">
            <v>0</v>
          </cell>
          <cell r="J1195">
            <v>0</v>
          </cell>
        </row>
        <row r="1196">
          <cell r="G1196">
            <v>0</v>
          </cell>
          <cell r="H1196">
            <v>0</v>
          </cell>
          <cell r="I1196">
            <v>0</v>
          </cell>
          <cell r="J1196">
            <v>0</v>
          </cell>
        </row>
        <row r="1197">
          <cell r="G1197">
            <v>0</v>
          </cell>
          <cell r="H1197">
            <v>0</v>
          </cell>
          <cell r="I1197">
            <v>0</v>
          </cell>
          <cell r="J1197">
            <v>0</v>
          </cell>
        </row>
        <row r="1198">
          <cell r="G1198">
            <v>0</v>
          </cell>
          <cell r="H1198">
            <v>0</v>
          </cell>
          <cell r="I1198">
            <v>0</v>
          </cell>
          <cell r="J1198">
            <v>0</v>
          </cell>
        </row>
        <row r="1199">
          <cell r="G1199">
            <v>0</v>
          </cell>
          <cell r="H1199">
            <v>0</v>
          </cell>
          <cell r="I1199">
            <v>0</v>
          </cell>
          <cell r="J1199">
            <v>0</v>
          </cell>
        </row>
        <row r="1200">
          <cell r="G1200">
            <v>0</v>
          </cell>
          <cell r="H1200">
            <v>0</v>
          </cell>
          <cell r="I1200">
            <v>0</v>
          </cell>
          <cell r="J1200">
            <v>0</v>
          </cell>
        </row>
        <row r="1201">
          <cell r="G1201">
            <v>0</v>
          </cell>
          <cell r="H1201">
            <v>0</v>
          </cell>
          <cell r="I1201">
            <v>0</v>
          </cell>
          <cell r="J1201">
            <v>0</v>
          </cell>
        </row>
        <row r="1202">
          <cell r="G1202">
            <v>0</v>
          </cell>
          <cell r="H1202">
            <v>0</v>
          </cell>
          <cell r="I1202">
            <v>0</v>
          </cell>
          <cell r="J1202">
            <v>0</v>
          </cell>
        </row>
        <row r="1203">
          <cell r="G1203">
            <v>0</v>
          </cell>
          <cell r="H1203">
            <v>0</v>
          </cell>
          <cell r="I1203">
            <v>0</v>
          </cell>
          <cell r="J1203">
            <v>0</v>
          </cell>
        </row>
        <row r="1204">
          <cell r="G1204">
            <v>0</v>
          </cell>
          <cell r="H1204">
            <v>0</v>
          </cell>
          <cell r="I1204">
            <v>0</v>
          </cell>
          <cell r="J1204">
            <v>0</v>
          </cell>
        </row>
        <row r="1205">
          <cell r="G1205">
            <v>0</v>
          </cell>
          <cell r="H1205">
            <v>0</v>
          </cell>
          <cell r="I1205">
            <v>0</v>
          </cell>
          <cell r="J1205">
            <v>0</v>
          </cell>
        </row>
        <row r="1206">
          <cell r="G1206">
            <v>0</v>
          </cell>
          <cell r="H1206">
            <v>0</v>
          </cell>
          <cell r="I1206">
            <v>0</v>
          </cell>
          <cell r="J1206">
            <v>0</v>
          </cell>
        </row>
        <row r="1207">
          <cell r="G1207">
            <v>0</v>
          </cell>
          <cell r="H1207">
            <v>0</v>
          </cell>
          <cell r="I1207">
            <v>0</v>
          </cell>
          <cell r="J1207">
            <v>0</v>
          </cell>
        </row>
        <row r="1208">
          <cell r="G1208">
            <v>0</v>
          </cell>
          <cell r="H1208">
            <v>0</v>
          </cell>
          <cell r="I1208">
            <v>0</v>
          </cell>
          <cell r="J1208">
            <v>0</v>
          </cell>
        </row>
        <row r="1209">
          <cell r="G1209">
            <v>0</v>
          </cell>
          <cell r="H1209">
            <v>0</v>
          </cell>
          <cell r="I1209">
            <v>0</v>
          </cell>
          <cell r="J1209">
            <v>0</v>
          </cell>
        </row>
        <row r="1210">
          <cell r="G1210">
            <v>0</v>
          </cell>
          <cell r="H1210">
            <v>0</v>
          </cell>
          <cell r="I1210">
            <v>0</v>
          </cell>
          <cell r="J1210">
            <v>0</v>
          </cell>
        </row>
        <row r="1211">
          <cell r="G1211">
            <v>0</v>
          </cell>
          <cell r="H1211">
            <v>0</v>
          </cell>
          <cell r="I1211">
            <v>0</v>
          </cell>
          <cell r="J1211">
            <v>0</v>
          </cell>
        </row>
        <row r="1212">
          <cell r="G1212">
            <v>0</v>
          </cell>
          <cell r="H1212">
            <v>0</v>
          </cell>
          <cell r="I1212">
            <v>0</v>
          </cell>
          <cell r="J1212">
            <v>0</v>
          </cell>
        </row>
        <row r="1213">
          <cell r="G1213">
            <v>0</v>
          </cell>
          <cell r="H1213">
            <v>0</v>
          </cell>
          <cell r="I1213">
            <v>0</v>
          </cell>
          <cell r="J1213">
            <v>0</v>
          </cell>
        </row>
        <row r="1214">
          <cell r="G1214">
            <v>0</v>
          </cell>
          <cell r="H1214">
            <v>0</v>
          </cell>
          <cell r="I1214">
            <v>0</v>
          </cell>
          <cell r="J1214">
            <v>0</v>
          </cell>
        </row>
        <row r="1215">
          <cell r="G1215">
            <v>0</v>
          </cell>
          <cell r="H1215">
            <v>0</v>
          </cell>
          <cell r="I1215">
            <v>0</v>
          </cell>
          <cell r="J1215">
            <v>0</v>
          </cell>
        </row>
        <row r="1216">
          <cell r="G1216">
            <v>0</v>
          </cell>
          <cell r="H1216">
            <v>0</v>
          </cell>
          <cell r="I1216">
            <v>0</v>
          </cell>
          <cell r="J1216">
            <v>0</v>
          </cell>
        </row>
        <row r="1217">
          <cell r="G1217">
            <v>0</v>
          </cell>
          <cell r="H1217">
            <v>0</v>
          </cell>
          <cell r="I1217">
            <v>0</v>
          </cell>
          <cell r="J1217">
            <v>0</v>
          </cell>
        </row>
        <row r="1218">
          <cell r="G1218">
            <v>0</v>
          </cell>
          <cell r="H1218">
            <v>0</v>
          </cell>
          <cell r="I1218">
            <v>0</v>
          </cell>
          <cell r="J1218">
            <v>0</v>
          </cell>
        </row>
        <row r="1219">
          <cell r="G1219">
            <v>0</v>
          </cell>
          <cell r="H1219">
            <v>0</v>
          </cell>
          <cell r="I1219">
            <v>0</v>
          </cell>
          <cell r="J1219">
            <v>0</v>
          </cell>
        </row>
        <row r="1220">
          <cell r="G1220">
            <v>0</v>
          </cell>
          <cell r="H1220">
            <v>0</v>
          </cell>
          <cell r="I1220">
            <v>0</v>
          </cell>
          <cell r="J1220">
            <v>0</v>
          </cell>
        </row>
        <row r="1221">
          <cell r="G1221">
            <v>0</v>
          </cell>
          <cell r="H1221">
            <v>0</v>
          </cell>
          <cell r="I1221">
            <v>0</v>
          </cell>
          <cell r="J1221">
            <v>0</v>
          </cell>
        </row>
        <row r="1222">
          <cell r="G1222">
            <v>0</v>
          </cell>
          <cell r="H1222">
            <v>0</v>
          </cell>
          <cell r="I1222">
            <v>0</v>
          </cell>
          <cell r="J1222">
            <v>0</v>
          </cell>
        </row>
        <row r="1223">
          <cell r="G1223">
            <v>0</v>
          </cell>
          <cell r="H1223">
            <v>0</v>
          </cell>
          <cell r="I1223">
            <v>0</v>
          </cell>
          <cell r="J1223">
            <v>0</v>
          </cell>
        </row>
        <row r="1224">
          <cell r="G1224">
            <v>0</v>
          </cell>
          <cell r="H1224">
            <v>0</v>
          </cell>
          <cell r="I1224">
            <v>0</v>
          </cell>
          <cell r="J1224">
            <v>0</v>
          </cell>
        </row>
        <row r="1225">
          <cell r="G1225">
            <v>0</v>
          </cell>
          <cell r="H1225">
            <v>0</v>
          </cell>
          <cell r="I1225">
            <v>0</v>
          </cell>
          <cell r="J1225">
            <v>0</v>
          </cell>
        </row>
        <row r="1226">
          <cell r="G1226">
            <v>0</v>
          </cell>
          <cell r="H1226">
            <v>0</v>
          </cell>
          <cell r="I1226">
            <v>0</v>
          </cell>
          <cell r="J1226">
            <v>0</v>
          </cell>
        </row>
        <row r="1227">
          <cell r="G1227">
            <v>0</v>
          </cell>
          <cell r="H1227">
            <v>0</v>
          </cell>
          <cell r="I1227">
            <v>0</v>
          </cell>
          <cell r="J1227">
            <v>0</v>
          </cell>
        </row>
        <row r="1228">
          <cell r="G1228">
            <v>0</v>
          </cell>
          <cell r="H1228">
            <v>0</v>
          </cell>
          <cell r="I1228">
            <v>0</v>
          </cell>
          <cell r="J1228">
            <v>0</v>
          </cell>
        </row>
        <row r="1229">
          <cell r="G1229">
            <v>0</v>
          </cell>
          <cell r="H1229">
            <v>0</v>
          </cell>
          <cell r="I1229">
            <v>0</v>
          </cell>
          <cell r="J1229">
            <v>0</v>
          </cell>
        </row>
        <row r="1230">
          <cell r="G1230">
            <v>0</v>
          </cell>
          <cell r="H1230">
            <v>0</v>
          </cell>
          <cell r="I1230">
            <v>0</v>
          </cell>
          <cell r="J1230">
            <v>0</v>
          </cell>
        </row>
        <row r="1231">
          <cell r="G1231">
            <v>0</v>
          </cell>
          <cell r="H1231">
            <v>0</v>
          </cell>
          <cell r="I1231">
            <v>0</v>
          </cell>
          <cell r="J1231">
            <v>0</v>
          </cell>
        </row>
        <row r="1232">
          <cell r="G1232">
            <v>0</v>
          </cell>
          <cell r="H1232">
            <v>0</v>
          </cell>
          <cell r="I1232">
            <v>0</v>
          </cell>
          <cell r="J1232">
            <v>0</v>
          </cell>
        </row>
        <row r="1233">
          <cell r="G1233">
            <v>0</v>
          </cell>
          <cell r="H1233">
            <v>0</v>
          </cell>
          <cell r="I1233">
            <v>0</v>
          </cell>
          <cell r="J1233">
            <v>0</v>
          </cell>
        </row>
        <row r="1234">
          <cell r="G1234">
            <v>0</v>
          </cell>
          <cell r="H1234">
            <v>0</v>
          </cell>
          <cell r="I1234">
            <v>0</v>
          </cell>
          <cell r="J1234">
            <v>0</v>
          </cell>
        </row>
        <row r="1235">
          <cell r="G1235">
            <v>0</v>
          </cell>
          <cell r="H1235">
            <v>0</v>
          </cell>
          <cell r="I1235">
            <v>0</v>
          </cell>
          <cell r="J1235">
            <v>0</v>
          </cell>
        </row>
        <row r="1236">
          <cell r="G1236">
            <v>0</v>
          </cell>
          <cell r="H1236">
            <v>0</v>
          </cell>
          <cell r="I1236">
            <v>0</v>
          </cell>
          <cell r="J1236">
            <v>0</v>
          </cell>
        </row>
        <row r="1237">
          <cell r="G1237">
            <v>0</v>
          </cell>
          <cell r="H1237">
            <v>0</v>
          </cell>
          <cell r="I1237">
            <v>0</v>
          </cell>
          <cell r="J1237">
            <v>0</v>
          </cell>
        </row>
        <row r="1238">
          <cell r="G1238">
            <v>0</v>
          </cell>
          <cell r="H1238">
            <v>0</v>
          </cell>
          <cell r="I1238">
            <v>0</v>
          </cell>
          <cell r="J1238">
            <v>0</v>
          </cell>
        </row>
        <row r="1239">
          <cell r="G1239">
            <v>0</v>
          </cell>
          <cell r="H1239">
            <v>0</v>
          </cell>
          <cell r="I1239">
            <v>0</v>
          </cell>
          <cell r="J1239">
            <v>0</v>
          </cell>
        </row>
        <row r="1240">
          <cell r="G1240">
            <v>0</v>
          </cell>
          <cell r="H1240">
            <v>0</v>
          </cell>
          <cell r="I1240">
            <v>0</v>
          </cell>
          <cell r="J1240">
            <v>0</v>
          </cell>
        </row>
        <row r="1241">
          <cell r="G1241">
            <v>0</v>
          </cell>
          <cell r="H1241">
            <v>0</v>
          </cell>
          <cell r="I1241">
            <v>0</v>
          </cell>
          <cell r="J1241">
            <v>0</v>
          </cell>
        </row>
        <row r="1242">
          <cell r="G1242">
            <v>0</v>
          </cell>
          <cell r="H1242">
            <v>0</v>
          </cell>
          <cell r="I1242">
            <v>0</v>
          </cell>
          <cell r="J1242">
            <v>0</v>
          </cell>
        </row>
        <row r="1243">
          <cell r="G1243">
            <v>0</v>
          </cell>
          <cell r="H1243">
            <v>0</v>
          </cell>
          <cell r="I1243">
            <v>0</v>
          </cell>
          <cell r="J1243">
            <v>0</v>
          </cell>
        </row>
        <row r="1244">
          <cell r="G1244">
            <v>0</v>
          </cell>
          <cell r="H1244">
            <v>0</v>
          </cell>
          <cell r="I1244">
            <v>0</v>
          </cell>
          <cell r="J1244">
            <v>0</v>
          </cell>
        </row>
        <row r="1245">
          <cell r="G1245">
            <v>0</v>
          </cell>
          <cell r="H1245">
            <v>0</v>
          </cell>
          <cell r="I1245">
            <v>0</v>
          </cell>
          <cell r="J1245">
            <v>0</v>
          </cell>
        </row>
        <row r="1246">
          <cell r="G1246">
            <v>0</v>
          </cell>
          <cell r="H1246">
            <v>0</v>
          </cell>
          <cell r="I1246">
            <v>0</v>
          </cell>
          <cell r="J1246">
            <v>0</v>
          </cell>
        </row>
        <row r="1247">
          <cell r="G1247">
            <v>0</v>
          </cell>
          <cell r="H1247">
            <v>0</v>
          </cell>
          <cell r="I1247">
            <v>0</v>
          </cell>
          <cell r="J1247">
            <v>0</v>
          </cell>
        </row>
        <row r="1248">
          <cell r="G1248">
            <v>0</v>
          </cell>
          <cell r="H1248">
            <v>0</v>
          </cell>
          <cell r="I1248">
            <v>0</v>
          </cell>
          <cell r="J1248">
            <v>0</v>
          </cell>
        </row>
        <row r="1249">
          <cell r="G1249">
            <v>0</v>
          </cell>
          <cell r="H1249">
            <v>0</v>
          </cell>
          <cell r="I1249">
            <v>0</v>
          </cell>
          <cell r="J1249">
            <v>0</v>
          </cell>
        </row>
        <row r="1250">
          <cell r="G1250">
            <v>0</v>
          </cell>
          <cell r="H1250">
            <v>0</v>
          </cell>
          <cell r="I1250">
            <v>0</v>
          </cell>
          <cell r="J1250">
            <v>0</v>
          </cell>
        </row>
        <row r="1251">
          <cell r="G1251">
            <v>0</v>
          </cell>
          <cell r="H1251">
            <v>0</v>
          </cell>
          <cell r="I1251">
            <v>0</v>
          </cell>
          <cell r="J1251">
            <v>0</v>
          </cell>
        </row>
        <row r="1252">
          <cell r="G1252">
            <v>0</v>
          </cell>
          <cell r="H1252">
            <v>0</v>
          </cell>
          <cell r="I1252">
            <v>0</v>
          </cell>
          <cell r="J1252">
            <v>0</v>
          </cell>
        </row>
        <row r="1253">
          <cell r="G1253">
            <v>0</v>
          </cell>
          <cell r="H1253">
            <v>0</v>
          </cell>
          <cell r="I1253">
            <v>0</v>
          </cell>
          <cell r="J1253">
            <v>0</v>
          </cell>
        </row>
        <row r="1254">
          <cell r="G1254">
            <v>0</v>
          </cell>
          <cell r="H1254">
            <v>0</v>
          </cell>
          <cell r="I1254">
            <v>0</v>
          </cell>
          <cell r="J1254">
            <v>0</v>
          </cell>
        </row>
        <row r="1255">
          <cell r="G1255">
            <v>0</v>
          </cell>
          <cell r="H1255">
            <v>0</v>
          </cell>
          <cell r="I1255">
            <v>0</v>
          </cell>
          <cell r="J1255">
            <v>0</v>
          </cell>
        </row>
        <row r="1256">
          <cell r="G1256">
            <v>0</v>
          </cell>
          <cell r="H1256">
            <v>0</v>
          </cell>
          <cell r="I1256">
            <v>0</v>
          </cell>
          <cell r="J1256">
            <v>0</v>
          </cell>
        </row>
        <row r="1257">
          <cell r="G1257">
            <v>0</v>
          </cell>
          <cell r="H1257">
            <v>0</v>
          </cell>
          <cell r="I1257">
            <v>0</v>
          </cell>
          <cell r="J1257">
            <v>0</v>
          </cell>
        </row>
        <row r="1258">
          <cell r="G1258">
            <v>0</v>
          </cell>
          <cell r="H1258">
            <v>0</v>
          </cell>
          <cell r="I1258">
            <v>0</v>
          </cell>
          <cell r="J1258">
            <v>0</v>
          </cell>
        </row>
        <row r="1259">
          <cell r="G1259">
            <v>0</v>
          </cell>
          <cell r="H1259">
            <v>0</v>
          </cell>
          <cell r="I1259">
            <v>0</v>
          </cell>
          <cell r="J1259">
            <v>0</v>
          </cell>
        </row>
        <row r="1260">
          <cell r="G1260">
            <v>0</v>
          </cell>
          <cell r="H1260">
            <v>0</v>
          </cell>
          <cell r="I1260">
            <v>0</v>
          </cell>
          <cell r="J1260">
            <v>0</v>
          </cell>
        </row>
        <row r="1261">
          <cell r="G1261">
            <v>0</v>
          </cell>
          <cell r="H1261">
            <v>0</v>
          </cell>
          <cell r="I1261">
            <v>0</v>
          </cell>
          <cell r="J1261">
            <v>0</v>
          </cell>
        </row>
        <row r="1262">
          <cell r="G1262">
            <v>0</v>
          </cell>
          <cell r="H1262">
            <v>0</v>
          </cell>
          <cell r="I1262">
            <v>0</v>
          </cell>
          <cell r="J1262">
            <v>0</v>
          </cell>
        </row>
        <row r="1263">
          <cell r="G1263">
            <v>0</v>
          </cell>
          <cell r="H1263">
            <v>0</v>
          </cell>
          <cell r="I1263">
            <v>0</v>
          </cell>
          <cell r="J1263">
            <v>0</v>
          </cell>
        </row>
        <row r="1264">
          <cell r="G1264">
            <v>0</v>
          </cell>
          <cell r="H1264">
            <v>0</v>
          </cell>
          <cell r="I1264">
            <v>0</v>
          </cell>
          <cell r="J1264">
            <v>0</v>
          </cell>
        </row>
        <row r="1265">
          <cell r="G1265">
            <v>0</v>
          </cell>
          <cell r="H1265">
            <v>0</v>
          </cell>
          <cell r="I1265">
            <v>0</v>
          </cell>
          <cell r="J1265">
            <v>0</v>
          </cell>
        </row>
        <row r="1266">
          <cell r="G1266">
            <v>0</v>
          </cell>
          <cell r="H1266">
            <v>0</v>
          </cell>
          <cell r="I1266">
            <v>0</v>
          </cell>
          <cell r="J1266">
            <v>0</v>
          </cell>
        </row>
        <row r="1267">
          <cell r="G1267">
            <v>0</v>
          </cell>
          <cell r="H1267">
            <v>0</v>
          </cell>
          <cell r="I1267">
            <v>0</v>
          </cell>
          <cell r="J1267">
            <v>0</v>
          </cell>
        </row>
        <row r="1268">
          <cell r="G1268">
            <v>0</v>
          </cell>
          <cell r="H1268">
            <v>0</v>
          </cell>
          <cell r="I1268">
            <v>0</v>
          </cell>
          <cell r="J1268">
            <v>0</v>
          </cell>
        </row>
        <row r="1269">
          <cell r="G1269">
            <v>0</v>
          </cell>
          <cell r="H1269">
            <v>0</v>
          </cell>
          <cell r="I1269">
            <v>0</v>
          </cell>
          <cell r="J1269">
            <v>0</v>
          </cell>
        </row>
        <row r="1270">
          <cell r="G1270">
            <v>0</v>
          </cell>
          <cell r="H1270">
            <v>0</v>
          </cell>
          <cell r="I1270">
            <v>0</v>
          </cell>
          <cell r="J1270">
            <v>0</v>
          </cell>
        </row>
        <row r="1271">
          <cell r="G1271">
            <v>0</v>
          </cell>
          <cell r="H1271">
            <v>0</v>
          </cell>
          <cell r="I1271">
            <v>0</v>
          </cell>
          <cell r="J1271">
            <v>0</v>
          </cell>
        </row>
        <row r="1272">
          <cell r="G1272">
            <v>0</v>
          </cell>
          <cell r="H1272">
            <v>0</v>
          </cell>
          <cell r="I1272">
            <v>0</v>
          </cell>
          <cell r="J1272">
            <v>0</v>
          </cell>
        </row>
        <row r="1273">
          <cell r="G1273">
            <v>0</v>
          </cell>
          <cell r="H1273">
            <v>0</v>
          </cell>
          <cell r="I1273">
            <v>0</v>
          </cell>
          <cell r="J1273">
            <v>0</v>
          </cell>
        </row>
        <row r="1274">
          <cell r="G1274">
            <v>0</v>
          </cell>
          <cell r="H1274">
            <v>0</v>
          </cell>
          <cell r="I1274">
            <v>0</v>
          </cell>
          <cell r="J1274">
            <v>0</v>
          </cell>
        </row>
        <row r="1275">
          <cell r="G1275">
            <v>0</v>
          </cell>
          <cell r="H1275">
            <v>0</v>
          </cell>
          <cell r="I1275">
            <v>0</v>
          </cell>
          <cell r="J1275">
            <v>0</v>
          </cell>
        </row>
        <row r="1276">
          <cell r="G1276">
            <v>0</v>
          </cell>
          <cell r="H1276">
            <v>0</v>
          </cell>
          <cell r="I1276">
            <v>0</v>
          </cell>
          <cell r="J1276">
            <v>0</v>
          </cell>
        </row>
        <row r="1277">
          <cell r="G1277">
            <v>0</v>
          </cell>
          <cell r="H1277">
            <v>0</v>
          </cell>
          <cell r="I1277">
            <v>0</v>
          </cell>
          <cell r="J1277">
            <v>0</v>
          </cell>
        </row>
        <row r="1278">
          <cell r="G1278">
            <v>0</v>
          </cell>
          <cell r="H1278">
            <v>0</v>
          </cell>
          <cell r="I1278">
            <v>0</v>
          </cell>
          <cell r="J1278">
            <v>0</v>
          </cell>
        </row>
        <row r="1279">
          <cell r="G1279">
            <v>0</v>
          </cell>
          <cell r="H1279">
            <v>0</v>
          </cell>
          <cell r="I1279">
            <v>0</v>
          </cell>
          <cell r="J1279">
            <v>0</v>
          </cell>
        </row>
        <row r="1280">
          <cell r="G1280">
            <v>0</v>
          </cell>
          <cell r="H1280">
            <v>0</v>
          </cell>
          <cell r="I1280">
            <v>0</v>
          </cell>
          <cell r="J1280">
            <v>0</v>
          </cell>
        </row>
        <row r="1281">
          <cell r="G1281">
            <v>0</v>
          </cell>
          <cell r="H1281">
            <v>0</v>
          </cell>
          <cell r="I1281">
            <v>0</v>
          </cell>
          <cell r="J1281">
            <v>0</v>
          </cell>
        </row>
        <row r="1282">
          <cell r="G1282">
            <v>0</v>
          </cell>
          <cell r="H1282">
            <v>0</v>
          </cell>
          <cell r="I1282">
            <v>0</v>
          </cell>
          <cell r="J1282">
            <v>0</v>
          </cell>
        </row>
        <row r="1283">
          <cell r="G1283">
            <v>0</v>
          </cell>
          <cell r="H1283">
            <v>0</v>
          </cell>
          <cell r="I1283">
            <v>0</v>
          </cell>
          <cell r="J1283">
            <v>0</v>
          </cell>
        </row>
        <row r="1284">
          <cell r="G1284">
            <v>0</v>
          </cell>
          <cell r="H1284">
            <v>0</v>
          </cell>
          <cell r="I1284">
            <v>0</v>
          </cell>
          <cell r="J1284">
            <v>0</v>
          </cell>
        </row>
        <row r="1285">
          <cell r="G1285">
            <v>0</v>
          </cell>
          <cell r="H1285">
            <v>0</v>
          </cell>
          <cell r="I1285">
            <v>0</v>
          </cell>
          <cell r="J1285">
            <v>0</v>
          </cell>
        </row>
        <row r="1286">
          <cell r="G1286">
            <v>0</v>
          </cell>
          <cell r="H1286">
            <v>0</v>
          </cell>
          <cell r="I1286">
            <v>0</v>
          </cell>
          <cell r="J1286">
            <v>0</v>
          </cell>
        </row>
        <row r="1287">
          <cell r="G1287">
            <v>0</v>
          </cell>
          <cell r="H1287">
            <v>0</v>
          </cell>
          <cell r="I1287">
            <v>0</v>
          </cell>
          <cell r="J1287">
            <v>0</v>
          </cell>
        </row>
        <row r="1288">
          <cell r="G1288">
            <v>0</v>
          </cell>
          <cell r="H1288">
            <v>0</v>
          </cell>
          <cell r="I1288">
            <v>0</v>
          </cell>
          <cell r="J1288">
            <v>0</v>
          </cell>
        </row>
        <row r="1289">
          <cell r="G1289">
            <v>0</v>
          </cell>
          <cell r="H1289">
            <v>0</v>
          </cell>
          <cell r="I1289">
            <v>0</v>
          </cell>
          <cell r="J1289">
            <v>0</v>
          </cell>
        </row>
        <row r="1290">
          <cell r="G1290">
            <v>0</v>
          </cell>
          <cell r="H1290">
            <v>0</v>
          </cell>
          <cell r="I1290">
            <v>0</v>
          </cell>
          <cell r="J1290">
            <v>0</v>
          </cell>
        </row>
        <row r="1291">
          <cell r="G1291">
            <v>0</v>
          </cell>
          <cell r="H1291">
            <v>0</v>
          </cell>
          <cell r="I1291">
            <v>0</v>
          </cell>
          <cell r="J1291">
            <v>0</v>
          </cell>
        </row>
        <row r="1292">
          <cell r="G1292">
            <v>0</v>
          </cell>
          <cell r="H1292">
            <v>0</v>
          </cell>
          <cell r="I1292">
            <v>0</v>
          </cell>
          <cell r="J1292">
            <v>0</v>
          </cell>
        </row>
        <row r="1293">
          <cell r="G1293">
            <v>0</v>
          </cell>
          <cell r="H1293">
            <v>0</v>
          </cell>
          <cell r="I1293">
            <v>0</v>
          </cell>
          <cell r="J1293">
            <v>0</v>
          </cell>
        </row>
        <row r="1294">
          <cell r="G1294">
            <v>0</v>
          </cell>
          <cell r="H1294">
            <v>0</v>
          </cell>
          <cell r="I1294">
            <v>0</v>
          </cell>
          <cell r="J1294">
            <v>0</v>
          </cell>
        </row>
        <row r="1295">
          <cell r="G1295">
            <v>0</v>
          </cell>
          <cell r="H1295">
            <v>0</v>
          </cell>
          <cell r="I1295">
            <v>0</v>
          </cell>
          <cell r="J1295">
            <v>0</v>
          </cell>
        </row>
        <row r="1296">
          <cell r="G1296">
            <v>0</v>
          </cell>
          <cell r="H1296">
            <v>0</v>
          </cell>
          <cell r="I1296">
            <v>0</v>
          </cell>
          <cell r="J1296">
            <v>0</v>
          </cell>
        </row>
        <row r="1297">
          <cell r="G1297">
            <v>0</v>
          </cell>
          <cell r="H1297">
            <v>0</v>
          </cell>
          <cell r="I1297">
            <v>0</v>
          </cell>
          <cell r="J1297">
            <v>0</v>
          </cell>
        </row>
        <row r="1298">
          <cell r="G1298">
            <v>0</v>
          </cell>
          <cell r="H1298">
            <v>0</v>
          </cell>
          <cell r="I1298">
            <v>0</v>
          </cell>
          <cell r="J1298">
            <v>0</v>
          </cell>
        </row>
        <row r="1299">
          <cell r="G1299">
            <v>0</v>
          </cell>
          <cell r="H1299">
            <v>0</v>
          </cell>
          <cell r="I1299">
            <v>0</v>
          </cell>
          <cell r="J1299">
            <v>0</v>
          </cell>
        </row>
        <row r="1300">
          <cell r="G1300">
            <v>0</v>
          </cell>
          <cell r="H1300">
            <v>0</v>
          </cell>
          <cell r="I1300">
            <v>0</v>
          </cell>
          <cell r="J1300">
            <v>0</v>
          </cell>
        </row>
        <row r="1301">
          <cell r="G1301">
            <v>0</v>
          </cell>
          <cell r="H1301">
            <v>0</v>
          </cell>
          <cell r="I1301">
            <v>0</v>
          </cell>
          <cell r="J1301">
            <v>0</v>
          </cell>
        </row>
        <row r="1302">
          <cell r="G1302">
            <v>0</v>
          </cell>
          <cell r="H1302">
            <v>0</v>
          </cell>
          <cell r="I1302">
            <v>0</v>
          </cell>
          <cell r="J1302">
            <v>0</v>
          </cell>
        </row>
        <row r="1303">
          <cell r="G1303">
            <v>0</v>
          </cell>
          <cell r="H1303">
            <v>0</v>
          </cell>
          <cell r="I1303">
            <v>0</v>
          </cell>
          <cell r="J1303">
            <v>0</v>
          </cell>
        </row>
        <row r="1304">
          <cell r="G1304">
            <v>0</v>
          </cell>
          <cell r="H1304">
            <v>0</v>
          </cell>
          <cell r="I1304">
            <v>0</v>
          </cell>
          <cell r="J1304">
            <v>0</v>
          </cell>
        </row>
        <row r="1305">
          <cell r="G1305">
            <v>0</v>
          </cell>
          <cell r="H1305">
            <v>0</v>
          </cell>
          <cell r="I1305">
            <v>0</v>
          </cell>
          <cell r="J1305">
            <v>0</v>
          </cell>
        </row>
        <row r="1306">
          <cell r="G1306">
            <v>0</v>
          </cell>
          <cell r="H1306">
            <v>0</v>
          </cell>
          <cell r="I1306">
            <v>0</v>
          </cell>
          <cell r="J1306">
            <v>0</v>
          </cell>
        </row>
        <row r="1307">
          <cell r="G1307">
            <v>0</v>
          </cell>
          <cell r="H1307">
            <v>0</v>
          </cell>
          <cell r="I1307">
            <v>0</v>
          </cell>
          <cell r="J1307">
            <v>0</v>
          </cell>
        </row>
        <row r="1308">
          <cell r="G1308">
            <v>0</v>
          </cell>
          <cell r="H1308">
            <v>0</v>
          </cell>
          <cell r="I1308">
            <v>0</v>
          </cell>
          <cell r="J1308">
            <v>0</v>
          </cell>
        </row>
        <row r="1309">
          <cell r="G1309">
            <v>0</v>
          </cell>
          <cell r="H1309">
            <v>0</v>
          </cell>
          <cell r="I1309">
            <v>0</v>
          </cell>
          <cell r="J1309">
            <v>0</v>
          </cell>
        </row>
        <row r="1310">
          <cell r="G1310">
            <v>0</v>
          </cell>
          <cell r="H1310">
            <v>0</v>
          </cell>
          <cell r="I1310">
            <v>0</v>
          </cell>
          <cell r="J1310">
            <v>0</v>
          </cell>
        </row>
        <row r="1311">
          <cell r="G1311">
            <v>0</v>
          </cell>
          <cell r="H1311">
            <v>0</v>
          </cell>
          <cell r="I1311">
            <v>0</v>
          </cell>
          <cell r="J1311">
            <v>0</v>
          </cell>
        </row>
        <row r="1312">
          <cell r="G1312">
            <v>0</v>
          </cell>
          <cell r="H1312">
            <v>0</v>
          </cell>
          <cell r="I1312">
            <v>0</v>
          </cell>
          <cell r="J1312">
            <v>0</v>
          </cell>
        </row>
        <row r="1313">
          <cell r="G1313">
            <v>0</v>
          </cell>
          <cell r="H1313">
            <v>0</v>
          </cell>
          <cell r="I1313">
            <v>0</v>
          </cell>
          <cell r="J1313">
            <v>0</v>
          </cell>
        </row>
        <row r="1314">
          <cell r="G1314">
            <v>0</v>
          </cell>
          <cell r="H1314">
            <v>0</v>
          </cell>
          <cell r="I1314">
            <v>0</v>
          </cell>
          <cell r="J1314">
            <v>0</v>
          </cell>
        </row>
        <row r="1315">
          <cell r="G1315">
            <v>0</v>
          </cell>
          <cell r="H1315">
            <v>0</v>
          </cell>
          <cell r="I1315">
            <v>0</v>
          </cell>
          <cell r="J1315">
            <v>0</v>
          </cell>
        </row>
        <row r="1316">
          <cell r="G1316">
            <v>0</v>
          </cell>
          <cell r="H1316">
            <v>0</v>
          </cell>
          <cell r="I1316">
            <v>0</v>
          </cell>
          <cell r="J1316">
            <v>0</v>
          </cell>
        </row>
        <row r="1317">
          <cell r="G1317">
            <v>0</v>
          </cell>
          <cell r="H1317">
            <v>0</v>
          </cell>
          <cell r="I1317">
            <v>0</v>
          </cell>
          <cell r="J1317">
            <v>0</v>
          </cell>
        </row>
        <row r="1318">
          <cell r="G1318">
            <v>0</v>
          </cell>
          <cell r="H1318">
            <v>0</v>
          </cell>
          <cell r="I1318">
            <v>0</v>
          </cell>
          <cell r="J1318">
            <v>0</v>
          </cell>
        </row>
        <row r="1319">
          <cell r="G1319">
            <v>0</v>
          </cell>
          <cell r="H1319">
            <v>0</v>
          </cell>
          <cell r="I1319">
            <v>0</v>
          </cell>
          <cell r="J1319">
            <v>0</v>
          </cell>
        </row>
        <row r="1320">
          <cell r="G1320">
            <v>0</v>
          </cell>
          <cell r="H1320">
            <v>0</v>
          </cell>
          <cell r="I1320">
            <v>0</v>
          </cell>
          <cell r="J1320">
            <v>0</v>
          </cell>
        </row>
        <row r="1321">
          <cell r="G1321">
            <v>0</v>
          </cell>
          <cell r="H1321">
            <v>0</v>
          </cell>
          <cell r="I1321">
            <v>0</v>
          </cell>
          <cell r="J1321">
            <v>0</v>
          </cell>
        </row>
        <row r="1322">
          <cell r="G1322">
            <v>0</v>
          </cell>
          <cell r="H1322">
            <v>0</v>
          </cell>
          <cell r="I1322">
            <v>0</v>
          </cell>
          <cell r="J1322">
            <v>0</v>
          </cell>
        </row>
        <row r="1323">
          <cell r="G1323">
            <v>0</v>
          </cell>
          <cell r="H1323">
            <v>0</v>
          </cell>
          <cell r="I1323">
            <v>0</v>
          </cell>
          <cell r="J1323">
            <v>0</v>
          </cell>
        </row>
        <row r="1324">
          <cell r="G1324">
            <v>0</v>
          </cell>
          <cell r="H1324">
            <v>0</v>
          </cell>
          <cell r="I1324">
            <v>0</v>
          </cell>
          <cell r="J1324">
            <v>0</v>
          </cell>
        </row>
        <row r="1325">
          <cell r="G1325">
            <v>0</v>
          </cell>
          <cell r="H1325">
            <v>0</v>
          </cell>
          <cell r="I1325">
            <v>0</v>
          </cell>
          <cell r="J1325">
            <v>0</v>
          </cell>
        </row>
        <row r="1326">
          <cell r="G1326">
            <v>0</v>
          </cell>
          <cell r="H1326">
            <v>0</v>
          </cell>
          <cell r="I1326">
            <v>0</v>
          </cell>
          <cell r="J1326">
            <v>0</v>
          </cell>
        </row>
        <row r="1327">
          <cell r="G1327">
            <v>0</v>
          </cell>
          <cell r="H1327">
            <v>0</v>
          </cell>
          <cell r="I1327">
            <v>0</v>
          </cell>
          <cell r="J1327">
            <v>0</v>
          </cell>
        </row>
        <row r="1328">
          <cell r="G1328">
            <v>0</v>
          </cell>
          <cell r="H1328">
            <v>0</v>
          </cell>
          <cell r="I1328">
            <v>0</v>
          </cell>
          <cell r="J1328">
            <v>0</v>
          </cell>
        </row>
        <row r="1329">
          <cell r="G1329">
            <v>0</v>
          </cell>
          <cell r="H1329">
            <v>0</v>
          </cell>
          <cell r="I1329">
            <v>0</v>
          </cell>
          <cell r="J1329">
            <v>0</v>
          </cell>
        </row>
        <row r="1330">
          <cell r="G1330">
            <v>0</v>
          </cell>
          <cell r="H1330">
            <v>0</v>
          </cell>
          <cell r="I1330">
            <v>0</v>
          </cell>
          <cell r="J1330">
            <v>0</v>
          </cell>
        </row>
        <row r="1331">
          <cell r="G1331">
            <v>0</v>
          </cell>
          <cell r="H1331">
            <v>0</v>
          </cell>
          <cell r="I1331">
            <v>0</v>
          </cell>
          <cell r="J1331">
            <v>0</v>
          </cell>
        </row>
        <row r="1332">
          <cell r="G1332">
            <v>0</v>
          </cell>
          <cell r="H1332">
            <v>0</v>
          </cell>
          <cell r="I1332">
            <v>0</v>
          </cell>
          <cell r="J1332">
            <v>0</v>
          </cell>
        </row>
        <row r="1333">
          <cell r="G1333">
            <v>0</v>
          </cell>
          <cell r="H1333">
            <v>0</v>
          </cell>
          <cell r="I1333">
            <v>0</v>
          </cell>
          <cell r="J1333">
            <v>0</v>
          </cell>
        </row>
        <row r="1334">
          <cell r="G1334">
            <v>0</v>
          </cell>
          <cell r="H1334">
            <v>0</v>
          </cell>
          <cell r="I1334">
            <v>0</v>
          </cell>
          <cell r="J1334">
            <v>0</v>
          </cell>
        </row>
        <row r="1335">
          <cell r="G1335">
            <v>0</v>
          </cell>
          <cell r="H1335">
            <v>0</v>
          </cell>
          <cell r="I1335">
            <v>0</v>
          </cell>
          <cell r="J1335">
            <v>0</v>
          </cell>
        </row>
        <row r="1336">
          <cell r="G1336">
            <v>0</v>
          </cell>
          <cell r="H1336">
            <v>0</v>
          </cell>
          <cell r="I1336">
            <v>0</v>
          </cell>
          <cell r="J1336">
            <v>0</v>
          </cell>
        </row>
        <row r="1337">
          <cell r="G1337">
            <v>0</v>
          </cell>
          <cell r="H1337">
            <v>0</v>
          </cell>
          <cell r="I1337">
            <v>0</v>
          </cell>
          <cell r="J1337">
            <v>0</v>
          </cell>
        </row>
        <row r="1338">
          <cell r="G1338">
            <v>0</v>
          </cell>
          <cell r="H1338">
            <v>0</v>
          </cell>
          <cell r="I1338">
            <v>0</v>
          </cell>
          <cell r="J1338">
            <v>0</v>
          </cell>
        </row>
        <row r="1339">
          <cell r="G1339">
            <v>0</v>
          </cell>
          <cell r="H1339">
            <v>0</v>
          </cell>
          <cell r="I1339">
            <v>0</v>
          </cell>
          <cell r="J1339">
            <v>0</v>
          </cell>
        </row>
        <row r="1340">
          <cell r="G1340">
            <v>0</v>
          </cell>
          <cell r="H1340">
            <v>0</v>
          </cell>
          <cell r="I1340">
            <v>0</v>
          </cell>
          <cell r="J1340">
            <v>0</v>
          </cell>
        </row>
        <row r="1341">
          <cell r="G1341">
            <v>0</v>
          </cell>
          <cell r="H1341">
            <v>0</v>
          </cell>
          <cell r="I1341">
            <v>0</v>
          </cell>
          <cell r="J1341">
            <v>0</v>
          </cell>
        </row>
        <row r="1342">
          <cell r="G1342">
            <v>0</v>
          </cell>
          <cell r="H1342">
            <v>0</v>
          </cell>
          <cell r="I1342">
            <v>0</v>
          </cell>
          <cell r="J1342">
            <v>0</v>
          </cell>
        </row>
        <row r="1343">
          <cell r="G1343">
            <v>0</v>
          </cell>
          <cell r="H1343">
            <v>0</v>
          </cell>
          <cell r="I1343">
            <v>0</v>
          </cell>
          <cell r="J1343">
            <v>0</v>
          </cell>
        </row>
        <row r="1344">
          <cell r="G1344">
            <v>0</v>
          </cell>
          <cell r="H1344">
            <v>0</v>
          </cell>
          <cell r="I1344">
            <v>0</v>
          </cell>
          <cell r="J1344">
            <v>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</row>
        <row r="1378">
          <cell r="G1378">
            <v>0</v>
          </cell>
          <cell r="H1378">
            <v>0</v>
          </cell>
          <cell r="I1378">
            <v>0</v>
          </cell>
          <cell r="J1378">
            <v>0</v>
          </cell>
        </row>
        <row r="1379">
          <cell r="G1379">
            <v>0</v>
          </cell>
          <cell r="H1379">
            <v>0</v>
          </cell>
          <cell r="I1379">
            <v>0</v>
          </cell>
          <cell r="J1379">
            <v>0</v>
          </cell>
        </row>
        <row r="1380">
          <cell r="G1380">
            <v>0</v>
          </cell>
          <cell r="H1380">
            <v>0</v>
          </cell>
          <cell r="I1380">
            <v>0</v>
          </cell>
          <cell r="J1380">
            <v>0</v>
          </cell>
        </row>
        <row r="1381">
          <cell r="G1381">
            <v>0</v>
          </cell>
          <cell r="H1381">
            <v>0</v>
          </cell>
          <cell r="I1381">
            <v>0</v>
          </cell>
          <cell r="J1381">
            <v>0</v>
          </cell>
        </row>
        <row r="1382">
          <cell r="G1382">
            <v>0</v>
          </cell>
          <cell r="H1382">
            <v>0</v>
          </cell>
          <cell r="I1382">
            <v>0</v>
          </cell>
          <cell r="J1382">
            <v>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</row>
        <row r="1384">
          <cell r="G1384">
            <v>0</v>
          </cell>
          <cell r="H1384">
            <v>0</v>
          </cell>
          <cell r="I1384">
            <v>0</v>
          </cell>
          <cell r="J1384">
            <v>0</v>
          </cell>
        </row>
        <row r="1385">
          <cell r="G1385">
            <v>0</v>
          </cell>
          <cell r="H1385">
            <v>0</v>
          </cell>
          <cell r="I1385">
            <v>0</v>
          </cell>
          <cell r="J1385">
            <v>0</v>
          </cell>
        </row>
        <row r="1386">
          <cell r="G1386">
            <v>0</v>
          </cell>
          <cell r="H1386">
            <v>0</v>
          </cell>
          <cell r="I1386">
            <v>0</v>
          </cell>
          <cell r="J1386">
            <v>0</v>
          </cell>
        </row>
        <row r="1387">
          <cell r="G1387">
            <v>0</v>
          </cell>
          <cell r="H1387">
            <v>0</v>
          </cell>
          <cell r="I1387">
            <v>0</v>
          </cell>
          <cell r="J1387">
            <v>0</v>
          </cell>
        </row>
        <row r="1388">
          <cell r="G1388">
            <v>0</v>
          </cell>
          <cell r="H1388">
            <v>0</v>
          </cell>
          <cell r="I1388">
            <v>0</v>
          </cell>
          <cell r="J1388">
            <v>0</v>
          </cell>
        </row>
        <row r="1389">
          <cell r="G1389">
            <v>0</v>
          </cell>
          <cell r="H1389">
            <v>0</v>
          </cell>
          <cell r="I1389">
            <v>0</v>
          </cell>
          <cell r="J1389">
            <v>0</v>
          </cell>
        </row>
        <row r="1390">
          <cell r="G1390">
            <v>0</v>
          </cell>
          <cell r="H1390">
            <v>0</v>
          </cell>
          <cell r="I1390">
            <v>0</v>
          </cell>
          <cell r="J1390">
            <v>0</v>
          </cell>
        </row>
        <row r="1391">
          <cell r="G1391">
            <v>0</v>
          </cell>
          <cell r="H1391">
            <v>0</v>
          </cell>
          <cell r="I1391">
            <v>0</v>
          </cell>
          <cell r="J1391">
            <v>0</v>
          </cell>
        </row>
        <row r="1392">
          <cell r="G1392">
            <v>0</v>
          </cell>
          <cell r="H1392">
            <v>0</v>
          </cell>
          <cell r="I1392">
            <v>0</v>
          </cell>
          <cell r="J1392">
            <v>0</v>
          </cell>
        </row>
        <row r="1393">
          <cell r="G1393">
            <v>0</v>
          </cell>
          <cell r="H1393">
            <v>0</v>
          </cell>
          <cell r="I1393">
            <v>0</v>
          </cell>
          <cell r="J1393">
            <v>0</v>
          </cell>
        </row>
        <row r="1394">
          <cell r="G1394">
            <v>0</v>
          </cell>
          <cell r="H1394">
            <v>0</v>
          </cell>
          <cell r="I1394">
            <v>0</v>
          </cell>
          <cell r="J1394">
            <v>0</v>
          </cell>
        </row>
        <row r="1395">
          <cell r="G1395">
            <v>0</v>
          </cell>
          <cell r="H1395">
            <v>0</v>
          </cell>
          <cell r="I1395">
            <v>0</v>
          </cell>
          <cell r="J1395">
            <v>0</v>
          </cell>
        </row>
        <row r="1396">
          <cell r="G1396">
            <v>0</v>
          </cell>
          <cell r="H1396">
            <v>0</v>
          </cell>
          <cell r="I1396">
            <v>0</v>
          </cell>
          <cell r="J1396">
            <v>0</v>
          </cell>
        </row>
        <row r="1397">
          <cell r="G1397">
            <v>0</v>
          </cell>
          <cell r="H1397">
            <v>0</v>
          </cell>
          <cell r="I1397">
            <v>0</v>
          </cell>
          <cell r="J1397">
            <v>0</v>
          </cell>
        </row>
        <row r="1398">
          <cell r="G1398">
            <v>0</v>
          </cell>
          <cell r="H1398">
            <v>0</v>
          </cell>
          <cell r="I1398">
            <v>0</v>
          </cell>
          <cell r="J1398">
            <v>0</v>
          </cell>
        </row>
        <row r="1399">
          <cell r="G1399">
            <v>0</v>
          </cell>
          <cell r="H1399">
            <v>0</v>
          </cell>
          <cell r="I1399">
            <v>0</v>
          </cell>
          <cell r="J1399">
            <v>0</v>
          </cell>
        </row>
        <row r="1400">
          <cell r="G1400">
            <v>0</v>
          </cell>
          <cell r="H1400">
            <v>0</v>
          </cell>
          <cell r="I1400">
            <v>0</v>
          </cell>
          <cell r="J1400">
            <v>0</v>
          </cell>
        </row>
        <row r="1401">
          <cell r="G1401">
            <v>0</v>
          </cell>
          <cell r="H1401">
            <v>0</v>
          </cell>
          <cell r="I1401">
            <v>0</v>
          </cell>
          <cell r="J1401">
            <v>0</v>
          </cell>
        </row>
        <row r="1402">
          <cell r="G1402">
            <v>0</v>
          </cell>
          <cell r="H1402">
            <v>0</v>
          </cell>
          <cell r="I1402">
            <v>0</v>
          </cell>
          <cell r="J1402">
            <v>0</v>
          </cell>
        </row>
        <row r="1403">
          <cell r="G1403">
            <v>0</v>
          </cell>
          <cell r="H1403">
            <v>0</v>
          </cell>
          <cell r="I1403">
            <v>0</v>
          </cell>
          <cell r="J1403">
            <v>0</v>
          </cell>
        </row>
        <row r="1404">
          <cell r="G1404">
            <v>0</v>
          </cell>
          <cell r="H1404">
            <v>0</v>
          </cell>
          <cell r="I1404">
            <v>0</v>
          </cell>
          <cell r="J1404">
            <v>0</v>
          </cell>
        </row>
        <row r="1405">
          <cell r="G1405">
            <v>0</v>
          </cell>
          <cell r="H1405">
            <v>0</v>
          </cell>
          <cell r="I1405">
            <v>0</v>
          </cell>
          <cell r="J1405">
            <v>0</v>
          </cell>
        </row>
        <row r="1406">
          <cell r="G1406">
            <v>0</v>
          </cell>
          <cell r="H1406">
            <v>0</v>
          </cell>
          <cell r="I1406">
            <v>0</v>
          </cell>
          <cell r="J1406">
            <v>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</row>
        <row r="1409">
          <cell r="G1409">
            <v>0</v>
          </cell>
          <cell r="H1409">
            <v>0</v>
          </cell>
          <cell r="I1409">
            <v>0</v>
          </cell>
          <cell r="J1409">
            <v>0</v>
          </cell>
        </row>
        <row r="1410">
          <cell r="G1410">
            <v>0</v>
          </cell>
          <cell r="H1410">
            <v>0</v>
          </cell>
          <cell r="I1410">
            <v>0</v>
          </cell>
          <cell r="J1410">
            <v>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</row>
        <row r="1412">
          <cell r="G1412">
            <v>0</v>
          </cell>
          <cell r="H1412">
            <v>0</v>
          </cell>
          <cell r="I1412">
            <v>0</v>
          </cell>
          <cell r="J1412">
            <v>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</row>
        <row r="1416">
          <cell r="G1416">
            <v>0</v>
          </cell>
          <cell r="H1416">
            <v>0</v>
          </cell>
          <cell r="I1416">
            <v>0</v>
          </cell>
          <cell r="J1416">
            <v>0</v>
          </cell>
        </row>
        <row r="1417">
          <cell r="G1417">
            <v>0</v>
          </cell>
          <cell r="H1417">
            <v>0</v>
          </cell>
          <cell r="I1417">
            <v>0</v>
          </cell>
          <cell r="J1417">
            <v>0</v>
          </cell>
        </row>
        <row r="1418">
          <cell r="G1418">
            <v>0</v>
          </cell>
          <cell r="H1418">
            <v>0</v>
          </cell>
          <cell r="I1418">
            <v>0</v>
          </cell>
          <cell r="J1418">
            <v>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</row>
        <row r="1420">
          <cell r="G1420">
            <v>0</v>
          </cell>
          <cell r="H1420">
            <v>0</v>
          </cell>
          <cell r="I1420">
            <v>0</v>
          </cell>
          <cell r="J1420">
            <v>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</row>
        <row r="1424">
          <cell r="G1424">
            <v>0</v>
          </cell>
          <cell r="H1424">
            <v>0</v>
          </cell>
          <cell r="I1424">
            <v>0</v>
          </cell>
          <cell r="J1424">
            <v>0</v>
          </cell>
        </row>
        <row r="1425">
          <cell r="G1425">
            <v>0</v>
          </cell>
          <cell r="H1425">
            <v>0</v>
          </cell>
          <cell r="I1425">
            <v>0</v>
          </cell>
          <cell r="J1425">
            <v>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</row>
        <row r="1428">
          <cell r="G1428">
            <v>0</v>
          </cell>
          <cell r="H1428">
            <v>0</v>
          </cell>
          <cell r="I1428">
            <v>0</v>
          </cell>
          <cell r="J1428">
            <v>0</v>
          </cell>
        </row>
        <row r="1429">
          <cell r="G1429">
            <v>0</v>
          </cell>
          <cell r="H1429">
            <v>0</v>
          </cell>
          <cell r="I1429">
            <v>0</v>
          </cell>
          <cell r="J1429">
            <v>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</row>
        <row r="1433">
          <cell r="G1433">
            <v>0</v>
          </cell>
          <cell r="H1433">
            <v>0</v>
          </cell>
          <cell r="I1433">
            <v>0</v>
          </cell>
          <cell r="J1433">
            <v>0</v>
          </cell>
        </row>
        <row r="1434">
          <cell r="G1434">
            <v>0</v>
          </cell>
          <cell r="H1434">
            <v>0</v>
          </cell>
          <cell r="I1434">
            <v>0</v>
          </cell>
          <cell r="J1434">
            <v>0</v>
          </cell>
        </row>
        <row r="1435">
          <cell r="G1435">
            <v>0</v>
          </cell>
          <cell r="H1435">
            <v>0</v>
          </cell>
          <cell r="I1435">
            <v>0</v>
          </cell>
          <cell r="J1435">
            <v>0</v>
          </cell>
        </row>
        <row r="1436">
          <cell r="G1436">
            <v>0</v>
          </cell>
          <cell r="H1436">
            <v>0</v>
          </cell>
          <cell r="I1436">
            <v>0</v>
          </cell>
          <cell r="J1436">
            <v>0</v>
          </cell>
        </row>
        <row r="1437">
          <cell r="G1437">
            <v>0</v>
          </cell>
          <cell r="H1437">
            <v>0</v>
          </cell>
          <cell r="I1437">
            <v>0</v>
          </cell>
          <cell r="J1437">
            <v>0</v>
          </cell>
        </row>
        <row r="1438">
          <cell r="G1438">
            <v>0</v>
          </cell>
          <cell r="H1438">
            <v>0</v>
          </cell>
          <cell r="I1438">
            <v>0</v>
          </cell>
          <cell r="J1438">
            <v>0</v>
          </cell>
        </row>
        <row r="1439">
          <cell r="G1439">
            <v>0</v>
          </cell>
          <cell r="H1439">
            <v>0</v>
          </cell>
          <cell r="I1439">
            <v>0</v>
          </cell>
          <cell r="J1439">
            <v>0</v>
          </cell>
        </row>
        <row r="1440">
          <cell r="G1440">
            <v>0</v>
          </cell>
          <cell r="H1440">
            <v>0</v>
          </cell>
          <cell r="I1440">
            <v>0</v>
          </cell>
          <cell r="J1440">
            <v>0</v>
          </cell>
        </row>
        <row r="1441">
          <cell r="G1441">
            <v>0</v>
          </cell>
          <cell r="H1441">
            <v>0</v>
          </cell>
          <cell r="I1441">
            <v>0</v>
          </cell>
          <cell r="J1441">
            <v>0</v>
          </cell>
        </row>
        <row r="1442">
          <cell r="G1442">
            <v>0</v>
          </cell>
          <cell r="H1442">
            <v>0</v>
          </cell>
          <cell r="I1442">
            <v>0</v>
          </cell>
          <cell r="J1442">
            <v>0</v>
          </cell>
        </row>
        <row r="1443">
          <cell r="G1443">
            <v>0</v>
          </cell>
          <cell r="H1443">
            <v>0</v>
          </cell>
          <cell r="I1443">
            <v>0</v>
          </cell>
          <cell r="J1443">
            <v>0</v>
          </cell>
        </row>
        <row r="1444">
          <cell r="G1444">
            <v>0</v>
          </cell>
          <cell r="H1444">
            <v>0</v>
          </cell>
          <cell r="I1444">
            <v>0</v>
          </cell>
          <cell r="J1444">
            <v>0</v>
          </cell>
        </row>
        <row r="1445">
          <cell r="G1445">
            <v>0</v>
          </cell>
          <cell r="H1445">
            <v>0</v>
          </cell>
          <cell r="I1445">
            <v>0</v>
          </cell>
          <cell r="J1445">
            <v>0</v>
          </cell>
        </row>
        <row r="1446">
          <cell r="G1446">
            <v>0</v>
          </cell>
          <cell r="H1446">
            <v>0</v>
          </cell>
          <cell r="I1446">
            <v>0</v>
          </cell>
          <cell r="J1446">
            <v>0</v>
          </cell>
        </row>
        <row r="1447">
          <cell r="G1447">
            <v>0</v>
          </cell>
          <cell r="H1447">
            <v>0</v>
          </cell>
          <cell r="I1447">
            <v>0</v>
          </cell>
          <cell r="J1447">
            <v>0</v>
          </cell>
        </row>
        <row r="1448">
          <cell r="G1448">
            <v>0</v>
          </cell>
          <cell r="H1448">
            <v>0</v>
          </cell>
          <cell r="I1448">
            <v>0</v>
          </cell>
          <cell r="J1448">
            <v>0</v>
          </cell>
        </row>
        <row r="1449">
          <cell r="G1449">
            <v>0</v>
          </cell>
          <cell r="H1449">
            <v>0</v>
          </cell>
          <cell r="I1449">
            <v>0</v>
          </cell>
          <cell r="J1449">
            <v>0</v>
          </cell>
        </row>
        <row r="1450">
          <cell r="G1450">
            <v>0</v>
          </cell>
          <cell r="H1450">
            <v>0</v>
          </cell>
          <cell r="I1450">
            <v>0</v>
          </cell>
          <cell r="J1450">
            <v>0</v>
          </cell>
        </row>
        <row r="1451">
          <cell r="G1451">
            <v>0</v>
          </cell>
          <cell r="H1451">
            <v>0</v>
          </cell>
          <cell r="I1451">
            <v>0</v>
          </cell>
          <cell r="J1451">
            <v>0</v>
          </cell>
        </row>
        <row r="1452">
          <cell r="G1452">
            <v>0</v>
          </cell>
          <cell r="H1452">
            <v>0</v>
          </cell>
          <cell r="I1452">
            <v>0</v>
          </cell>
          <cell r="J1452">
            <v>0</v>
          </cell>
        </row>
        <row r="1453">
          <cell r="G1453">
            <v>0</v>
          </cell>
          <cell r="H1453">
            <v>0</v>
          </cell>
          <cell r="I1453">
            <v>0</v>
          </cell>
          <cell r="J1453">
            <v>0</v>
          </cell>
        </row>
        <row r="1454">
          <cell r="G1454">
            <v>0</v>
          </cell>
          <cell r="H1454">
            <v>0</v>
          </cell>
          <cell r="I1454">
            <v>0</v>
          </cell>
          <cell r="J1454">
            <v>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</row>
        <row r="1457">
          <cell r="G1457">
            <v>0</v>
          </cell>
          <cell r="H1457">
            <v>0</v>
          </cell>
          <cell r="I1457">
            <v>0</v>
          </cell>
          <cell r="J1457">
            <v>0</v>
          </cell>
        </row>
        <row r="1458">
          <cell r="G1458">
            <v>0</v>
          </cell>
          <cell r="H1458">
            <v>0</v>
          </cell>
          <cell r="I1458">
            <v>0</v>
          </cell>
          <cell r="J1458">
            <v>0</v>
          </cell>
        </row>
        <row r="1459">
          <cell r="G1459">
            <v>0</v>
          </cell>
          <cell r="H1459">
            <v>0</v>
          </cell>
          <cell r="I1459">
            <v>0</v>
          </cell>
          <cell r="J1459">
            <v>0</v>
          </cell>
        </row>
        <row r="1460">
          <cell r="G1460">
            <v>0</v>
          </cell>
          <cell r="H1460">
            <v>0</v>
          </cell>
          <cell r="I1460">
            <v>0</v>
          </cell>
          <cell r="J1460">
            <v>0</v>
          </cell>
        </row>
        <row r="1461">
          <cell r="G1461">
            <v>0</v>
          </cell>
          <cell r="H1461">
            <v>0</v>
          </cell>
          <cell r="I1461">
            <v>0</v>
          </cell>
          <cell r="J1461">
            <v>0</v>
          </cell>
        </row>
        <row r="1462">
          <cell r="G1462">
            <v>0</v>
          </cell>
          <cell r="H1462">
            <v>0</v>
          </cell>
          <cell r="I1462">
            <v>0</v>
          </cell>
          <cell r="J1462">
            <v>0</v>
          </cell>
        </row>
        <row r="1463">
          <cell r="G1463">
            <v>0</v>
          </cell>
          <cell r="H1463">
            <v>0</v>
          </cell>
          <cell r="I1463">
            <v>0</v>
          </cell>
          <cell r="J1463">
            <v>0</v>
          </cell>
        </row>
        <row r="1464">
          <cell r="G1464">
            <v>0</v>
          </cell>
          <cell r="H1464">
            <v>0</v>
          </cell>
          <cell r="I1464">
            <v>0</v>
          </cell>
          <cell r="J1464">
            <v>0</v>
          </cell>
        </row>
        <row r="1465">
          <cell r="G1465">
            <v>0</v>
          </cell>
          <cell r="H1465">
            <v>0</v>
          </cell>
          <cell r="I1465">
            <v>0</v>
          </cell>
          <cell r="J1465">
            <v>0</v>
          </cell>
        </row>
        <row r="1466">
          <cell r="G1466">
            <v>0</v>
          </cell>
          <cell r="H1466">
            <v>0</v>
          </cell>
          <cell r="I1466">
            <v>0</v>
          </cell>
          <cell r="J1466">
            <v>0</v>
          </cell>
        </row>
        <row r="1467">
          <cell r="G1467">
            <v>0</v>
          </cell>
          <cell r="H1467">
            <v>0</v>
          </cell>
          <cell r="I1467">
            <v>0</v>
          </cell>
          <cell r="J1467">
            <v>0</v>
          </cell>
        </row>
        <row r="1468">
          <cell r="G1468">
            <v>0</v>
          </cell>
          <cell r="H1468">
            <v>0</v>
          </cell>
          <cell r="I1468">
            <v>0</v>
          </cell>
          <cell r="J1468">
            <v>0</v>
          </cell>
        </row>
        <row r="1469">
          <cell r="G1469">
            <v>0</v>
          </cell>
          <cell r="H1469">
            <v>0</v>
          </cell>
          <cell r="I1469">
            <v>0</v>
          </cell>
          <cell r="J1469">
            <v>0</v>
          </cell>
        </row>
        <row r="1470">
          <cell r="G1470">
            <v>0</v>
          </cell>
          <cell r="H1470">
            <v>0</v>
          </cell>
          <cell r="I1470">
            <v>0</v>
          </cell>
          <cell r="J1470">
            <v>0</v>
          </cell>
        </row>
        <row r="1471">
          <cell r="G1471">
            <v>0</v>
          </cell>
          <cell r="H1471">
            <v>0</v>
          </cell>
          <cell r="I1471">
            <v>0</v>
          </cell>
          <cell r="J1471">
            <v>0</v>
          </cell>
        </row>
        <row r="1472">
          <cell r="G1472">
            <v>0</v>
          </cell>
          <cell r="H1472">
            <v>0</v>
          </cell>
          <cell r="I1472">
            <v>0</v>
          </cell>
          <cell r="J1472">
            <v>0</v>
          </cell>
        </row>
        <row r="1473">
          <cell r="G1473">
            <v>0</v>
          </cell>
          <cell r="H1473">
            <v>0</v>
          </cell>
          <cell r="I1473">
            <v>0</v>
          </cell>
          <cell r="J1473">
            <v>0</v>
          </cell>
        </row>
        <row r="1474">
          <cell r="G1474">
            <v>0</v>
          </cell>
          <cell r="H1474">
            <v>0</v>
          </cell>
          <cell r="I1474">
            <v>0</v>
          </cell>
          <cell r="J1474">
            <v>0</v>
          </cell>
        </row>
        <row r="1475">
          <cell r="G1475">
            <v>0</v>
          </cell>
          <cell r="H1475">
            <v>0</v>
          </cell>
          <cell r="I1475">
            <v>0</v>
          </cell>
          <cell r="J1475">
            <v>0</v>
          </cell>
        </row>
        <row r="1476">
          <cell r="G1476">
            <v>0</v>
          </cell>
          <cell r="H1476">
            <v>0</v>
          </cell>
          <cell r="I1476">
            <v>0</v>
          </cell>
          <cell r="J1476">
            <v>0</v>
          </cell>
        </row>
        <row r="1477">
          <cell r="G1477">
            <v>0</v>
          </cell>
          <cell r="H1477">
            <v>0</v>
          </cell>
          <cell r="I1477">
            <v>0</v>
          </cell>
          <cell r="J1477">
            <v>0</v>
          </cell>
        </row>
        <row r="1478">
          <cell r="G1478">
            <v>0</v>
          </cell>
          <cell r="H1478">
            <v>0</v>
          </cell>
          <cell r="I1478">
            <v>0</v>
          </cell>
          <cell r="J1478">
            <v>0</v>
          </cell>
        </row>
        <row r="1479">
          <cell r="G1479">
            <v>0</v>
          </cell>
          <cell r="H1479">
            <v>0</v>
          </cell>
          <cell r="I1479">
            <v>0</v>
          </cell>
          <cell r="J1479">
            <v>0</v>
          </cell>
        </row>
        <row r="1480">
          <cell r="G1480">
            <v>0</v>
          </cell>
          <cell r="H1480">
            <v>0</v>
          </cell>
          <cell r="I1480">
            <v>0</v>
          </cell>
          <cell r="J1480">
            <v>0</v>
          </cell>
        </row>
        <row r="1481">
          <cell r="G1481">
            <v>0</v>
          </cell>
          <cell r="H1481">
            <v>0</v>
          </cell>
          <cell r="I1481">
            <v>0</v>
          </cell>
          <cell r="J1481">
            <v>0</v>
          </cell>
        </row>
        <row r="1482">
          <cell r="G1482">
            <v>0</v>
          </cell>
          <cell r="H1482">
            <v>0</v>
          </cell>
          <cell r="I1482">
            <v>0</v>
          </cell>
          <cell r="J1482">
            <v>0</v>
          </cell>
        </row>
        <row r="1483">
          <cell r="G1483">
            <v>0</v>
          </cell>
          <cell r="H1483">
            <v>0</v>
          </cell>
          <cell r="I1483">
            <v>0</v>
          </cell>
          <cell r="J1483">
            <v>0</v>
          </cell>
        </row>
        <row r="1484">
          <cell r="G1484">
            <v>0</v>
          </cell>
          <cell r="H1484">
            <v>0</v>
          </cell>
          <cell r="I1484">
            <v>0</v>
          </cell>
          <cell r="J1484">
            <v>0</v>
          </cell>
        </row>
        <row r="1485">
          <cell r="G1485">
            <v>0</v>
          </cell>
          <cell r="H1485">
            <v>0</v>
          </cell>
          <cell r="I1485">
            <v>0</v>
          </cell>
          <cell r="J1485">
            <v>0</v>
          </cell>
        </row>
        <row r="1486">
          <cell r="G1486">
            <v>0</v>
          </cell>
          <cell r="H1486">
            <v>0</v>
          </cell>
          <cell r="I1486">
            <v>0</v>
          </cell>
          <cell r="J1486">
            <v>0</v>
          </cell>
        </row>
        <row r="1487">
          <cell r="G1487">
            <v>0</v>
          </cell>
          <cell r="H1487">
            <v>0</v>
          </cell>
          <cell r="I1487">
            <v>0</v>
          </cell>
          <cell r="J1487">
            <v>0</v>
          </cell>
        </row>
        <row r="1488">
          <cell r="G1488">
            <v>0</v>
          </cell>
          <cell r="H1488">
            <v>0</v>
          </cell>
          <cell r="I1488">
            <v>0</v>
          </cell>
          <cell r="J1488">
            <v>0</v>
          </cell>
        </row>
        <row r="1489">
          <cell r="G1489">
            <v>0</v>
          </cell>
          <cell r="H1489">
            <v>0</v>
          </cell>
          <cell r="I1489">
            <v>0</v>
          </cell>
          <cell r="J1489">
            <v>0</v>
          </cell>
        </row>
        <row r="1490">
          <cell r="G1490">
            <v>0</v>
          </cell>
          <cell r="H1490">
            <v>0</v>
          </cell>
          <cell r="I1490">
            <v>0</v>
          </cell>
          <cell r="J1490">
            <v>0</v>
          </cell>
        </row>
        <row r="1491">
          <cell r="G1491">
            <v>0</v>
          </cell>
          <cell r="H1491">
            <v>0</v>
          </cell>
          <cell r="I1491">
            <v>0</v>
          </cell>
          <cell r="J1491">
            <v>0</v>
          </cell>
        </row>
        <row r="1492">
          <cell r="G1492">
            <v>0</v>
          </cell>
          <cell r="H1492">
            <v>0</v>
          </cell>
          <cell r="I1492">
            <v>0</v>
          </cell>
          <cell r="J1492">
            <v>0</v>
          </cell>
        </row>
        <row r="1493">
          <cell r="G1493">
            <v>0</v>
          </cell>
          <cell r="H1493">
            <v>0</v>
          </cell>
          <cell r="I1493">
            <v>0</v>
          </cell>
          <cell r="J1493">
            <v>0</v>
          </cell>
        </row>
        <row r="1494">
          <cell r="G1494">
            <v>0</v>
          </cell>
          <cell r="H1494">
            <v>0</v>
          </cell>
          <cell r="I1494">
            <v>0</v>
          </cell>
          <cell r="J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0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0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0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0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0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0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0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0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0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0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0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0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0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0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0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0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0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0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0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0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0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0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0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0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0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0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0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0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0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0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0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0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0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0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0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0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0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0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0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0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0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0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0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0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0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0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0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0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0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0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0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0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0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0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0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0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0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0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0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0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0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0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0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0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0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0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0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0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0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0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0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0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0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0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0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0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0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0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0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0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0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0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0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0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0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0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0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0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0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0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0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0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0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0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0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0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0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0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0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0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0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0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0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0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0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0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0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0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0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0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0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0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0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0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0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0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0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0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0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0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0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0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0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0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0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0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0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0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0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0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0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0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0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0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0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0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0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0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0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0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0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0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0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0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0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0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0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0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0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0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0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0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0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0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0</v>
          </cell>
        </row>
        <row r="1948">
          <cell r="G1948">
            <v>0</v>
          </cell>
          <cell r="H1948">
            <v>0</v>
          </cell>
          <cell r="I1948">
            <v>0</v>
          </cell>
          <cell r="J1948">
            <v>0</v>
          </cell>
        </row>
        <row r="1949">
          <cell r="G1949">
            <v>0</v>
          </cell>
          <cell r="H1949">
            <v>0</v>
          </cell>
          <cell r="I1949">
            <v>0</v>
          </cell>
          <cell r="J1949">
            <v>0</v>
          </cell>
        </row>
        <row r="1950">
          <cell r="G1950">
            <v>0</v>
          </cell>
          <cell r="H1950">
            <v>0</v>
          </cell>
          <cell r="I1950">
            <v>0</v>
          </cell>
          <cell r="J1950">
            <v>0</v>
          </cell>
        </row>
        <row r="1951">
          <cell r="G1951">
            <v>0</v>
          </cell>
          <cell r="H1951">
            <v>0</v>
          </cell>
          <cell r="I1951">
            <v>0</v>
          </cell>
          <cell r="J1951">
            <v>0</v>
          </cell>
        </row>
        <row r="1952">
          <cell r="G1952">
            <v>0</v>
          </cell>
          <cell r="H1952">
            <v>0</v>
          </cell>
          <cell r="I1952">
            <v>0</v>
          </cell>
          <cell r="J1952">
            <v>0</v>
          </cell>
        </row>
        <row r="1953">
          <cell r="G1953">
            <v>0</v>
          </cell>
          <cell r="H1953">
            <v>0</v>
          </cell>
          <cell r="I1953">
            <v>0</v>
          </cell>
          <cell r="J1953">
            <v>0</v>
          </cell>
        </row>
        <row r="1954">
          <cell r="G1954">
            <v>0</v>
          </cell>
          <cell r="H1954">
            <v>0</v>
          </cell>
          <cell r="I1954">
            <v>0</v>
          </cell>
          <cell r="J1954">
            <v>0</v>
          </cell>
        </row>
        <row r="1955">
          <cell r="G1955">
            <v>0</v>
          </cell>
          <cell r="H1955">
            <v>0</v>
          </cell>
          <cell r="I1955">
            <v>0</v>
          </cell>
          <cell r="J1955">
            <v>0</v>
          </cell>
        </row>
        <row r="1956">
          <cell r="G1956">
            <v>0</v>
          </cell>
          <cell r="H1956">
            <v>0</v>
          </cell>
          <cell r="I1956">
            <v>0</v>
          </cell>
          <cell r="J1956">
            <v>0</v>
          </cell>
        </row>
        <row r="1957">
          <cell r="G1957">
            <v>0</v>
          </cell>
          <cell r="H1957">
            <v>0</v>
          </cell>
          <cell r="I1957">
            <v>0</v>
          </cell>
          <cell r="J1957">
            <v>0</v>
          </cell>
        </row>
        <row r="1958">
          <cell r="G1958">
            <v>0</v>
          </cell>
          <cell r="H1958">
            <v>0</v>
          </cell>
          <cell r="I1958">
            <v>0</v>
          </cell>
          <cell r="J1958">
            <v>0</v>
          </cell>
        </row>
        <row r="1959">
          <cell r="G1959">
            <v>0</v>
          </cell>
          <cell r="H1959">
            <v>0</v>
          </cell>
          <cell r="I1959">
            <v>0</v>
          </cell>
          <cell r="J1959">
            <v>0</v>
          </cell>
        </row>
        <row r="1960">
          <cell r="G1960">
            <v>0</v>
          </cell>
          <cell r="H1960">
            <v>0</v>
          </cell>
          <cell r="I1960">
            <v>0</v>
          </cell>
          <cell r="J1960">
            <v>0</v>
          </cell>
        </row>
        <row r="1961">
          <cell r="G1961">
            <v>0</v>
          </cell>
          <cell r="H1961">
            <v>0</v>
          </cell>
          <cell r="I1961">
            <v>0</v>
          </cell>
          <cell r="J1961">
            <v>0</v>
          </cell>
        </row>
        <row r="1962">
          <cell r="G1962">
            <v>0</v>
          </cell>
          <cell r="H1962">
            <v>0</v>
          </cell>
          <cell r="I1962">
            <v>0</v>
          </cell>
          <cell r="J1962">
            <v>0</v>
          </cell>
        </row>
        <row r="1963">
          <cell r="G1963">
            <v>0</v>
          </cell>
          <cell r="H1963">
            <v>0</v>
          </cell>
          <cell r="I1963">
            <v>0</v>
          </cell>
          <cell r="J1963">
            <v>0</v>
          </cell>
        </row>
        <row r="1964">
          <cell r="G1964">
            <v>0</v>
          </cell>
          <cell r="H1964">
            <v>0</v>
          </cell>
          <cell r="I1964">
            <v>0</v>
          </cell>
          <cell r="J1964">
            <v>0</v>
          </cell>
        </row>
        <row r="1965">
          <cell r="G1965">
            <v>0</v>
          </cell>
          <cell r="H1965">
            <v>0</v>
          </cell>
          <cell r="I1965">
            <v>0</v>
          </cell>
          <cell r="J1965">
            <v>0</v>
          </cell>
        </row>
        <row r="1966">
          <cell r="G1966">
            <v>0</v>
          </cell>
          <cell r="H1966">
            <v>0</v>
          </cell>
          <cell r="I1966">
            <v>0</v>
          </cell>
          <cell r="J1966">
            <v>0</v>
          </cell>
        </row>
        <row r="1967">
          <cell r="G1967">
            <v>0</v>
          </cell>
          <cell r="H1967">
            <v>0</v>
          </cell>
          <cell r="I1967">
            <v>0</v>
          </cell>
          <cell r="J1967">
            <v>0</v>
          </cell>
        </row>
        <row r="1968">
          <cell r="G1968">
            <v>0</v>
          </cell>
          <cell r="H1968">
            <v>0</v>
          </cell>
          <cell r="I1968">
            <v>0</v>
          </cell>
          <cell r="J1968">
            <v>0</v>
          </cell>
        </row>
        <row r="1969">
          <cell r="G1969">
            <v>0</v>
          </cell>
          <cell r="H1969">
            <v>0</v>
          </cell>
          <cell r="I1969">
            <v>0</v>
          </cell>
          <cell r="J1969">
            <v>0</v>
          </cell>
        </row>
        <row r="1970">
          <cell r="G1970">
            <v>0</v>
          </cell>
          <cell r="H1970">
            <v>0</v>
          </cell>
          <cell r="I1970">
            <v>0</v>
          </cell>
          <cell r="J1970">
            <v>0</v>
          </cell>
        </row>
        <row r="1971">
          <cell r="G1971">
            <v>0</v>
          </cell>
          <cell r="H1971">
            <v>0</v>
          </cell>
          <cell r="I1971">
            <v>0</v>
          </cell>
          <cell r="J1971">
            <v>0</v>
          </cell>
        </row>
        <row r="1972">
          <cell r="G1972">
            <v>0</v>
          </cell>
          <cell r="H1972">
            <v>0</v>
          </cell>
          <cell r="I1972">
            <v>0</v>
          </cell>
          <cell r="J1972">
            <v>0</v>
          </cell>
        </row>
        <row r="1973">
          <cell r="G1973">
            <v>0</v>
          </cell>
          <cell r="H1973">
            <v>0</v>
          </cell>
          <cell r="I1973">
            <v>0</v>
          </cell>
          <cell r="J1973">
            <v>0</v>
          </cell>
        </row>
        <row r="1974">
          <cell r="G1974">
            <v>0</v>
          </cell>
          <cell r="H1974">
            <v>0</v>
          </cell>
          <cell r="I1974">
            <v>0</v>
          </cell>
          <cell r="J1974">
            <v>0</v>
          </cell>
        </row>
        <row r="1975">
          <cell r="G1975">
            <v>0</v>
          </cell>
          <cell r="H1975">
            <v>0</v>
          </cell>
          <cell r="I1975">
            <v>0</v>
          </cell>
          <cell r="J1975">
            <v>0</v>
          </cell>
        </row>
        <row r="1976">
          <cell r="G1976">
            <v>0</v>
          </cell>
          <cell r="H1976">
            <v>0</v>
          </cell>
          <cell r="I1976">
            <v>0</v>
          </cell>
          <cell r="J1976">
            <v>0</v>
          </cell>
        </row>
        <row r="1977">
          <cell r="G1977">
            <v>0</v>
          </cell>
          <cell r="H1977">
            <v>0</v>
          </cell>
          <cell r="I1977">
            <v>0</v>
          </cell>
          <cell r="J1977">
            <v>0</v>
          </cell>
        </row>
        <row r="1978">
          <cell r="G1978">
            <v>0</v>
          </cell>
          <cell r="H1978">
            <v>0</v>
          </cell>
          <cell r="I1978">
            <v>0</v>
          </cell>
          <cell r="J1978">
            <v>0</v>
          </cell>
        </row>
        <row r="1979">
          <cell r="G1979">
            <v>0</v>
          </cell>
          <cell r="H1979">
            <v>0</v>
          </cell>
          <cell r="I1979">
            <v>0</v>
          </cell>
          <cell r="J1979">
            <v>0</v>
          </cell>
        </row>
        <row r="1980">
          <cell r="G1980">
            <v>0</v>
          </cell>
          <cell r="H1980">
            <v>0</v>
          </cell>
          <cell r="I1980">
            <v>0</v>
          </cell>
          <cell r="J1980">
            <v>0</v>
          </cell>
        </row>
        <row r="1981">
          <cell r="G1981">
            <v>0</v>
          </cell>
          <cell r="H1981">
            <v>0</v>
          </cell>
          <cell r="I1981">
            <v>0</v>
          </cell>
          <cell r="J1981">
            <v>0</v>
          </cell>
        </row>
        <row r="1982">
          <cell r="G1982">
            <v>0</v>
          </cell>
          <cell r="H1982">
            <v>0</v>
          </cell>
          <cell r="I1982">
            <v>0</v>
          </cell>
          <cell r="J1982">
            <v>0</v>
          </cell>
        </row>
        <row r="1983">
          <cell r="G1983">
            <v>0</v>
          </cell>
          <cell r="H1983">
            <v>0</v>
          </cell>
          <cell r="I1983">
            <v>0</v>
          </cell>
          <cell r="J1983">
            <v>0</v>
          </cell>
        </row>
        <row r="1984">
          <cell r="G1984">
            <v>0</v>
          </cell>
          <cell r="H1984">
            <v>0</v>
          </cell>
          <cell r="I1984">
            <v>0</v>
          </cell>
          <cell r="J1984">
            <v>0</v>
          </cell>
        </row>
        <row r="1985">
          <cell r="G1985">
            <v>0</v>
          </cell>
          <cell r="H1985">
            <v>0</v>
          </cell>
          <cell r="I1985">
            <v>0</v>
          </cell>
          <cell r="J1985">
            <v>0</v>
          </cell>
        </row>
        <row r="1986">
          <cell r="G1986">
            <v>0</v>
          </cell>
          <cell r="H1986">
            <v>0</v>
          </cell>
          <cell r="I1986">
            <v>0</v>
          </cell>
          <cell r="J1986">
            <v>0</v>
          </cell>
        </row>
        <row r="1987">
          <cell r="G1987">
            <v>0</v>
          </cell>
          <cell r="H1987">
            <v>0</v>
          </cell>
          <cell r="I1987">
            <v>0</v>
          </cell>
          <cell r="J1987">
            <v>0</v>
          </cell>
        </row>
        <row r="1988">
          <cell r="G1988">
            <v>0</v>
          </cell>
          <cell r="H1988">
            <v>0</v>
          </cell>
          <cell r="I1988">
            <v>0</v>
          </cell>
          <cell r="J1988">
            <v>0</v>
          </cell>
        </row>
        <row r="1989">
          <cell r="G1989">
            <v>0</v>
          </cell>
          <cell r="H1989">
            <v>0</v>
          </cell>
          <cell r="I1989">
            <v>0</v>
          </cell>
          <cell r="J1989">
            <v>0</v>
          </cell>
        </row>
        <row r="1990">
          <cell r="G1990">
            <v>0</v>
          </cell>
          <cell r="H1990">
            <v>0</v>
          </cell>
          <cell r="I1990">
            <v>0</v>
          </cell>
          <cell r="J1990">
            <v>0</v>
          </cell>
        </row>
        <row r="1991">
          <cell r="G1991">
            <v>0</v>
          </cell>
          <cell r="H1991">
            <v>0</v>
          </cell>
          <cell r="I1991">
            <v>0</v>
          </cell>
          <cell r="J1991">
            <v>0</v>
          </cell>
        </row>
        <row r="1992">
          <cell r="G1992">
            <v>0</v>
          </cell>
          <cell r="H1992">
            <v>0</v>
          </cell>
          <cell r="I1992">
            <v>0</v>
          </cell>
          <cell r="J1992">
            <v>0</v>
          </cell>
        </row>
        <row r="1993">
          <cell r="G1993">
            <v>0</v>
          </cell>
          <cell r="H1993">
            <v>0</v>
          </cell>
          <cell r="I1993">
            <v>0</v>
          </cell>
          <cell r="J1993">
            <v>0</v>
          </cell>
        </row>
        <row r="1994">
          <cell r="G1994">
            <v>0</v>
          </cell>
          <cell r="H1994">
            <v>0</v>
          </cell>
          <cell r="I1994">
            <v>0</v>
          </cell>
          <cell r="J1994">
            <v>0</v>
          </cell>
        </row>
        <row r="1995">
          <cell r="G1995">
            <v>0</v>
          </cell>
          <cell r="H1995">
            <v>0</v>
          </cell>
          <cell r="I1995">
            <v>0</v>
          </cell>
          <cell r="J1995">
            <v>0</v>
          </cell>
        </row>
        <row r="1996">
          <cell r="G1996">
            <v>0</v>
          </cell>
          <cell r="H1996">
            <v>0</v>
          </cell>
          <cell r="I1996">
            <v>0</v>
          </cell>
          <cell r="J1996">
            <v>0</v>
          </cell>
        </row>
        <row r="1997">
          <cell r="G1997">
            <v>0</v>
          </cell>
          <cell r="H1997">
            <v>0</v>
          </cell>
          <cell r="I1997">
            <v>0</v>
          </cell>
          <cell r="J1997">
            <v>0</v>
          </cell>
        </row>
        <row r="1998">
          <cell r="G1998">
            <v>0</v>
          </cell>
          <cell r="H1998">
            <v>0</v>
          </cell>
          <cell r="I1998">
            <v>0</v>
          </cell>
          <cell r="J1998">
            <v>0</v>
          </cell>
        </row>
        <row r="1999">
          <cell r="G1999">
            <v>0</v>
          </cell>
          <cell r="H1999">
            <v>0</v>
          </cell>
          <cell r="I1999">
            <v>0</v>
          </cell>
          <cell r="J1999">
            <v>0</v>
          </cell>
        </row>
        <row r="2000">
          <cell r="G2000">
            <v>0</v>
          </cell>
          <cell r="H2000">
            <v>0</v>
          </cell>
          <cell r="I2000">
            <v>0</v>
          </cell>
          <cell r="J2000">
            <v>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L Subcontrac"/>
      <sheetName val="DCD SCAN"/>
      <sheetName val="List SL trả mẫu"/>
      <sheetName val="SL in-out"/>
      <sheetName val="DDE acount"/>
      <sheetName val="PIVOT"/>
      <sheetName val="Note(s)"/>
    </sheetNames>
    <sheetDataSet>
      <sheetData sheetId="0">
        <row r="3">
          <cell r="A3" t="str">
            <v>Sample No.</v>
          </cell>
          <cell r="B3" t="str">
            <v>DATE Sub
(mm/dd)</v>
          </cell>
          <cell r="C3" t="str">
            <v>Service</v>
          </cell>
          <cell r="D3" t="str">
            <v>Sub. by</v>
          </cell>
          <cell r="E3" t="str">
            <v>Remark</v>
          </cell>
          <cell r="F3" t="str">
            <v>Total Code</v>
          </cell>
          <cell r="G3" t="str">
            <v>P</v>
          </cell>
          <cell r="H3" t="str">
            <v>Y</v>
          </cell>
          <cell r="I3" t="str">
            <v>W</v>
          </cell>
          <cell r="J3" t="str">
            <v>F</v>
          </cell>
          <cell r="K3" t="str">
            <v>L</v>
          </cell>
          <cell r="L3" t="str">
            <v>M</v>
          </cell>
        </row>
        <row r="4">
          <cell r="A4">
            <v>96221480440</v>
          </cell>
          <cell r="B4">
            <v>44712</v>
          </cell>
          <cell r="C4" t="str">
            <v>Regular</v>
          </cell>
          <cell r="D4" t="str">
            <v>HOANG</v>
          </cell>
          <cell r="F4" t="str">
            <v>F</v>
          </cell>
          <cell r="G4">
            <v>0</v>
          </cell>
          <cell r="H4">
            <v>0</v>
          </cell>
          <cell r="I4">
            <v>0</v>
          </cell>
          <cell r="K4">
            <v>0</v>
          </cell>
          <cell r="L4">
            <v>0</v>
          </cell>
        </row>
        <row r="5">
          <cell r="A5">
            <v>96222590158</v>
          </cell>
          <cell r="B5">
            <v>44866</v>
          </cell>
          <cell r="C5" t="str">
            <v>Regular</v>
          </cell>
          <cell r="D5" t="str">
            <v>Vu 138</v>
          </cell>
          <cell r="F5" t="str">
            <v>F</v>
          </cell>
          <cell r="G5">
            <v>0</v>
          </cell>
          <cell r="H5">
            <v>0</v>
          </cell>
          <cell r="I5">
            <v>0</v>
          </cell>
          <cell r="K5">
            <v>0</v>
          </cell>
          <cell r="L5">
            <v>0</v>
          </cell>
        </row>
        <row r="6">
          <cell r="A6">
            <v>96230590118</v>
          </cell>
          <cell r="B6">
            <v>44989</v>
          </cell>
          <cell r="C6" t="str">
            <v>Regular</v>
          </cell>
          <cell r="D6" t="str">
            <v>HUYEN 709</v>
          </cell>
          <cell r="F6" t="str">
            <v>P F</v>
          </cell>
          <cell r="H6">
            <v>0</v>
          </cell>
          <cell r="I6">
            <v>0</v>
          </cell>
          <cell r="K6">
            <v>0</v>
          </cell>
          <cell r="L6">
            <v>0</v>
          </cell>
        </row>
        <row r="7">
          <cell r="A7">
            <v>96230660289</v>
          </cell>
          <cell r="B7">
            <v>44994</v>
          </cell>
          <cell r="C7" t="str">
            <v>Regular</v>
          </cell>
          <cell r="D7" t="str">
            <v>JH 698</v>
          </cell>
          <cell r="F7" t="str">
            <v>F,W</v>
          </cell>
          <cell r="G7">
            <v>0</v>
          </cell>
          <cell r="H7">
            <v>0</v>
          </cell>
          <cell r="K7">
            <v>0</v>
          </cell>
          <cell r="L7">
            <v>0</v>
          </cell>
        </row>
        <row r="8">
          <cell r="A8">
            <v>96230720037</v>
          </cell>
          <cell r="B8">
            <v>44999</v>
          </cell>
          <cell r="C8" t="str">
            <v>Regular</v>
          </cell>
          <cell r="D8" t="str">
            <v>Maris (731)</v>
          </cell>
          <cell r="F8" t="str">
            <v>F,W</v>
          </cell>
          <cell r="G8">
            <v>0</v>
          </cell>
          <cell r="H8">
            <v>0</v>
          </cell>
          <cell r="K8">
            <v>0</v>
          </cell>
          <cell r="L8">
            <v>0</v>
          </cell>
        </row>
        <row r="9">
          <cell r="A9">
            <v>96230700356</v>
          </cell>
          <cell r="B9">
            <v>45005</v>
          </cell>
          <cell r="C9" t="str">
            <v>Regular</v>
          </cell>
          <cell r="D9" t="str">
            <v>GIB 718</v>
          </cell>
          <cell r="F9" t="str">
            <v>P F M L</v>
          </cell>
          <cell r="H9">
            <v>0</v>
          </cell>
          <cell r="I9">
            <v>0</v>
          </cell>
        </row>
        <row r="10">
          <cell r="A10">
            <v>96230800476</v>
          </cell>
          <cell r="B10">
            <v>45007</v>
          </cell>
          <cell r="C10" t="str">
            <v>Regular</v>
          </cell>
          <cell r="D10" t="str">
            <v>Maris (731)</v>
          </cell>
          <cell r="F10" t="str">
            <v>F</v>
          </cell>
          <cell r="G10">
            <v>0</v>
          </cell>
          <cell r="H10">
            <v>0</v>
          </cell>
          <cell r="I10">
            <v>0</v>
          </cell>
          <cell r="K10">
            <v>0</v>
          </cell>
          <cell r="L10">
            <v>0</v>
          </cell>
        </row>
        <row r="11">
          <cell r="A11">
            <v>96230800237</v>
          </cell>
          <cell r="B11">
            <v>45007</v>
          </cell>
          <cell r="C11" t="str">
            <v>Regular</v>
          </cell>
          <cell r="D11" t="str">
            <v>FANTOM(719)</v>
          </cell>
          <cell r="F11" t="str">
            <v>W, P, F</v>
          </cell>
          <cell r="H11">
            <v>0</v>
          </cell>
          <cell r="K11">
            <v>0</v>
          </cell>
          <cell r="L11">
            <v>0</v>
          </cell>
        </row>
        <row r="12">
          <cell r="A12">
            <v>96230690017</v>
          </cell>
          <cell r="B12">
            <v>45008</v>
          </cell>
          <cell r="C12" t="str">
            <v>Regular</v>
          </cell>
          <cell r="D12" t="str">
            <v>HAO 718</v>
          </cell>
          <cell r="F12" t="str">
            <v>F P Y</v>
          </cell>
          <cell r="G12" t="str">
            <v>P</v>
          </cell>
          <cell r="I12">
            <v>0</v>
          </cell>
          <cell r="K12">
            <v>0</v>
          </cell>
          <cell r="L12">
            <v>0</v>
          </cell>
        </row>
        <row r="13">
          <cell r="A13">
            <v>96230760149</v>
          </cell>
          <cell r="B13">
            <v>45008</v>
          </cell>
          <cell r="C13" t="str">
            <v>Regular</v>
          </cell>
          <cell r="D13" t="str">
            <v>Phuc 138</v>
          </cell>
          <cell r="E13" t="str">
            <v>COSTCO</v>
          </cell>
          <cell r="F13" t="str">
            <v>PFL</v>
          </cell>
          <cell r="H13">
            <v>0</v>
          </cell>
          <cell r="I13">
            <v>0</v>
          </cell>
          <cell r="L13">
            <v>0</v>
          </cell>
        </row>
        <row r="14">
          <cell r="A14">
            <v>96230740544</v>
          </cell>
          <cell r="B14">
            <v>45008</v>
          </cell>
          <cell r="C14" t="str">
            <v>Regular</v>
          </cell>
          <cell r="D14" t="str">
            <v>HUYEN 709</v>
          </cell>
          <cell r="F14" t="str">
            <v>L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L14">
            <v>0</v>
          </cell>
        </row>
        <row r="15">
          <cell r="A15">
            <v>96230760015</v>
          </cell>
          <cell r="B15">
            <v>45009</v>
          </cell>
          <cell r="C15" t="str">
            <v>Regular</v>
          </cell>
          <cell r="D15" t="str">
            <v>LUK 138</v>
          </cell>
          <cell r="F15" t="str">
            <v>P L</v>
          </cell>
          <cell r="H15">
            <v>0</v>
          </cell>
          <cell r="I15">
            <v>0</v>
          </cell>
          <cell r="J15">
            <v>0</v>
          </cell>
          <cell r="L15">
            <v>0</v>
          </cell>
        </row>
        <row r="16">
          <cell r="A16">
            <v>96230820287</v>
          </cell>
          <cell r="B16">
            <v>45009</v>
          </cell>
          <cell r="C16" t="str">
            <v>Regular</v>
          </cell>
          <cell r="D16" t="str">
            <v>JH 698</v>
          </cell>
          <cell r="E16" t="str">
            <v>DISNEY</v>
          </cell>
          <cell r="F16" t="str">
            <v>F</v>
          </cell>
          <cell r="G16">
            <v>0</v>
          </cell>
          <cell r="H16">
            <v>0</v>
          </cell>
          <cell r="I16">
            <v>0</v>
          </cell>
          <cell r="K16">
            <v>0</v>
          </cell>
          <cell r="L16">
            <v>0</v>
          </cell>
        </row>
        <row r="17">
          <cell r="A17">
            <v>96230790436</v>
          </cell>
          <cell r="B17">
            <v>45009</v>
          </cell>
          <cell r="C17" t="str">
            <v>Regular</v>
          </cell>
          <cell r="D17" t="str">
            <v>JUN</v>
          </cell>
          <cell r="F17" t="str">
            <v>P, W, F, L, M</v>
          </cell>
          <cell r="H17">
            <v>0</v>
          </cell>
        </row>
        <row r="18">
          <cell r="A18">
            <v>96230830234</v>
          </cell>
          <cell r="B18">
            <v>45010</v>
          </cell>
          <cell r="C18" t="str">
            <v>Regular</v>
          </cell>
          <cell r="D18" t="str">
            <v>HUYEN 709</v>
          </cell>
          <cell r="F18" t="str">
            <v>L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L18">
            <v>0</v>
          </cell>
        </row>
        <row r="19">
          <cell r="A19">
            <v>96230820444</v>
          </cell>
          <cell r="B19">
            <v>45010</v>
          </cell>
          <cell r="C19" t="str">
            <v>Regular</v>
          </cell>
          <cell r="D19" t="str">
            <v>HAO 718</v>
          </cell>
          <cell r="F19" t="str">
            <v>F P M L</v>
          </cell>
          <cell r="H19">
            <v>0</v>
          </cell>
          <cell r="I19">
            <v>0</v>
          </cell>
        </row>
        <row r="20">
          <cell r="A20">
            <v>96230820449</v>
          </cell>
          <cell r="B20">
            <v>45010</v>
          </cell>
          <cell r="C20" t="str">
            <v>Regular</v>
          </cell>
          <cell r="D20" t="str">
            <v>HAO 718</v>
          </cell>
          <cell r="F20" t="str">
            <v>F P M L</v>
          </cell>
          <cell r="H20">
            <v>0</v>
          </cell>
          <cell r="I20">
            <v>0</v>
          </cell>
        </row>
        <row r="21">
          <cell r="A21">
            <v>96230810045</v>
          </cell>
          <cell r="B21">
            <v>45012</v>
          </cell>
          <cell r="C21" t="str">
            <v>Regular</v>
          </cell>
          <cell r="D21" t="str">
            <v>VINCENT (698)</v>
          </cell>
          <cell r="F21" t="str">
            <v>F, P</v>
          </cell>
          <cell r="H21">
            <v>0</v>
          </cell>
          <cell r="I21">
            <v>0</v>
          </cell>
          <cell r="K21">
            <v>0</v>
          </cell>
          <cell r="L21">
            <v>0</v>
          </cell>
        </row>
        <row r="22">
          <cell r="A22">
            <v>96230820481</v>
          </cell>
          <cell r="B22">
            <v>45012</v>
          </cell>
          <cell r="C22" t="str">
            <v>Regular</v>
          </cell>
          <cell r="D22" t="str">
            <v>HUYEN 709</v>
          </cell>
          <cell r="F22" t="str">
            <v>P W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>
            <v>96230830317</v>
          </cell>
          <cell r="B23">
            <v>45012</v>
          </cell>
          <cell r="C23" t="str">
            <v>Regular</v>
          </cell>
          <cell r="D23" t="str">
            <v>FANTOM(719)</v>
          </cell>
          <cell r="F23" t="str">
            <v>F</v>
          </cell>
          <cell r="G23">
            <v>0</v>
          </cell>
          <cell r="H23">
            <v>0</v>
          </cell>
          <cell r="I23">
            <v>0</v>
          </cell>
          <cell r="J23" t="str">
            <v>F</v>
          </cell>
          <cell r="K23">
            <v>0</v>
          </cell>
          <cell r="L23">
            <v>0</v>
          </cell>
        </row>
        <row r="24">
          <cell r="A24">
            <v>96230790435</v>
          </cell>
          <cell r="B24">
            <v>45014</v>
          </cell>
          <cell r="C24" t="str">
            <v>Regular</v>
          </cell>
          <cell r="D24" t="str">
            <v>NGOC 697</v>
          </cell>
          <cell r="F24" t="str">
            <v>F P L M W</v>
          </cell>
          <cell r="H24">
            <v>0</v>
          </cell>
        </row>
        <row r="25">
          <cell r="A25">
            <v>96230750770</v>
          </cell>
          <cell r="B25">
            <v>45014</v>
          </cell>
          <cell r="C25" t="str">
            <v>Regular</v>
          </cell>
          <cell r="D25" t="str">
            <v>Duy (738)</v>
          </cell>
          <cell r="F25" t="str">
            <v>M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26">
          <cell r="A26">
            <v>96230840072</v>
          </cell>
          <cell r="B26">
            <v>45014</v>
          </cell>
          <cell r="C26" t="str">
            <v>Regular</v>
          </cell>
          <cell r="D26" t="str">
            <v>MARIS (619)</v>
          </cell>
          <cell r="F26" t="str">
            <v>F</v>
          </cell>
          <cell r="G26">
            <v>0</v>
          </cell>
          <cell r="H26">
            <v>0</v>
          </cell>
          <cell r="I26">
            <v>0</v>
          </cell>
          <cell r="K26">
            <v>0</v>
          </cell>
          <cell r="L26">
            <v>0</v>
          </cell>
        </row>
        <row r="27">
          <cell r="A27">
            <v>96230820541</v>
          </cell>
          <cell r="B27">
            <v>45015</v>
          </cell>
          <cell r="C27" t="str">
            <v>Regular</v>
          </cell>
          <cell r="D27" t="str">
            <v>LUK 138</v>
          </cell>
          <cell r="F27" t="str">
            <v>F L P</v>
          </cell>
          <cell r="H27">
            <v>0</v>
          </cell>
          <cell r="I27">
            <v>0</v>
          </cell>
          <cell r="L27">
            <v>0</v>
          </cell>
        </row>
        <row r="28">
          <cell r="A28">
            <v>96230880348</v>
          </cell>
          <cell r="B28">
            <v>45015</v>
          </cell>
          <cell r="C28" t="str">
            <v>Regular</v>
          </cell>
          <cell r="D28" t="str">
            <v>HUYEN 709</v>
          </cell>
          <cell r="F28" t="str">
            <v>P F</v>
          </cell>
          <cell r="H28">
            <v>0</v>
          </cell>
          <cell r="I28">
            <v>0</v>
          </cell>
          <cell r="K28">
            <v>0</v>
          </cell>
          <cell r="L28">
            <v>0</v>
          </cell>
        </row>
        <row r="29">
          <cell r="A29">
            <v>96230880346</v>
          </cell>
          <cell r="B29">
            <v>45015</v>
          </cell>
          <cell r="C29" t="str">
            <v>Regular</v>
          </cell>
          <cell r="D29" t="str">
            <v>HUYEN 709</v>
          </cell>
          <cell r="F29" t="str">
            <v>P F</v>
          </cell>
          <cell r="H29">
            <v>0</v>
          </cell>
          <cell r="I29">
            <v>0</v>
          </cell>
          <cell r="K29">
            <v>0</v>
          </cell>
          <cell r="L29">
            <v>0</v>
          </cell>
        </row>
        <row r="30">
          <cell r="A30">
            <v>96230880272</v>
          </cell>
          <cell r="B30">
            <v>45015</v>
          </cell>
          <cell r="C30" t="str">
            <v>Regular</v>
          </cell>
          <cell r="D30" t="str">
            <v>MARIS (619)</v>
          </cell>
          <cell r="E30" t="str">
            <v>DISNEY</v>
          </cell>
          <cell r="F30" t="str">
            <v>F W</v>
          </cell>
          <cell r="G30">
            <v>0</v>
          </cell>
          <cell r="H30">
            <v>0</v>
          </cell>
          <cell r="K30">
            <v>0</v>
          </cell>
          <cell r="L30">
            <v>0</v>
          </cell>
        </row>
        <row r="31">
          <cell r="A31">
            <v>96230820520</v>
          </cell>
          <cell r="B31">
            <v>45015</v>
          </cell>
          <cell r="C31" t="str">
            <v>Regular</v>
          </cell>
          <cell r="D31" t="str">
            <v>JUN (151)</v>
          </cell>
          <cell r="F31" t="str">
            <v>W F L P</v>
          </cell>
          <cell r="H31">
            <v>0</v>
          </cell>
          <cell r="L31">
            <v>0</v>
          </cell>
        </row>
        <row r="32">
          <cell r="A32">
            <v>96230840551</v>
          </cell>
          <cell r="B32">
            <v>45015</v>
          </cell>
          <cell r="C32" t="str">
            <v>Regular</v>
          </cell>
          <cell r="D32" t="str">
            <v>JUN (151)</v>
          </cell>
          <cell r="F32" t="str">
            <v>W F L P</v>
          </cell>
          <cell r="H32">
            <v>0</v>
          </cell>
          <cell r="L32">
            <v>0</v>
          </cell>
        </row>
        <row r="33">
          <cell r="A33">
            <v>96230800504</v>
          </cell>
          <cell r="B33">
            <v>45016</v>
          </cell>
          <cell r="C33" t="str">
            <v>Regular</v>
          </cell>
          <cell r="D33" t="str">
            <v>Hardy 138</v>
          </cell>
          <cell r="F33" t="str">
            <v>P F L</v>
          </cell>
          <cell r="H33">
            <v>0</v>
          </cell>
          <cell r="I33">
            <v>0</v>
          </cell>
          <cell r="L33">
            <v>0</v>
          </cell>
        </row>
        <row r="34">
          <cell r="A34">
            <v>96230800468</v>
          </cell>
          <cell r="B34">
            <v>45016</v>
          </cell>
          <cell r="C34" t="str">
            <v>Regular</v>
          </cell>
          <cell r="D34" t="str">
            <v>Hardy 138</v>
          </cell>
          <cell r="F34" t="str">
            <v>P F L</v>
          </cell>
          <cell r="H34">
            <v>0</v>
          </cell>
          <cell r="I34">
            <v>0</v>
          </cell>
          <cell r="L34">
            <v>0</v>
          </cell>
        </row>
        <row r="35">
          <cell r="A35">
            <v>96230820298</v>
          </cell>
          <cell r="B35">
            <v>45016</v>
          </cell>
          <cell r="C35" t="str">
            <v>Regular</v>
          </cell>
          <cell r="D35" t="str">
            <v>CEP-138</v>
          </cell>
          <cell r="F35" t="str">
            <v>F, P</v>
          </cell>
          <cell r="H35">
            <v>0</v>
          </cell>
          <cell r="I35">
            <v>0</v>
          </cell>
          <cell r="K35">
            <v>0</v>
          </cell>
          <cell r="L35">
            <v>0</v>
          </cell>
        </row>
        <row r="36">
          <cell r="A36">
            <v>96230890563</v>
          </cell>
          <cell r="B36">
            <v>45016</v>
          </cell>
          <cell r="C36" t="str">
            <v>Regular</v>
          </cell>
          <cell r="D36" t="str">
            <v>VYN 731</v>
          </cell>
          <cell r="E36" t="str">
            <v>DISNEY</v>
          </cell>
          <cell r="F36" t="str">
            <v>FW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</row>
        <row r="37">
          <cell r="A37">
            <v>96230880226</v>
          </cell>
          <cell r="B37">
            <v>45016</v>
          </cell>
          <cell r="C37" t="str">
            <v>Regular</v>
          </cell>
          <cell r="D37" t="str">
            <v>JH 698</v>
          </cell>
          <cell r="E37" t="str">
            <v>DISNEY</v>
          </cell>
          <cell r="F37" t="str">
            <v>F,W</v>
          </cell>
          <cell r="G37">
            <v>0</v>
          </cell>
          <cell r="H37">
            <v>0</v>
          </cell>
          <cell r="K37">
            <v>0</v>
          </cell>
          <cell r="L37">
            <v>0</v>
          </cell>
        </row>
        <row r="38">
          <cell r="A38">
            <v>96230880290</v>
          </cell>
          <cell r="B38">
            <v>45016</v>
          </cell>
          <cell r="C38" t="str">
            <v>Regular</v>
          </cell>
          <cell r="D38" t="str">
            <v>JH 698</v>
          </cell>
          <cell r="E38" t="str">
            <v>DISNEY</v>
          </cell>
          <cell r="F38" t="str">
            <v>F</v>
          </cell>
          <cell r="G38">
            <v>0</v>
          </cell>
          <cell r="H38">
            <v>0</v>
          </cell>
          <cell r="I38">
            <v>0</v>
          </cell>
          <cell r="K38">
            <v>0</v>
          </cell>
          <cell r="L38">
            <v>0</v>
          </cell>
        </row>
        <row r="39">
          <cell r="A39">
            <v>96230870430</v>
          </cell>
          <cell r="B39">
            <v>45016</v>
          </cell>
          <cell r="C39" t="str">
            <v>Regular</v>
          </cell>
          <cell r="D39" t="str">
            <v>JH 698</v>
          </cell>
          <cell r="E39" t="str">
            <v>RF SP 96230870049, DISNEY</v>
          </cell>
          <cell r="F39" t="str">
            <v>F,W,P</v>
          </cell>
          <cell r="H39">
            <v>0</v>
          </cell>
          <cell r="K39">
            <v>0</v>
          </cell>
          <cell r="L39">
            <v>0</v>
          </cell>
        </row>
        <row r="40">
          <cell r="A40">
            <v>96230870432</v>
          </cell>
          <cell r="B40">
            <v>45016</v>
          </cell>
          <cell r="C40" t="str">
            <v>Regular</v>
          </cell>
          <cell r="D40" t="str">
            <v>JH 698</v>
          </cell>
          <cell r="E40" t="str">
            <v>RF SP 96230870304, DISNEY</v>
          </cell>
          <cell r="F40" t="str">
            <v>F,W,P</v>
          </cell>
          <cell r="H40">
            <v>0</v>
          </cell>
          <cell r="K40">
            <v>0</v>
          </cell>
          <cell r="L40">
            <v>0</v>
          </cell>
        </row>
        <row r="41">
          <cell r="A41">
            <v>96230890660</v>
          </cell>
          <cell r="B41">
            <v>45016</v>
          </cell>
          <cell r="C41" t="str">
            <v>Regular</v>
          </cell>
          <cell r="D41" t="str">
            <v>HUYEN 709</v>
          </cell>
          <cell r="F41" t="str">
            <v>F</v>
          </cell>
          <cell r="G41">
            <v>0</v>
          </cell>
          <cell r="H41">
            <v>0</v>
          </cell>
          <cell r="I41">
            <v>0</v>
          </cell>
          <cell r="K41">
            <v>0</v>
          </cell>
          <cell r="L41">
            <v>0</v>
          </cell>
        </row>
        <row r="42">
          <cell r="A42">
            <v>96230890120</v>
          </cell>
          <cell r="B42">
            <v>45017</v>
          </cell>
          <cell r="C42" t="str">
            <v>Regular</v>
          </cell>
          <cell r="D42" t="str">
            <v>VYN 731</v>
          </cell>
          <cell r="E42" t="str">
            <v>DISNEY</v>
          </cell>
          <cell r="F42" t="str">
            <v>Y</v>
          </cell>
          <cell r="G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96230890132</v>
          </cell>
          <cell r="B43">
            <v>45017</v>
          </cell>
          <cell r="C43" t="str">
            <v>Regular</v>
          </cell>
          <cell r="D43" t="str">
            <v>VYN 731</v>
          </cell>
          <cell r="E43" t="str">
            <v>DISNEY</v>
          </cell>
          <cell r="F43" t="str">
            <v>Y</v>
          </cell>
          <cell r="G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96230830384</v>
          </cell>
          <cell r="B44">
            <v>45017</v>
          </cell>
          <cell r="C44" t="str">
            <v>Regular</v>
          </cell>
          <cell r="D44" t="str">
            <v>CEP-138</v>
          </cell>
          <cell r="F44" t="str">
            <v>F, P, W</v>
          </cell>
          <cell r="H44">
            <v>0</v>
          </cell>
          <cell r="K44">
            <v>0</v>
          </cell>
          <cell r="L44">
            <v>0</v>
          </cell>
        </row>
        <row r="45">
          <cell r="A45">
            <v>96230860427</v>
          </cell>
          <cell r="B45">
            <v>45017</v>
          </cell>
          <cell r="C45" t="str">
            <v>Regular</v>
          </cell>
          <cell r="D45" t="str">
            <v>Hardy 138</v>
          </cell>
          <cell r="E45" t="str">
            <v>COSTCO</v>
          </cell>
          <cell r="F45" t="str">
            <v>P F L</v>
          </cell>
          <cell r="H45">
            <v>0</v>
          </cell>
          <cell r="I45">
            <v>0</v>
          </cell>
          <cell r="L45">
            <v>0</v>
          </cell>
        </row>
        <row r="46">
          <cell r="A46">
            <v>96230880153</v>
          </cell>
          <cell r="B46">
            <v>45017</v>
          </cell>
          <cell r="C46" t="str">
            <v>Regular</v>
          </cell>
          <cell r="D46" t="str">
            <v>NGOC 697</v>
          </cell>
          <cell r="E46" t="str">
            <v>DISNEY</v>
          </cell>
          <cell r="F46" t="str">
            <v>M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</row>
        <row r="47">
          <cell r="A47">
            <v>96230910189</v>
          </cell>
          <cell r="B47">
            <v>45017</v>
          </cell>
          <cell r="C47" t="str">
            <v>Regular</v>
          </cell>
          <cell r="D47" t="str">
            <v>NGOC 697</v>
          </cell>
          <cell r="E47" t="str">
            <v>DISNEY</v>
          </cell>
          <cell r="F47" t="str">
            <v>F</v>
          </cell>
          <cell r="G47">
            <v>0</v>
          </cell>
          <cell r="H47">
            <v>0</v>
          </cell>
          <cell r="I47">
            <v>0</v>
          </cell>
          <cell r="K47">
            <v>0</v>
          </cell>
          <cell r="L47">
            <v>0</v>
          </cell>
        </row>
        <row r="48">
          <cell r="A48">
            <v>96230840550</v>
          </cell>
          <cell r="B48">
            <v>45017</v>
          </cell>
          <cell r="C48" t="str">
            <v>RUSH</v>
          </cell>
          <cell r="D48" t="str">
            <v>NGOC 697</v>
          </cell>
          <cell r="E48" t="str">
            <v>DISNEY</v>
          </cell>
          <cell r="F48" t="str">
            <v>F</v>
          </cell>
          <cell r="G48">
            <v>0</v>
          </cell>
          <cell r="H48">
            <v>0</v>
          </cell>
          <cell r="I48">
            <v>0</v>
          </cell>
          <cell r="K48">
            <v>0</v>
          </cell>
          <cell r="L48">
            <v>0</v>
          </cell>
        </row>
        <row r="49">
          <cell r="A49">
            <v>96230860422</v>
          </cell>
          <cell r="B49">
            <v>45017</v>
          </cell>
          <cell r="C49" t="str">
            <v>RUSH</v>
          </cell>
          <cell r="D49" t="str">
            <v>NGOC 697</v>
          </cell>
          <cell r="E49" t="str">
            <v>DISNEY</v>
          </cell>
          <cell r="F49" t="str">
            <v>F</v>
          </cell>
          <cell r="G49">
            <v>0</v>
          </cell>
          <cell r="H49">
            <v>0</v>
          </cell>
          <cell r="I49">
            <v>0</v>
          </cell>
          <cell r="K49">
            <v>0</v>
          </cell>
          <cell r="L49">
            <v>0</v>
          </cell>
        </row>
        <row r="50">
          <cell r="A50">
            <v>96230880497</v>
          </cell>
          <cell r="B50">
            <v>45017</v>
          </cell>
          <cell r="C50" t="str">
            <v>RUSH</v>
          </cell>
          <cell r="D50" t="str">
            <v>NGOC 697</v>
          </cell>
          <cell r="E50" t="str">
            <v>DISNEY</v>
          </cell>
          <cell r="F50" t="str">
            <v>F</v>
          </cell>
          <cell r="G50">
            <v>0</v>
          </cell>
          <cell r="H50">
            <v>0</v>
          </cell>
          <cell r="I50">
            <v>0</v>
          </cell>
          <cell r="K50">
            <v>0</v>
          </cell>
          <cell r="L50">
            <v>0</v>
          </cell>
        </row>
        <row r="51">
          <cell r="A51">
            <v>96230880499</v>
          </cell>
          <cell r="B51">
            <v>45017</v>
          </cell>
          <cell r="C51" t="str">
            <v>RUSH</v>
          </cell>
          <cell r="D51" t="str">
            <v>NGOC 697</v>
          </cell>
          <cell r="E51" t="str">
            <v>DISNEY</v>
          </cell>
          <cell r="F51" t="str">
            <v>F</v>
          </cell>
          <cell r="G51">
            <v>0</v>
          </cell>
          <cell r="H51">
            <v>0</v>
          </cell>
          <cell r="I51">
            <v>0</v>
          </cell>
          <cell r="K51">
            <v>0</v>
          </cell>
          <cell r="L51">
            <v>0</v>
          </cell>
        </row>
        <row r="52">
          <cell r="A52">
            <v>96230880506</v>
          </cell>
          <cell r="B52">
            <v>45017</v>
          </cell>
          <cell r="C52" t="str">
            <v>RUSH</v>
          </cell>
          <cell r="D52" t="str">
            <v>NGOC 697</v>
          </cell>
          <cell r="E52" t="str">
            <v>DISNEY</v>
          </cell>
          <cell r="F52" t="str">
            <v>F</v>
          </cell>
          <cell r="G52">
            <v>0</v>
          </cell>
          <cell r="H52">
            <v>0</v>
          </cell>
          <cell r="I52">
            <v>0</v>
          </cell>
          <cell r="K52">
            <v>0</v>
          </cell>
          <cell r="L52">
            <v>0</v>
          </cell>
        </row>
        <row r="53">
          <cell r="A53">
            <v>96230810555</v>
          </cell>
          <cell r="B53">
            <v>45019</v>
          </cell>
          <cell r="C53" t="str">
            <v>Regular</v>
          </cell>
          <cell r="D53" t="str">
            <v>Vu 138</v>
          </cell>
          <cell r="F53" t="str">
            <v>P F</v>
          </cell>
          <cell r="H53">
            <v>0</v>
          </cell>
          <cell r="I53">
            <v>0</v>
          </cell>
          <cell r="K53">
            <v>0</v>
          </cell>
          <cell r="L53">
            <v>0</v>
          </cell>
        </row>
        <row r="54">
          <cell r="A54">
            <v>96230900085</v>
          </cell>
          <cell r="B54">
            <v>45019</v>
          </cell>
          <cell r="C54" t="str">
            <v>Regular</v>
          </cell>
          <cell r="D54" t="str">
            <v>JOP 738</v>
          </cell>
          <cell r="F54" t="str">
            <v>F</v>
          </cell>
          <cell r="G54">
            <v>0</v>
          </cell>
          <cell r="H54">
            <v>0</v>
          </cell>
          <cell r="I54">
            <v>0</v>
          </cell>
          <cell r="K54">
            <v>0</v>
          </cell>
          <cell r="L54">
            <v>0</v>
          </cell>
        </row>
        <row r="55">
          <cell r="A55">
            <v>96230870720</v>
          </cell>
          <cell r="B55">
            <v>45019</v>
          </cell>
          <cell r="C55" t="str">
            <v>Regular</v>
          </cell>
          <cell r="D55" t="str">
            <v>HAO 718</v>
          </cell>
          <cell r="F55" t="str">
            <v>F</v>
          </cell>
          <cell r="G55">
            <v>0</v>
          </cell>
          <cell r="H55">
            <v>0</v>
          </cell>
          <cell r="I55">
            <v>0</v>
          </cell>
          <cell r="K55">
            <v>0</v>
          </cell>
          <cell r="L55">
            <v>0</v>
          </cell>
        </row>
        <row r="56">
          <cell r="A56">
            <v>96230900053</v>
          </cell>
          <cell r="B56">
            <v>45019</v>
          </cell>
          <cell r="C56" t="str">
            <v>Regular</v>
          </cell>
          <cell r="D56" t="str">
            <v>MINH US2 - 718</v>
          </cell>
          <cell r="F56" t="str">
            <v>F</v>
          </cell>
          <cell r="G56">
            <v>0</v>
          </cell>
          <cell r="H56">
            <v>0</v>
          </cell>
          <cell r="I56">
            <v>0</v>
          </cell>
          <cell r="K56">
            <v>0</v>
          </cell>
          <cell r="L56">
            <v>0</v>
          </cell>
        </row>
        <row r="57">
          <cell r="A57">
            <v>96230890533</v>
          </cell>
          <cell r="B57">
            <v>45019</v>
          </cell>
          <cell r="C57" t="str">
            <v>Regular</v>
          </cell>
          <cell r="D57" t="str">
            <v>HAO 718</v>
          </cell>
          <cell r="F57" t="str">
            <v>P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>
            <v>96230340109</v>
          </cell>
          <cell r="B58">
            <v>45019</v>
          </cell>
          <cell r="C58" t="str">
            <v>Regular</v>
          </cell>
          <cell r="D58" t="str">
            <v>CEP-138</v>
          </cell>
          <cell r="F58" t="str">
            <v>F</v>
          </cell>
          <cell r="G58">
            <v>0</v>
          </cell>
          <cell r="H58">
            <v>0</v>
          </cell>
          <cell r="I58">
            <v>0</v>
          </cell>
          <cell r="K58">
            <v>0</v>
          </cell>
          <cell r="L58">
            <v>0</v>
          </cell>
        </row>
        <row r="59">
          <cell r="A59">
            <v>96230910187</v>
          </cell>
          <cell r="B59">
            <v>45019</v>
          </cell>
          <cell r="C59" t="str">
            <v>Regular</v>
          </cell>
          <cell r="D59" t="str">
            <v>VYN 731</v>
          </cell>
          <cell r="E59" t="str">
            <v>DISNEY</v>
          </cell>
          <cell r="F59" t="str">
            <v>F</v>
          </cell>
          <cell r="G59">
            <v>0</v>
          </cell>
          <cell r="H59">
            <v>0</v>
          </cell>
          <cell r="I59">
            <v>0</v>
          </cell>
          <cell r="K59">
            <v>0</v>
          </cell>
          <cell r="L59">
            <v>0</v>
          </cell>
        </row>
        <row r="60">
          <cell r="A60">
            <v>96230930168</v>
          </cell>
          <cell r="B60">
            <v>45019</v>
          </cell>
          <cell r="C60" t="str">
            <v>Regular</v>
          </cell>
          <cell r="D60" t="str">
            <v>MARIS (619)</v>
          </cell>
          <cell r="E60" t="str">
            <v>DISNEY</v>
          </cell>
          <cell r="F60" t="str">
            <v>F</v>
          </cell>
          <cell r="G60">
            <v>0</v>
          </cell>
          <cell r="H60">
            <v>0</v>
          </cell>
          <cell r="I60">
            <v>0</v>
          </cell>
          <cell r="K60">
            <v>0</v>
          </cell>
          <cell r="L60">
            <v>0</v>
          </cell>
        </row>
        <row r="61">
          <cell r="A61">
            <v>96230930170</v>
          </cell>
          <cell r="B61">
            <v>45019</v>
          </cell>
          <cell r="C61" t="str">
            <v>Regular</v>
          </cell>
          <cell r="D61" t="str">
            <v>MARIS (619)</v>
          </cell>
          <cell r="E61" t="str">
            <v>DISNEY</v>
          </cell>
          <cell r="F61" t="str">
            <v>F</v>
          </cell>
          <cell r="G61">
            <v>0</v>
          </cell>
          <cell r="H61">
            <v>0</v>
          </cell>
          <cell r="I61">
            <v>0</v>
          </cell>
          <cell r="K61">
            <v>0</v>
          </cell>
          <cell r="L61">
            <v>0</v>
          </cell>
        </row>
        <row r="62">
          <cell r="A62">
            <v>96230330386</v>
          </cell>
          <cell r="B62">
            <v>45019</v>
          </cell>
          <cell r="C62" t="str">
            <v>Regular</v>
          </cell>
          <cell r="D62" t="str">
            <v>HAO 718</v>
          </cell>
          <cell r="F62" t="str">
            <v>F P L</v>
          </cell>
          <cell r="H62">
            <v>0</v>
          </cell>
          <cell r="I62">
            <v>0</v>
          </cell>
          <cell r="L62">
            <v>0</v>
          </cell>
        </row>
        <row r="63">
          <cell r="A63">
            <v>96230870792</v>
          </cell>
          <cell r="B63">
            <v>45020</v>
          </cell>
          <cell r="C63" t="str">
            <v>Regular</v>
          </cell>
          <cell r="D63" t="str">
            <v>HAO 718</v>
          </cell>
          <cell r="F63" t="str">
            <v>F</v>
          </cell>
          <cell r="G63">
            <v>0</v>
          </cell>
          <cell r="H63">
            <v>0</v>
          </cell>
          <cell r="I63">
            <v>0</v>
          </cell>
          <cell r="K63">
            <v>0</v>
          </cell>
          <cell r="L63">
            <v>0</v>
          </cell>
        </row>
        <row r="64">
          <cell r="A64">
            <v>96230900064</v>
          </cell>
          <cell r="B64">
            <v>45020</v>
          </cell>
          <cell r="C64" t="str">
            <v>Regular</v>
          </cell>
          <cell r="D64" t="str">
            <v>MINH US2 - 718</v>
          </cell>
          <cell r="F64" t="str">
            <v>F</v>
          </cell>
          <cell r="G64">
            <v>0</v>
          </cell>
          <cell r="H64">
            <v>0</v>
          </cell>
          <cell r="I64">
            <v>0</v>
          </cell>
          <cell r="K64">
            <v>0</v>
          </cell>
          <cell r="L64">
            <v>0</v>
          </cell>
        </row>
        <row r="65">
          <cell r="A65">
            <v>96230930397</v>
          </cell>
          <cell r="B65">
            <v>45020</v>
          </cell>
          <cell r="C65" t="str">
            <v>RUSH</v>
          </cell>
          <cell r="D65" t="str">
            <v>Vu 138</v>
          </cell>
          <cell r="F65" t="str">
            <v>P F</v>
          </cell>
          <cell r="H65">
            <v>0</v>
          </cell>
          <cell r="I65">
            <v>0</v>
          </cell>
          <cell r="K65">
            <v>0</v>
          </cell>
          <cell r="L65">
            <v>0</v>
          </cell>
        </row>
        <row r="66">
          <cell r="A66">
            <v>96230940204</v>
          </cell>
          <cell r="B66">
            <v>45020</v>
          </cell>
          <cell r="C66" t="str">
            <v>Regular</v>
          </cell>
          <cell r="D66" t="str">
            <v>VYN 731</v>
          </cell>
          <cell r="E66" t="str">
            <v>DISNEY</v>
          </cell>
          <cell r="F66" t="str">
            <v>FW</v>
          </cell>
          <cell r="G66">
            <v>0</v>
          </cell>
          <cell r="H66">
            <v>0</v>
          </cell>
          <cell r="K66">
            <v>0</v>
          </cell>
          <cell r="L66">
            <v>0</v>
          </cell>
        </row>
        <row r="67">
          <cell r="A67">
            <v>96230910064</v>
          </cell>
          <cell r="B67">
            <v>45021</v>
          </cell>
          <cell r="C67" t="str">
            <v>RUSH</v>
          </cell>
          <cell r="D67" t="str">
            <v>Duy (738)</v>
          </cell>
          <cell r="F67" t="str">
            <v>P, F, L, W</v>
          </cell>
          <cell r="H67">
            <v>0</v>
          </cell>
          <cell r="L67">
            <v>0</v>
          </cell>
        </row>
        <row r="68">
          <cell r="A68">
            <v>96230870786</v>
          </cell>
          <cell r="B68">
            <v>45021</v>
          </cell>
          <cell r="C68" t="str">
            <v>Regular</v>
          </cell>
          <cell r="D68" t="str">
            <v>CEP-138</v>
          </cell>
          <cell r="F68" t="str">
            <v>F</v>
          </cell>
          <cell r="G68">
            <v>0</v>
          </cell>
          <cell r="H68">
            <v>0</v>
          </cell>
          <cell r="I68">
            <v>0</v>
          </cell>
          <cell r="K68">
            <v>0</v>
          </cell>
          <cell r="L68">
            <v>0</v>
          </cell>
        </row>
        <row r="69">
          <cell r="A69">
            <v>96230860477</v>
          </cell>
          <cell r="B69">
            <v>45021</v>
          </cell>
          <cell r="C69" t="str">
            <v>RUSH</v>
          </cell>
          <cell r="D69" t="str">
            <v>GIB 718</v>
          </cell>
          <cell r="F69" t="str">
            <v>P F</v>
          </cell>
          <cell r="H69">
            <v>0</v>
          </cell>
          <cell r="I69">
            <v>0</v>
          </cell>
          <cell r="K69">
            <v>0</v>
          </cell>
          <cell r="L69">
            <v>0</v>
          </cell>
        </row>
        <row r="70">
          <cell r="A70">
            <v>96230930445</v>
          </cell>
          <cell r="B70">
            <v>45021</v>
          </cell>
          <cell r="C70" t="str">
            <v>Regular</v>
          </cell>
          <cell r="D70" t="str">
            <v>LUK 138</v>
          </cell>
          <cell r="F70" t="str">
            <v>F P L</v>
          </cell>
          <cell r="H70">
            <v>0</v>
          </cell>
          <cell r="I70">
            <v>0</v>
          </cell>
          <cell r="L70">
            <v>0</v>
          </cell>
        </row>
        <row r="71">
          <cell r="A71">
            <v>96230940302</v>
          </cell>
          <cell r="B71">
            <v>45021</v>
          </cell>
          <cell r="C71" t="str">
            <v>Regular</v>
          </cell>
          <cell r="D71" t="str">
            <v>JH 698</v>
          </cell>
          <cell r="E71" t="str">
            <v>DISNEY</v>
          </cell>
          <cell r="F71" t="str">
            <v>F,W</v>
          </cell>
          <cell r="G71">
            <v>0</v>
          </cell>
          <cell r="H71">
            <v>0</v>
          </cell>
          <cell r="K71">
            <v>0</v>
          </cell>
          <cell r="L71">
            <v>0</v>
          </cell>
        </row>
        <row r="72">
          <cell r="A72">
            <v>96230940303</v>
          </cell>
          <cell r="B72">
            <v>45021</v>
          </cell>
          <cell r="C72" t="str">
            <v>Regular</v>
          </cell>
          <cell r="D72" t="str">
            <v>JH 698</v>
          </cell>
          <cell r="E72" t="str">
            <v>DISNEY</v>
          </cell>
          <cell r="F72" t="str">
            <v>F,W</v>
          </cell>
          <cell r="G72">
            <v>0</v>
          </cell>
          <cell r="H72">
            <v>0</v>
          </cell>
          <cell r="K72">
            <v>0</v>
          </cell>
          <cell r="L72">
            <v>0</v>
          </cell>
        </row>
        <row r="73">
          <cell r="A73">
            <v>96230940304</v>
          </cell>
          <cell r="B73">
            <v>45021</v>
          </cell>
          <cell r="C73" t="str">
            <v>Regular</v>
          </cell>
          <cell r="D73" t="str">
            <v>JH 698</v>
          </cell>
          <cell r="E73" t="str">
            <v>DISNEY</v>
          </cell>
          <cell r="F73" t="str">
            <v>F,W</v>
          </cell>
          <cell r="G73">
            <v>0</v>
          </cell>
          <cell r="H73">
            <v>0</v>
          </cell>
          <cell r="K73">
            <v>0</v>
          </cell>
          <cell r="L73">
            <v>0</v>
          </cell>
        </row>
        <row r="74">
          <cell r="A74">
            <v>96230860390</v>
          </cell>
          <cell r="B74">
            <v>45021</v>
          </cell>
          <cell r="C74" t="str">
            <v>Regular</v>
          </cell>
          <cell r="D74" t="str">
            <v>Vu 138</v>
          </cell>
          <cell r="F74" t="str">
            <v xml:space="preserve">P F </v>
          </cell>
          <cell r="H74">
            <v>0</v>
          </cell>
          <cell r="I74">
            <v>0</v>
          </cell>
          <cell r="K74">
            <v>0</v>
          </cell>
          <cell r="L74">
            <v>0</v>
          </cell>
        </row>
        <row r="75">
          <cell r="A75">
            <v>96230930173</v>
          </cell>
          <cell r="B75">
            <v>45021</v>
          </cell>
          <cell r="C75" t="str">
            <v>Regular</v>
          </cell>
          <cell r="D75" t="str">
            <v>VINCENT (698)</v>
          </cell>
          <cell r="F75" t="str">
            <v>F</v>
          </cell>
          <cell r="G75">
            <v>0</v>
          </cell>
          <cell r="H75">
            <v>0</v>
          </cell>
          <cell r="I75">
            <v>0</v>
          </cell>
          <cell r="K75">
            <v>0</v>
          </cell>
          <cell r="L75">
            <v>0</v>
          </cell>
        </row>
        <row r="76">
          <cell r="A76">
            <v>96230940074</v>
          </cell>
          <cell r="B76">
            <v>45021</v>
          </cell>
          <cell r="C76" t="str">
            <v>Regular</v>
          </cell>
          <cell r="D76" t="str">
            <v>NGOC 697</v>
          </cell>
          <cell r="E76" t="str">
            <v>DISNEY</v>
          </cell>
          <cell r="F76" t="str">
            <v>F</v>
          </cell>
          <cell r="G76">
            <v>0</v>
          </cell>
          <cell r="H76">
            <v>0</v>
          </cell>
          <cell r="I76">
            <v>0</v>
          </cell>
          <cell r="K76">
            <v>0</v>
          </cell>
          <cell r="L76">
            <v>0</v>
          </cell>
        </row>
        <row r="77">
          <cell r="A77">
            <v>96230940537</v>
          </cell>
          <cell r="B77">
            <v>45021</v>
          </cell>
          <cell r="C77" t="str">
            <v>Regular</v>
          </cell>
          <cell r="D77" t="str">
            <v>NGOC 697</v>
          </cell>
          <cell r="E77" t="str">
            <v>DISNEY</v>
          </cell>
          <cell r="F77" t="str">
            <v>F</v>
          </cell>
          <cell r="G77">
            <v>0</v>
          </cell>
          <cell r="H77">
            <v>0</v>
          </cell>
          <cell r="I77">
            <v>0</v>
          </cell>
          <cell r="K77">
            <v>0</v>
          </cell>
          <cell r="L77">
            <v>0</v>
          </cell>
        </row>
        <row r="78">
          <cell r="A78">
            <v>96230940539</v>
          </cell>
          <cell r="B78">
            <v>45021</v>
          </cell>
          <cell r="C78" t="str">
            <v>Regular</v>
          </cell>
          <cell r="D78" t="str">
            <v>NGOC 697</v>
          </cell>
          <cell r="E78" t="str">
            <v>DISNEY</v>
          </cell>
          <cell r="F78" t="str">
            <v>F</v>
          </cell>
          <cell r="G78">
            <v>0</v>
          </cell>
          <cell r="H78">
            <v>0</v>
          </cell>
          <cell r="I78">
            <v>0</v>
          </cell>
          <cell r="K78">
            <v>0</v>
          </cell>
          <cell r="L78">
            <v>0</v>
          </cell>
        </row>
        <row r="79">
          <cell r="A79">
            <v>96230940538</v>
          </cell>
          <cell r="B79">
            <v>45021</v>
          </cell>
          <cell r="C79" t="str">
            <v>Regular</v>
          </cell>
          <cell r="D79" t="str">
            <v>NGOC 697</v>
          </cell>
          <cell r="E79" t="str">
            <v>DISNEY</v>
          </cell>
          <cell r="F79" t="str">
            <v>F</v>
          </cell>
          <cell r="G79">
            <v>0</v>
          </cell>
          <cell r="H79">
            <v>0</v>
          </cell>
          <cell r="I79">
            <v>0</v>
          </cell>
          <cell r="K79">
            <v>0</v>
          </cell>
          <cell r="L79">
            <v>0</v>
          </cell>
        </row>
        <row r="80">
          <cell r="A80">
            <v>96230950262</v>
          </cell>
          <cell r="B80">
            <v>45021</v>
          </cell>
          <cell r="C80" t="str">
            <v>Regular</v>
          </cell>
          <cell r="D80" t="str">
            <v>VYN 731</v>
          </cell>
          <cell r="E80" t="str">
            <v>DISNEY</v>
          </cell>
          <cell r="F80" t="str">
            <v>F</v>
          </cell>
          <cell r="G80">
            <v>0</v>
          </cell>
          <cell r="H80">
            <v>0</v>
          </cell>
          <cell r="I80">
            <v>0</v>
          </cell>
          <cell r="K80">
            <v>0</v>
          </cell>
          <cell r="L80">
            <v>0</v>
          </cell>
        </row>
        <row r="81">
          <cell r="A81">
            <v>96230860198</v>
          </cell>
          <cell r="B81">
            <v>45021</v>
          </cell>
          <cell r="C81" t="str">
            <v>Regular</v>
          </cell>
          <cell r="D81" t="str">
            <v>HOANG 738</v>
          </cell>
          <cell r="F81" t="str">
            <v>M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</row>
        <row r="82">
          <cell r="A82">
            <v>96230950325</v>
          </cell>
          <cell r="B82">
            <v>45022</v>
          </cell>
          <cell r="C82" t="str">
            <v>Regular</v>
          </cell>
          <cell r="D82" t="str">
            <v>MARIS (619)</v>
          </cell>
          <cell r="E82" t="str">
            <v>DISNEY</v>
          </cell>
          <cell r="F82" t="str">
            <v>FW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</row>
        <row r="83">
          <cell r="A83">
            <v>96230940116</v>
          </cell>
          <cell r="B83">
            <v>45022</v>
          </cell>
          <cell r="C83" t="str">
            <v>Regular</v>
          </cell>
          <cell r="D83" t="str">
            <v>VINCENT (698)</v>
          </cell>
          <cell r="F83" t="str">
            <v>L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L83">
            <v>0</v>
          </cell>
        </row>
        <row r="84">
          <cell r="A84">
            <v>96230930176</v>
          </cell>
          <cell r="B84">
            <v>45022</v>
          </cell>
          <cell r="C84" t="str">
            <v>Regular</v>
          </cell>
          <cell r="D84" t="str">
            <v>GIB 718</v>
          </cell>
          <cell r="F84" t="str">
            <v>P F L M</v>
          </cell>
          <cell r="H84">
            <v>0</v>
          </cell>
          <cell r="I84">
            <v>0</v>
          </cell>
        </row>
        <row r="85">
          <cell r="A85">
            <v>96230930333</v>
          </cell>
          <cell r="B85">
            <v>45022</v>
          </cell>
          <cell r="C85" t="str">
            <v>RUSH</v>
          </cell>
          <cell r="D85" t="str">
            <v>VINCENT (698)</v>
          </cell>
          <cell r="F85" t="str">
            <v>L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L85">
            <v>0</v>
          </cell>
        </row>
        <row r="86">
          <cell r="A86">
            <v>96230900366</v>
          </cell>
          <cell r="B86">
            <v>45022</v>
          </cell>
          <cell r="C86" t="str">
            <v>Regular</v>
          </cell>
          <cell r="D86" t="str">
            <v>GIB 718</v>
          </cell>
          <cell r="F86" t="str">
            <v>M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</row>
        <row r="87">
          <cell r="A87">
            <v>96230960165</v>
          </cell>
          <cell r="B87">
            <v>45023</v>
          </cell>
          <cell r="C87" t="str">
            <v>Regular</v>
          </cell>
          <cell r="D87" t="str">
            <v>JH 698</v>
          </cell>
          <cell r="E87" t="str">
            <v>DISNEY</v>
          </cell>
          <cell r="F87" t="str">
            <v>F</v>
          </cell>
          <cell r="G87">
            <v>0</v>
          </cell>
          <cell r="H87">
            <v>0</v>
          </cell>
          <cell r="I87">
            <v>0</v>
          </cell>
          <cell r="K87">
            <v>0</v>
          </cell>
          <cell r="L87">
            <v>0</v>
          </cell>
        </row>
        <row r="88">
          <cell r="A88">
            <v>96230960231</v>
          </cell>
          <cell r="B88">
            <v>45023</v>
          </cell>
          <cell r="C88" t="str">
            <v>Regular</v>
          </cell>
          <cell r="D88" t="str">
            <v>NGOC 697</v>
          </cell>
          <cell r="E88" t="str">
            <v>DISNEY</v>
          </cell>
          <cell r="F88" t="str">
            <v>F W</v>
          </cell>
          <cell r="G88">
            <v>0</v>
          </cell>
          <cell r="H88">
            <v>0</v>
          </cell>
          <cell r="K88">
            <v>0</v>
          </cell>
          <cell r="L88">
            <v>0</v>
          </cell>
        </row>
        <row r="89">
          <cell r="A89">
            <v>96230910210</v>
          </cell>
          <cell r="B89">
            <v>45023</v>
          </cell>
          <cell r="C89" t="str">
            <v>Regular</v>
          </cell>
          <cell r="D89" t="str">
            <v>HAO 718</v>
          </cell>
          <cell r="F89" t="str">
            <v>F</v>
          </cell>
          <cell r="G89">
            <v>0</v>
          </cell>
          <cell r="H89">
            <v>0</v>
          </cell>
          <cell r="I89">
            <v>0</v>
          </cell>
          <cell r="K89">
            <v>0</v>
          </cell>
          <cell r="L89">
            <v>0</v>
          </cell>
        </row>
        <row r="90">
          <cell r="A90">
            <v>96230870121</v>
          </cell>
          <cell r="B90">
            <v>45023</v>
          </cell>
          <cell r="C90" t="str">
            <v>Regular</v>
          </cell>
          <cell r="D90" t="str">
            <v>GIB 718</v>
          </cell>
          <cell r="F90" t="str">
            <v>P F</v>
          </cell>
          <cell r="H90">
            <v>0</v>
          </cell>
          <cell r="I90">
            <v>0</v>
          </cell>
          <cell r="K90">
            <v>0</v>
          </cell>
          <cell r="L90">
            <v>0</v>
          </cell>
        </row>
        <row r="91">
          <cell r="A91">
            <v>96230950332</v>
          </cell>
          <cell r="B91">
            <v>45023</v>
          </cell>
          <cell r="C91" t="str">
            <v>Regular</v>
          </cell>
          <cell r="D91" t="str">
            <v>JUN (151)</v>
          </cell>
          <cell r="F91" t="str">
            <v xml:space="preserve">L F  </v>
          </cell>
          <cell r="G91">
            <v>0</v>
          </cell>
          <cell r="H91">
            <v>0</v>
          </cell>
          <cell r="I91">
            <v>0</v>
          </cell>
          <cell r="L91">
            <v>0</v>
          </cell>
        </row>
        <row r="92">
          <cell r="A92">
            <v>96230890331</v>
          </cell>
          <cell r="B92">
            <v>45023</v>
          </cell>
          <cell r="C92" t="str">
            <v>Regular</v>
          </cell>
          <cell r="D92" t="str">
            <v>LUK 138</v>
          </cell>
          <cell r="F92" t="str">
            <v>L P F</v>
          </cell>
          <cell r="H92">
            <v>0</v>
          </cell>
          <cell r="I92">
            <v>0</v>
          </cell>
          <cell r="L92">
            <v>0</v>
          </cell>
        </row>
        <row r="93">
          <cell r="A93">
            <v>96230790246</v>
          </cell>
          <cell r="B93">
            <v>45023</v>
          </cell>
          <cell r="C93" t="str">
            <v>Regular</v>
          </cell>
          <cell r="D93" t="str">
            <v>Vu 138</v>
          </cell>
          <cell r="F93" t="str">
            <v>P F</v>
          </cell>
          <cell r="H93">
            <v>0</v>
          </cell>
          <cell r="I93">
            <v>0</v>
          </cell>
          <cell r="K93">
            <v>0</v>
          </cell>
          <cell r="L93">
            <v>0</v>
          </cell>
        </row>
        <row r="94">
          <cell r="A94">
            <v>96230950292</v>
          </cell>
          <cell r="B94">
            <v>45023</v>
          </cell>
          <cell r="C94" t="str">
            <v>Regular</v>
          </cell>
          <cell r="D94" t="str">
            <v>HUYEN 151</v>
          </cell>
          <cell r="F94" t="str">
            <v>P Y F</v>
          </cell>
          <cell r="I94">
            <v>0</v>
          </cell>
          <cell r="K94">
            <v>0</v>
          </cell>
          <cell r="L94">
            <v>0</v>
          </cell>
        </row>
        <row r="95">
          <cell r="A95">
            <v>96230950293</v>
          </cell>
          <cell r="B95">
            <v>45023</v>
          </cell>
          <cell r="C95" t="str">
            <v>Regular</v>
          </cell>
          <cell r="D95" t="str">
            <v>HUYEN 151</v>
          </cell>
          <cell r="F95" t="str">
            <v>P Y F</v>
          </cell>
          <cell r="I95">
            <v>0</v>
          </cell>
          <cell r="K95">
            <v>0</v>
          </cell>
          <cell r="L95">
            <v>0</v>
          </cell>
        </row>
        <row r="96">
          <cell r="A96">
            <v>96230860429</v>
          </cell>
          <cell r="B96">
            <v>45023</v>
          </cell>
          <cell r="C96" t="str">
            <v>Regular</v>
          </cell>
          <cell r="D96" t="str">
            <v>Vu 138</v>
          </cell>
          <cell r="F96" t="str">
            <v>P F</v>
          </cell>
          <cell r="H96">
            <v>0</v>
          </cell>
          <cell r="I96">
            <v>0</v>
          </cell>
          <cell r="K96">
            <v>0</v>
          </cell>
          <cell r="L96">
            <v>0</v>
          </cell>
        </row>
        <row r="97">
          <cell r="A97">
            <v>96230800271</v>
          </cell>
          <cell r="B97">
            <v>45024</v>
          </cell>
          <cell r="C97" t="str">
            <v>Regular</v>
          </cell>
          <cell r="D97" t="str">
            <v>HUYEN 151</v>
          </cell>
          <cell r="F97" t="str">
            <v>P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A98">
            <v>96230970225</v>
          </cell>
          <cell r="B98">
            <v>45024</v>
          </cell>
          <cell r="C98" t="str">
            <v>Regular</v>
          </cell>
          <cell r="D98" t="str">
            <v>MARIS (619)</v>
          </cell>
          <cell r="E98" t="str">
            <v>DISNEY</v>
          </cell>
          <cell r="F98" t="str">
            <v>F</v>
          </cell>
          <cell r="G98">
            <v>0</v>
          </cell>
          <cell r="H98">
            <v>0</v>
          </cell>
          <cell r="I98">
            <v>0</v>
          </cell>
          <cell r="K98">
            <v>0</v>
          </cell>
          <cell r="L98">
            <v>0</v>
          </cell>
        </row>
        <row r="99">
          <cell r="A99">
            <v>96230970522</v>
          </cell>
          <cell r="B99">
            <v>45024</v>
          </cell>
          <cell r="C99" t="str">
            <v>Regular</v>
          </cell>
          <cell r="D99" t="str">
            <v>MARIS (619)</v>
          </cell>
          <cell r="E99" t="str">
            <v>DISNEY</v>
          </cell>
          <cell r="F99" t="str">
            <v>F W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</row>
        <row r="100">
          <cell r="A100">
            <v>96230690115</v>
          </cell>
          <cell r="B100">
            <v>45024</v>
          </cell>
          <cell r="C100" t="str">
            <v>Regular</v>
          </cell>
          <cell r="D100" t="str">
            <v>Daniel (EE)</v>
          </cell>
          <cell r="F100" t="str">
            <v>F</v>
          </cell>
          <cell r="H100">
            <v>0</v>
          </cell>
          <cell r="I100">
            <v>0</v>
          </cell>
          <cell r="K100">
            <v>0</v>
          </cell>
        </row>
        <row r="101">
          <cell r="A101">
            <v>96230690136</v>
          </cell>
          <cell r="B101">
            <v>45024</v>
          </cell>
          <cell r="C101" t="str">
            <v>Regular</v>
          </cell>
          <cell r="D101" t="str">
            <v>Daniel (EE)</v>
          </cell>
          <cell r="F101" t="str">
            <v>F</v>
          </cell>
          <cell r="H101">
            <v>0</v>
          </cell>
          <cell r="I101">
            <v>0</v>
          </cell>
          <cell r="K101">
            <v>0</v>
          </cell>
        </row>
        <row r="102">
          <cell r="A102">
            <v>96230960065</v>
          </cell>
          <cell r="B102">
            <v>45024</v>
          </cell>
          <cell r="C102" t="str">
            <v>Regular</v>
          </cell>
          <cell r="D102" t="str">
            <v>VYN 731</v>
          </cell>
          <cell r="F102" t="str">
            <v>F</v>
          </cell>
          <cell r="G102">
            <v>0</v>
          </cell>
          <cell r="H102">
            <v>0</v>
          </cell>
          <cell r="I102">
            <v>0</v>
          </cell>
          <cell r="K102">
            <v>0</v>
          </cell>
          <cell r="L102">
            <v>0</v>
          </cell>
        </row>
        <row r="103">
          <cell r="A103">
            <v>96230970321</v>
          </cell>
          <cell r="B103">
            <v>45024</v>
          </cell>
          <cell r="C103" t="str">
            <v>Regular</v>
          </cell>
          <cell r="D103" t="str">
            <v>MINH US2 - 718</v>
          </cell>
          <cell r="F103" t="str">
            <v>F</v>
          </cell>
          <cell r="G103">
            <v>0</v>
          </cell>
          <cell r="H103">
            <v>0</v>
          </cell>
          <cell r="I103">
            <v>0</v>
          </cell>
          <cell r="K103">
            <v>0</v>
          </cell>
          <cell r="L103">
            <v>0</v>
          </cell>
        </row>
        <row r="104">
          <cell r="A104">
            <v>96230970487</v>
          </cell>
          <cell r="B104">
            <v>45026</v>
          </cell>
          <cell r="C104" t="str">
            <v>Regular</v>
          </cell>
          <cell r="D104" t="str">
            <v>MINH US2 - 718</v>
          </cell>
          <cell r="F104" t="str">
            <v>P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</row>
        <row r="105">
          <cell r="A105">
            <v>96230970557</v>
          </cell>
          <cell r="B105">
            <v>45026</v>
          </cell>
          <cell r="C105" t="str">
            <v>Regular</v>
          </cell>
          <cell r="D105" t="str">
            <v>VINCENT (698)</v>
          </cell>
          <cell r="F105" t="str">
            <v>F</v>
          </cell>
          <cell r="G105">
            <v>0</v>
          </cell>
          <cell r="H105">
            <v>0</v>
          </cell>
          <cell r="I105">
            <v>0</v>
          </cell>
          <cell r="K105">
            <v>0</v>
          </cell>
          <cell r="L105">
            <v>0</v>
          </cell>
        </row>
        <row r="106">
          <cell r="A106">
            <v>96230910364</v>
          </cell>
          <cell r="B106">
            <v>45027</v>
          </cell>
          <cell r="C106" t="str">
            <v>RUSH</v>
          </cell>
          <cell r="D106" t="str">
            <v>FANTOM(719)</v>
          </cell>
          <cell r="F106" t="str">
            <v>F</v>
          </cell>
          <cell r="G106">
            <v>0</v>
          </cell>
          <cell r="H106">
            <v>0</v>
          </cell>
          <cell r="I106">
            <v>0</v>
          </cell>
          <cell r="K106">
            <v>0</v>
          </cell>
          <cell r="L106">
            <v>0</v>
          </cell>
        </row>
        <row r="107">
          <cell r="A107">
            <v>96230980212</v>
          </cell>
          <cell r="B107">
            <v>45026</v>
          </cell>
          <cell r="C107" t="str">
            <v>Regular</v>
          </cell>
          <cell r="D107" t="str">
            <v>MINH US2 - 718</v>
          </cell>
          <cell r="F107" t="str">
            <v>F</v>
          </cell>
          <cell r="G107">
            <v>0</v>
          </cell>
          <cell r="H107">
            <v>0</v>
          </cell>
          <cell r="I107">
            <v>0</v>
          </cell>
          <cell r="K107">
            <v>0</v>
          </cell>
          <cell r="L107">
            <v>0</v>
          </cell>
        </row>
        <row r="108">
          <cell r="A108">
            <v>96230870125</v>
          </cell>
          <cell r="B108">
            <v>45026</v>
          </cell>
          <cell r="C108" t="str">
            <v>Regular</v>
          </cell>
          <cell r="D108" t="str">
            <v>Vu 138</v>
          </cell>
          <cell r="F108" t="str">
            <v>P F</v>
          </cell>
          <cell r="H108">
            <v>0</v>
          </cell>
          <cell r="I108">
            <v>0</v>
          </cell>
          <cell r="K108">
            <v>0</v>
          </cell>
          <cell r="L108">
            <v>0</v>
          </cell>
        </row>
        <row r="109">
          <cell r="A109">
            <v>96230890654</v>
          </cell>
          <cell r="B109">
            <v>45026</v>
          </cell>
          <cell r="C109" t="str">
            <v>Regular</v>
          </cell>
          <cell r="D109" t="str">
            <v>Vu 138</v>
          </cell>
          <cell r="F109" t="str">
            <v>P F</v>
          </cell>
          <cell r="H109">
            <v>0</v>
          </cell>
          <cell r="I109">
            <v>0</v>
          </cell>
          <cell r="K109">
            <v>0</v>
          </cell>
          <cell r="L109">
            <v>0</v>
          </cell>
        </row>
        <row r="110">
          <cell r="A110">
            <v>96230980209</v>
          </cell>
          <cell r="B110">
            <v>45026</v>
          </cell>
          <cell r="C110" t="str">
            <v>Regular</v>
          </cell>
          <cell r="D110" t="str">
            <v>MINH US2 - 718</v>
          </cell>
          <cell r="F110" t="str">
            <v>F</v>
          </cell>
          <cell r="G110">
            <v>0</v>
          </cell>
          <cell r="H110">
            <v>0</v>
          </cell>
          <cell r="I110">
            <v>0</v>
          </cell>
          <cell r="K110">
            <v>0</v>
          </cell>
          <cell r="L110">
            <v>0</v>
          </cell>
        </row>
        <row r="111">
          <cell r="A111">
            <v>96230940471</v>
          </cell>
          <cell r="B111">
            <v>45021</v>
          </cell>
          <cell r="C111" t="str">
            <v>Regular</v>
          </cell>
          <cell r="D111" t="str">
            <v>JUN 151</v>
          </cell>
          <cell r="F111" t="str">
            <v>F</v>
          </cell>
          <cell r="G111">
            <v>0</v>
          </cell>
          <cell r="H111">
            <v>0</v>
          </cell>
          <cell r="I111">
            <v>0</v>
          </cell>
          <cell r="K111">
            <v>0</v>
          </cell>
          <cell r="L111">
            <v>0</v>
          </cell>
        </row>
        <row r="112">
          <cell r="A112">
            <v>96230940482</v>
          </cell>
          <cell r="B112">
            <v>45021</v>
          </cell>
          <cell r="C112" t="str">
            <v>Regular</v>
          </cell>
          <cell r="D112" t="str">
            <v>JUN 151</v>
          </cell>
          <cell r="F112" t="str">
            <v>F</v>
          </cell>
          <cell r="G112">
            <v>0</v>
          </cell>
          <cell r="H112">
            <v>0</v>
          </cell>
          <cell r="I112">
            <v>0</v>
          </cell>
          <cell r="K112">
            <v>0</v>
          </cell>
          <cell r="L112">
            <v>0</v>
          </cell>
        </row>
        <row r="113">
          <cell r="A113">
            <v>96230910277</v>
          </cell>
          <cell r="B113">
            <v>45026</v>
          </cell>
          <cell r="C113" t="str">
            <v>Regular</v>
          </cell>
          <cell r="D113" t="str">
            <v>Vu 138</v>
          </cell>
          <cell r="F113" t="str">
            <v>P F</v>
          </cell>
          <cell r="H113">
            <v>0</v>
          </cell>
          <cell r="I113">
            <v>0</v>
          </cell>
          <cell r="K113">
            <v>0</v>
          </cell>
          <cell r="L113">
            <v>0</v>
          </cell>
        </row>
        <row r="114">
          <cell r="A114" t="str">
            <v>96230770364(3)</v>
          </cell>
          <cell r="B114">
            <v>45027</v>
          </cell>
          <cell r="C114" t="str">
            <v>RUSH</v>
          </cell>
          <cell r="D114" t="str">
            <v>Vu 138</v>
          </cell>
          <cell r="E114" t="str">
            <v>Retest CF TO LIGHT</v>
          </cell>
          <cell r="F114" t="str">
            <v>F</v>
          </cell>
          <cell r="G114">
            <v>0</v>
          </cell>
          <cell r="H114">
            <v>0</v>
          </cell>
          <cell r="I114">
            <v>0</v>
          </cell>
          <cell r="K114">
            <v>0</v>
          </cell>
          <cell r="L114">
            <v>0</v>
          </cell>
        </row>
        <row r="115">
          <cell r="A115">
            <v>96230960285</v>
          </cell>
          <cell r="B115">
            <v>45027</v>
          </cell>
          <cell r="C115" t="str">
            <v>Regular</v>
          </cell>
          <cell r="D115" t="str">
            <v>Hardy 138</v>
          </cell>
          <cell r="E115" t="str">
            <v>COSTCO PRE</v>
          </cell>
          <cell r="F115" t="str">
            <v>P, F</v>
          </cell>
          <cell r="H115">
            <v>0</v>
          </cell>
          <cell r="I115">
            <v>0</v>
          </cell>
          <cell r="K115">
            <v>0</v>
          </cell>
          <cell r="L115">
            <v>0</v>
          </cell>
        </row>
        <row r="116">
          <cell r="A116">
            <v>96230980554</v>
          </cell>
          <cell r="B116">
            <v>45027</v>
          </cell>
          <cell r="C116" t="str">
            <v>Regular</v>
          </cell>
          <cell r="D116" t="str">
            <v>GIB 718</v>
          </cell>
          <cell r="F116" t="str">
            <v>F</v>
          </cell>
          <cell r="G116">
            <v>0</v>
          </cell>
          <cell r="H116">
            <v>0</v>
          </cell>
          <cell r="I116">
            <v>0</v>
          </cell>
          <cell r="K116">
            <v>0</v>
          </cell>
          <cell r="L116">
            <v>0</v>
          </cell>
        </row>
        <row r="117">
          <cell r="A117">
            <v>96230980553</v>
          </cell>
          <cell r="B117">
            <v>45027</v>
          </cell>
          <cell r="C117" t="str">
            <v>Regular</v>
          </cell>
          <cell r="D117" t="str">
            <v>GIB 718</v>
          </cell>
          <cell r="F117" t="str">
            <v>F</v>
          </cell>
          <cell r="G117">
            <v>0</v>
          </cell>
          <cell r="H117">
            <v>0</v>
          </cell>
          <cell r="I117">
            <v>0</v>
          </cell>
          <cell r="K117">
            <v>0</v>
          </cell>
          <cell r="L117">
            <v>0</v>
          </cell>
        </row>
        <row r="118">
          <cell r="A118">
            <v>96230980552</v>
          </cell>
          <cell r="B118">
            <v>45027</v>
          </cell>
          <cell r="C118" t="str">
            <v>Regular</v>
          </cell>
          <cell r="D118" t="str">
            <v>GIB 718</v>
          </cell>
          <cell r="F118" t="str">
            <v>F</v>
          </cell>
          <cell r="G118">
            <v>0</v>
          </cell>
          <cell r="H118">
            <v>0</v>
          </cell>
          <cell r="I118">
            <v>0</v>
          </cell>
          <cell r="K118">
            <v>0</v>
          </cell>
          <cell r="L118">
            <v>0</v>
          </cell>
        </row>
        <row r="119">
          <cell r="A119">
            <v>96230980550</v>
          </cell>
          <cell r="B119">
            <v>45027</v>
          </cell>
          <cell r="C119" t="str">
            <v>Regular</v>
          </cell>
          <cell r="D119" t="str">
            <v>GIB 718</v>
          </cell>
          <cell r="F119" t="str">
            <v>F</v>
          </cell>
          <cell r="G119">
            <v>0</v>
          </cell>
          <cell r="H119">
            <v>0</v>
          </cell>
          <cell r="I119">
            <v>0</v>
          </cell>
          <cell r="K119">
            <v>0</v>
          </cell>
          <cell r="L119">
            <v>0</v>
          </cell>
        </row>
        <row r="120">
          <cell r="A120">
            <v>96230980549</v>
          </cell>
          <cell r="B120">
            <v>45027</v>
          </cell>
          <cell r="C120" t="str">
            <v>Regular</v>
          </cell>
          <cell r="D120" t="str">
            <v>GIB 718</v>
          </cell>
          <cell r="F120" t="str">
            <v>F</v>
          </cell>
          <cell r="G120">
            <v>0</v>
          </cell>
          <cell r="H120">
            <v>0</v>
          </cell>
          <cell r="I120">
            <v>0</v>
          </cell>
          <cell r="K120">
            <v>0</v>
          </cell>
          <cell r="L120">
            <v>0</v>
          </cell>
        </row>
        <row r="121">
          <cell r="A121">
            <v>96230970565</v>
          </cell>
          <cell r="B121">
            <v>45027</v>
          </cell>
          <cell r="C121" t="str">
            <v>Regular</v>
          </cell>
          <cell r="D121" t="str">
            <v>HAO 718</v>
          </cell>
          <cell r="F121" t="str">
            <v>F P Y</v>
          </cell>
          <cell r="I121">
            <v>0</v>
          </cell>
          <cell r="K121">
            <v>0</v>
          </cell>
          <cell r="L121">
            <v>0</v>
          </cell>
        </row>
        <row r="122">
          <cell r="A122">
            <v>96231000318</v>
          </cell>
          <cell r="B122">
            <v>45027</v>
          </cell>
          <cell r="C122" t="str">
            <v>PRIORITY</v>
          </cell>
          <cell r="D122" t="str">
            <v>Vu 138</v>
          </cell>
          <cell r="F122" t="str">
            <v>P F L</v>
          </cell>
          <cell r="H122">
            <v>0</v>
          </cell>
          <cell r="I122">
            <v>0</v>
          </cell>
          <cell r="L122">
            <v>0</v>
          </cell>
        </row>
        <row r="123">
          <cell r="A123">
            <v>96231010339</v>
          </cell>
          <cell r="B123">
            <v>45027</v>
          </cell>
          <cell r="C123" t="str">
            <v>Regular</v>
          </cell>
          <cell r="D123" t="str">
            <v>VYN 731</v>
          </cell>
          <cell r="E123" t="str">
            <v>DISNEY</v>
          </cell>
          <cell r="F123" t="str">
            <v>FW</v>
          </cell>
          <cell r="G123">
            <v>0</v>
          </cell>
          <cell r="H123">
            <v>0</v>
          </cell>
          <cell r="K123">
            <v>0</v>
          </cell>
          <cell r="L123">
            <v>0</v>
          </cell>
        </row>
        <row r="124">
          <cell r="A124">
            <v>96230980479</v>
          </cell>
          <cell r="B124">
            <v>45028</v>
          </cell>
          <cell r="C124" t="str">
            <v>Regular</v>
          </cell>
          <cell r="D124" t="str">
            <v>MINH US2 - 718</v>
          </cell>
          <cell r="F124" t="str">
            <v>F</v>
          </cell>
          <cell r="G124">
            <v>0</v>
          </cell>
          <cell r="H124">
            <v>0</v>
          </cell>
          <cell r="I124">
            <v>0</v>
          </cell>
          <cell r="K124">
            <v>0</v>
          </cell>
          <cell r="L124">
            <v>0</v>
          </cell>
        </row>
        <row r="125">
          <cell r="A125">
            <v>96230980551</v>
          </cell>
          <cell r="B125">
            <v>45028</v>
          </cell>
          <cell r="C125" t="str">
            <v>Regular</v>
          </cell>
          <cell r="D125" t="str">
            <v>HUYEN 151</v>
          </cell>
          <cell r="F125" t="str">
            <v>L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L125">
            <v>0</v>
          </cell>
        </row>
        <row r="126">
          <cell r="A126">
            <v>96231010025</v>
          </cell>
          <cell r="B126">
            <v>45027</v>
          </cell>
          <cell r="C126" t="str">
            <v>Regular</v>
          </cell>
          <cell r="D126" t="str">
            <v>Maris 619</v>
          </cell>
          <cell r="F126" t="str">
            <v>F</v>
          </cell>
          <cell r="G126">
            <v>0</v>
          </cell>
          <cell r="H126">
            <v>0</v>
          </cell>
          <cell r="I126">
            <v>0</v>
          </cell>
          <cell r="K126">
            <v>0</v>
          </cell>
          <cell r="L126">
            <v>0</v>
          </cell>
        </row>
        <row r="127">
          <cell r="A127">
            <v>96231010042</v>
          </cell>
          <cell r="B127">
            <v>45027</v>
          </cell>
          <cell r="C127" t="str">
            <v>Regular</v>
          </cell>
          <cell r="D127" t="str">
            <v>Maris 619</v>
          </cell>
          <cell r="F127" t="str">
            <v>F</v>
          </cell>
          <cell r="G127">
            <v>0</v>
          </cell>
          <cell r="H127">
            <v>0</v>
          </cell>
          <cell r="I127">
            <v>0</v>
          </cell>
          <cell r="K127">
            <v>0</v>
          </cell>
          <cell r="L127">
            <v>0</v>
          </cell>
        </row>
        <row r="128">
          <cell r="A128">
            <v>96230970538</v>
          </cell>
          <cell r="B128">
            <v>45024</v>
          </cell>
          <cell r="C128" t="str">
            <v>Regular</v>
          </cell>
          <cell r="D128" t="str">
            <v>NGOC 697</v>
          </cell>
          <cell r="E128" t="str">
            <v>DISNEY</v>
          </cell>
          <cell r="F128" t="str">
            <v>F</v>
          </cell>
          <cell r="G128">
            <v>0</v>
          </cell>
          <cell r="H128">
            <v>0</v>
          </cell>
          <cell r="I128">
            <v>0</v>
          </cell>
          <cell r="K128">
            <v>0</v>
          </cell>
          <cell r="L128">
            <v>0</v>
          </cell>
        </row>
        <row r="129">
          <cell r="A129">
            <v>96231020058</v>
          </cell>
          <cell r="B129">
            <v>45029</v>
          </cell>
          <cell r="C129" t="str">
            <v>Regular</v>
          </cell>
          <cell r="D129" t="str">
            <v>MINH US2 - 718</v>
          </cell>
          <cell r="F129" t="str">
            <v>F</v>
          </cell>
          <cell r="G129">
            <v>0</v>
          </cell>
          <cell r="H129">
            <v>0</v>
          </cell>
          <cell r="I129">
            <v>0</v>
          </cell>
          <cell r="K129">
            <v>0</v>
          </cell>
          <cell r="L129">
            <v>0</v>
          </cell>
        </row>
        <row r="130">
          <cell r="A130">
            <v>96230860392</v>
          </cell>
          <cell r="B130">
            <v>45029</v>
          </cell>
          <cell r="C130" t="str">
            <v>Regular</v>
          </cell>
          <cell r="D130" t="str">
            <v>Vu 138</v>
          </cell>
          <cell r="F130" t="str">
            <v>P F</v>
          </cell>
          <cell r="H130">
            <v>0</v>
          </cell>
          <cell r="I130">
            <v>0</v>
          </cell>
          <cell r="K130">
            <v>0</v>
          </cell>
          <cell r="L130">
            <v>0</v>
          </cell>
        </row>
        <row r="131">
          <cell r="A131">
            <v>96231020512</v>
          </cell>
          <cell r="B131">
            <v>45029</v>
          </cell>
          <cell r="C131" t="str">
            <v>Regular</v>
          </cell>
          <cell r="D131" t="str">
            <v>JH 698</v>
          </cell>
          <cell r="E131" t="str">
            <v>DISNEY</v>
          </cell>
          <cell r="F131" t="str">
            <v>F, W</v>
          </cell>
          <cell r="G131">
            <v>0</v>
          </cell>
          <cell r="H131">
            <v>0</v>
          </cell>
          <cell r="K131">
            <v>0</v>
          </cell>
          <cell r="L131">
            <v>0</v>
          </cell>
        </row>
        <row r="132">
          <cell r="A132">
            <v>96231020502</v>
          </cell>
          <cell r="B132">
            <v>45029</v>
          </cell>
          <cell r="C132" t="str">
            <v>Regular</v>
          </cell>
          <cell r="D132" t="str">
            <v>JH 698</v>
          </cell>
          <cell r="E132" t="str">
            <v>DISNEY</v>
          </cell>
          <cell r="F132" t="str">
            <v>F</v>
          </cell>
          <cell r="G132">
            <v>0</v>
          </cell>
          <cell r="H132">
            <v>0</v>
          </cell>
          <cell r="I132">
            <v>0</v>
          </cell>
          <cell r="K132">
            <v>0</v>
          </cell>
          <cell r="L132">
            <v>0</v>
          </cell>
        </row>
        <row r="133">
          <cell r="A133">
            <v>96230970579</v>
          </cell>
          <cell r="B133">
            <v>45029</v>
          </cell>
          <cell r="C133" t="str">
            <v>Regular</v>
          </cell>
          <cell r="D133" t="str">
            <v>HAO 718</v>
          </cell>
          <cell r="F133" t="str">
            <v>F P L</v>
          </cell>
          <cell r="H133">
            <v>0</v>
          </cell>
          <cell r="I133">
            <v>0</v>
          </cell>
          <cell r="L133">
            <v>0</v>
          </cell>
        </row>
        <row r="134">
          <cell r="A134">
            <v>96230880329</v>
          </cell>
          <cell r="B134">
            <v>45029</v>
          </cell>
          <cell r="C134" t="str">
            <v>Regular</v>
          </cell>
          <cell r="D134" t="str">
            <v>CEP-138</v>
          </cell>
          <cell r="F134" t="str">
            <v>F</v>
          </cell>
          <cell r="G134">
            <v>0</v>
          </cell>
          <cell r="H134">
            <v>0</v>
          </cell>
          <cell r="I134">
            <v>0</v>
          </cell>
          <cell r="K134">
            <v>0</v>
          </cell>
          <cell r="L134">
            <v>0</v>
          </cell>
        </row>
        <row r="135">
          <cell r="A135">
            <v>96230760732</v>
          </cell>
          <cell r="B135">
            <v>45029</v>
          </cell>
          <cell r="C135" t="str">
            <v>Regular</v>
          </cell>
          <cell r="D135" t="str">
            <v>Duy (738)</v>
          </cell>
          <cell r="F135" t="str">
            <v>M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</row>
        <row r="136">
          <cell r="A136">
            <v>96230980422</v>
          </cell>
          <cell r="B136">
            <v>45029</v>
          </cell>
          <cell r="C136" t="str">
            <v>RUSH</v>
          </cell>
          <cell r="D136" t="str">
            <v>GIB 718</v>
          </cell>
          <cell r="F136" t="str">
            <v>P F</v>
          </cell>
          <cell r="H136">
            <v>0</v>
          </cell>
          <cell r="I136">
            <v>0</v>
          </cell>
          <cell r="K136">
            <v>0</v>
          </cell>
          <cell r="L136">
            <v>0</v>
          </cell>
        </row>
        <row r="137">
          <cell r="A137">
            <v>96230930448</v>
          </cell>
          <cell r="B137">
            <v>45030</v>
          </cell>
          <cell r="C137" t="str">
            <v>Regular</v>
          </cell>
          <cell r="D137" t="str">
            <v>Vu 138</v>
          </cell>
          <cell r="F137" t="str">
            <v>P F W L</v>
          </cell>
          <cell r="H137">
            <v>0</v>
          </cell>
          <cell r="L137">
            <v>0</v>
          </cell>
        </row>
        <row r="138">
          <cell r="A138">
            <v>96230950644</v>
          </cell>
          <cell r="B138">
            <v>45030</v>
          </cell>
          <cell r="C138" t="str">
            <v>Regular</v>
          </cell>
          <cell r="D138" t="str">
            <v>GIB 718</v>
          </cell>
          <cell r="F138" t="str">
            <v>P F</v>
          </cell>
          <cell r="H138">
            <v>0</v>
          </cell>
          <cell r="I138">
            <v>0</v>
          </cell>
          <cell r="K138">
            <v>0</v>
          </cell>
          <cell r="L138">
            <v>0</v>
          </cell>
        </row>
        <row r="139">
          <cell r="A139">
            <v>96230930450</v>
          </cell>
          <cell r="B139">
            <v>45030</v>
          </cell>
          <cell r="C139" t="str">
            <v>Regular</v>
          </cell>
          <cell r="D139" t="str">
            <v>Vu 138</v>
          </cell>
          <cell r="F139" t="str">
            <v>P F W L</v>
          </cell>
          <cell r="H139">
            <v>0</v>
          </cell>
          <cell r="L139">
            <v>0</v>
          </cell>
        </row>
        <row r="140">
          <cell r="A140">
            <v>96230900502</v>
          </cell>
          <cell r="B140">
            <v>45030</v>
          </cell>
          <cell r="C140" t="str">
            <v>Regular</v>
          </cell>
          <cell r="D140" t="str">
            <v>LUK 138</v>
          </cell>
          <cell r="F140" t="str">
            <v>L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L140">
            <v>0</v>
          </cell>
        </row>
        <row r="141">
          <cell r="A141">
            <v>96231030309</v>
          </cell>
          <cell r="B141">
            <v>45030</v>
          </cell>
          <cell r="C141" t="str">
            <v>RUSH</v>
          </cell>
          <cell r="D141" t="str">
            <v>HUYEN 151</v>
          </cell>
          <cell r="F141" t="str">
            <v>P F</v>
          </cell>
          <cell r="H141">
            <v>0</v>
          </cell>
          <cell r="I141">
            <v>0</v>
          </cell>
          <cell r="K141">
            <v>0</v>
          </cell>
          <cell r="L141">
            <v>0</v>
          </cell>
        </row>
        <row r="142">
          <cell r="A142">
            <v>96231030308</v>
          </cell>
          <cell r="B142">
            <v>45030</v>
          </cell>
          <cell r="C142" t="str">
            <v>RUSH</v>
          </cell>
          <cell r="D142" t="str">
            <v>JUN 151</v>
          </cell>
          <cell r="F142" t="str">
            <v>F</v>
          </cell>
          <cell r="G142">
            <v>0</v>
          </cell>
          <cell r="H142">
            <v>0</v>
          </cell>
          <cell r="I142">
            <v>0</v>
          </cell>
          <cell r="K142">
            <v>0</v>
          </cell>
          <cell r="L142">
            <v>0</v>
          </cell>
        </row>
        <row r="143">
          <cell r="A143">
            <v>96231030213</v>
          </cell>
          <cell r="B143">
            <v>45030</v>
          </cell>
          <cell r="C143" t="str">
            <v>Regular</v>
          </cell>
          <cell r="D143" t="str">
            <v>NGOC 697</v>
          </cell>
          <cell r="E143" t="str">
            <v>DISNEY</v>
          </cell>
          <cell r="F143" t="str">
            <v>F W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</row>
        <row r="144">
          <cell r="A144">
            <v>96231030199</v>
          </cell>
          <cell r="B144">
            <v>45030</v>
          </cell>
          <cell r="C144" t="str">
            <v>Regular</v>
          </cell>
          <cell r="D144" t="str">
            <v>NGOC 697</v>
          </cell>
          <cell r="E144" t="str">
            <v>DISNEY</v>
          </cell>
          <cell r="F144" t="str">
            <v>F W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</row>
        <row r="145">
          <cell r="A145">
            <v>96231030228</v>
          </cell>
          <cell r="B145">
            <v>45030</v>
          </cell>
          <cell r="C145" t="str">
            <v>Regular</v>
          </cell>
          <cell r="D145" t="str">
            <v>NGOC 697</v>
          </cell>
          <cell r="E145" t="str">
            <v>DISNEY</v>
          </cell>
          <cell r="F145" t="str">
            <v>F W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</row>
        <row r="146">
          <cell r="A146">
            <v>96231030236</v>
          </cell>
          <cell r="B146">
            <v>45030</v>
          </cell>
          <cell r="C146" t="str">
            <v>Regular</v>
          </cell>
          <cell r="D146" t="str">
            <v>NGOC 697</v>
          </cell>
          <cell r="E146" t="str">
            <v>DISNEY</v>
          </cell>
          <cell r="F146" t="str">
            <v>F W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</row>
        <row r="147">
          <cell r="A147">
            <v>96231030353</v>
          </cell>
          <cell r="B147">
            <v>45030</v>
          </cell>
          <cell r="C147" t="str">
            <v>Regular</v>
          </cell>
          <cell r="D147" t="str">
            <v>NGOC 697</v>
          </cell>
          <cell r="E147" t="str">
            <v>DISNEY</v>
          </cell>
          <cell r="F147" t="str">
            <v>F</v>
          </cell>
          <cell r="G147">
            <v>0</v>
          </cell>
          <cell r="H147">
            <v>0</v>
          </cell>
          <cell r="I147">
            <v>0</v>
          </cell>
          <cell r="K147">
            <v>0</v>
          </cell>
          <cell r="L147">
            <v>0</v>
          </cell>
        </row>
        <row r="148">
          <cell r="A148">
            <v>96231020568</v>
          </cell>
          <cell r="B148">
            <v>45030</v>
          </cell>
          <cell r="C148" t="str">
            <v>Regular</v>
          </cell>
          <cell r="D148" t="str">
            <v>HAO 718</v>
          </cell>
          <cell r="F148" t="str">
            <v>F</v>
          </cell>
          <cell r="G148">
            <v>0</v>
          </cell>
          <cell r="H148">
            <v>0</v>
          </cell>
          <cell r="I148">
            <v>0</v>
          </cell>
          <cell r="K148">
            <v>0</v>
          </cell>
          <cell r="L148">
            <v>0</v>
          </cell>
        </row>
        <row r="149">
          <cell r="A149">
            <v>96231040165</v>
          </cell>
          <cell r="B149">
            <v>45030</v>
          </cell>
          <cell r="C149" t="str">
            <v>RUSH</v>
          </cell>
          <cell r="D149" t="str">
            <v>JUN 151</v>
          </cell>
          <cell r="F149" t="str">
            <v>P W</v>
          </cell>
          <cell r="H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A150">
            <v>96231020565</v>
          </cell>
          <cell r="B150">
            <v>45030</v>
          </cell>
          <cell r="C150" t="str">
            <v>Regular</v>
          </cell>
          <cell r="D150" t="str">
            <v>JUN 151</v>
          </cell>
          <cell r="F150" t="str">
            <v>P F</v>
          </cell>
          <cell r="H150">
            <v>0</v>
          </cell>
          <cell r="I150">
            <v>0</v>
          </cell>
          <cell r="K150">
            <v>0</v>
          </cell>
          <cell r="L150">
            <v>0</v>
          </cell>
        </row>
        <row r="151">
          <cell r="A151">
            <v>96231040492</v>
          </cell>
          <cell r="B151">
            <v>45030</v>
          </cell>
          <cell r="C151" t="str">
            <v>Regular</v>
          </cell>
          <cell r="D151" t="str">
            <v>VYN 731</v>
          </cell>
          <cell r="E151" t="str">
            <v>DISNEY, 16H00</v>
          </cell>
          <cell r="F151" t="str">
            <v>FW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</row>
        <row r="152">
          <cell r="A152">
            <v>96231040388</v>
          </cell>
          <cell r="B152">
            <v>45031</v>
          </cell>
          <cell r="C152" t="str">
            <v>RUSH</v>
          </cell>
          <cell r="D152" t="str">
            <v>HUYEN 151</v>
          </cell>
          <cell r="F152" t="str">
            <v>F</v>
          </cell>
          <cell r="G152">
            <v>0</v>
          </cell>
          <cell r="H152">
            <v>0</v>
          </cell>
          <cell r="I152">
            <v>0</v>
          </cell>
          <cell r="K152">
            <v>0</v>
          </cell>
          <cell r="L152">
            <v>0</v>
          </cell>
        </row>
        <row r="153">
          <cell r="A153">
            <v>96231030342</v>
          </cell>
          <cell r="B153">
            <v>45031</v>
          </cell>
          <cell r="C153" t="str">
            <v>Regular</v>
          </cell>
          <cell r="D153" t="str">
            <v>HUYEN 151</v>
          </cell>
          <cell r="F153" t="str">
            <v>P F Y</v>
          </cell>
          <cell r="I153">
            <v>0</v>
          </cell>
          <cell r="K153">
            <v>0</v>
          </cell>
          <cell r="L153">
            <v>0</v>
          </cell>
        </row>
        <row r="154">
          <cell r="A154">
            <v>96231030321</v>
          </cell>
          <cell r="B154">
            <v>45031</v>
          </cell>
          <cell r="C154" t="str">
            <v>Regular</v>
          </cell>
          <cell r="D154" t="str">
            <v>HUYEN 151</v>
          </cell>
          <cell r="F154" t="str">
            <v>P F Y</v>
          </cell>
          <cell r="I154">
            <v>0</v>
          </cell>
          <cell r="K154">
            <v>0</v>
          </cell>
          <cell r="L154">
            <v>0</v>
          </cell>
        </row>
        <row r="155">
          <cell r="A155">
            <v>96231030340</v>
          </cell>
          <cell r="B155">
            <v>45031</v>
          </cell>
          <cell r="C155" t="str">
            <v>Regular</v>
          </cell>
          <cell r="D155" t="str">
            <v>HUYEN 151</v>
          </cell>
          <cell r="F155" t="str">
            <v>P F Y</v>
          </cell>
          <cell r="I155">
            <v>0</v>
          </cell>
          <cell r="K155">
            <v>0</v>
          </cell>
          <cell r="L155">
            <v>0</v>
          </cell>
        </row>
        <row r="156">
          <cell r="A156">
            <v>96231040356</v>
          </cell>
          <cell r="B156">
            <v>45031</v>
          </cell>
          <cell r="C156" t="str">
            <v>Regular</v>
          </cell>
          <cell r="D156" t="str">
            <v>VINCENT (698)</v>
          </cell>
          <cell r="F156" t="str">
            <v>M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  <row r="157">
          <cell r="A157">
            <v>96231010299</v>
          </cell>
          <cell r="B157">
            <v>45031</v>
          </cell>
          <cell r="C157" t="str">
            <v>Regular</v>
          </cell>
          <cell r="D157" t="str">
            <v>LUK 138</v>
          </cell>
          <cell r="F157" t="str">
            <v xml:space="preserve">L P </v>
          </cell>
          <cell r="H157">
            <v>0</v>
          </cell>
          <cell r="I157">
            <v>0</v>
          </cell>
          <cell r="J157">
            <v>0</v>
          </cell>
          <cell r="L157">
            <v>0</v>
          </cell>
        </row>
        <row r="158">
          <cell r="A158">
            <v>96231040454</v>
          </cell>
          <cell r="B158">
            <v>45031</v>
          </cell>
          <cell r="C158" t="str">
            <v>RUSH</v>
          </cell>
          <cell r="D158" t="str">
            <v>HUYEN 151</v>
          </cell>
          <cell r="F158" t="str">
            <v>F</v>
          </cell>
          <cell r="G158">
            <v>0</v>
          </cell>
          <cell r="H158">
            <v>0</v>
          </cell>
          <cell r="I158">
            <v>0</v>
          </cell>
          <cell r="K158">
            <v>0</v>
          </cell>
          <cell r="L158">
            <v>0</v>
          </cell>
        </row>
        <row r="159">
          <cell r="A159" t="str">
            <v>96230130346(4)</v>
          </cell>
          <cell r="B159">
            <v>45031</v>
          </cell>
          <cell r="C159" t="str">
            <v>Regular</v>
          </cell>
          <cell r="D159" t="str">
            <v>HAO 718</v>
          </cell>
          <cell r="F159" t="str">
            <v>F P L W</v>
          </cell>
          <cell r="H159">
            <v>0</v>
          </cell>
          <cell r="L159">
            <v>0</v>
          </cell>
        </row>
        <row r="160">
          <cell r="A160">
            <v>96231050160</v>
          </cell>
          <cell r="B160">
            <v>45031</v>
          </cell>
          <cell r="C160" t="str">
            <v>Regular</v>
          </cell>
          <cell r="D160" t="str">
            <v>VINCENT (698)</v>
          </cell>
          <cell r="F160" t="str">
            <v>M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</row>
        <row r="161">
          <cell r="A161" t="str">
            <v>96230930176(2)</v>
          </cell>
          <cell r="B161">
            <v>45033</v>
          </cell>
          <cell r="C161" t="str">
            <v>Regular</v>
          </cell>
          <cell r="D161" t="str">
            <v>GIB 718</v>
          </cell>
          <cell r="F161" t="str">
            <v>P F M L</v>
          </cell>
          <cell r="H161">
            <v>0</v>
          </cell>
          <cell r="I161">
            <v>0</v>
          </cell>
        </row>
        <row r="162">
          <cell r="A162">
            <v>96231070124</v>
          </cell>
          <cell r="B162">
            <v>45033</v>
          </cell>
          <cell r="C162" t="str">
            <v>Regular</v>
          </cell>
          <cell r="D162" t="str">
            <v>MARIS (619)</v>
          </cell>
          <cell r="E162" t="str">
            <v>DISNEY</v>
          </cell>
          <cell r="F162" t="str">
            <v>F</v>
          </cell>
          <cell r="G162">
            <v>0</v>
          </cell>
          <cell r="H162">
            <v>0</v>
          </cell>
          <cell r="I162">
            <v>0</v>
          </cell>
          <cell r="K162">
            <v>0</v>
          </cell>
          <cell r="L162">
            <v>0</v>
          </cell>
        </row>
        <row r="163">
          <cell r="A163">
            <v>96230930174</v>
          </cell>
          <cell r="B163">
            <v>45024</v>
          </cell>
          <cell r="C163" t="str">
            <v>Regular</v>
          </cell>
          <cell r="D163" t="str">
            <v>FANTOM(719)</v>
          </cell>
          <cell r="F163" t="str">
            <v>P, F</v>
          </cell>
          <cell r="H163">
            <v>0</v>
          </cell>
          <cell r="I163">
            <v>0</v>
          </cell>
          <cell r="K163">
            <v>0</v>
          </cell>
          <cell r="L163">
            <v>0</v>
          </cell>
        </row>
        <row r="164">
          <cell r="A164">
            <v>96230930175</v>
          </cell>
          <cell r="B164">
            <v>45025</v>
          </cell>
          <cell r="C164" t="str">
            <v>Regular</v>
          </cell>
          <cell r="D164" t="str">
            <v>FANTOM(719)</v>
          </cell>
          <cell r="F164" t="str">
            <v>P, F</v>
          </cell>
          <cell r="H164">
            <v>0</v>
          </cell>
          <cell r="I164">
            <v>0</v>
          </cell>
          <cell r="K164">
            <v>0</v>
          </cell>
          <cell r="L164">
            <v>0</v>
          </cell>
        </row>
        <row r="165">
          <cell r="A165">
            <v>96231040282</v>
          </cell>
          <cell r="B165">
            <v>45033</v>
          </cell>
          <cell r="C165" t="str">
            <v>Regular</v>
          </cell>
          <cell r="D165" t="str">
            <v>LUK 138</v>
          </cell>
          <cell r="F165" t="str">
            <v>L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L165">
            <v>0</v>
          </cell>
        </row>
        <row r="166">
          <cell r="A166">
            <v>96231070302</v>
          </cell>
          <cell r="B166">
            <v>45033</v>
          </cell>
          <cell r="C166" t="str">
            <v>Regular</v>
          </cell>
          <cell r="D166" t="str">
            <v>MARIS (619)</v>
          </cell>
          <cell r="E166" t="str">
            <v>DISNEY</v>
          </cell>
          <cell r="F166" t="str">
            <v>F, W</v>
          </cell>
          <cell r="G166">
            <v>0</v>
          </cell>
          <cell r="H166">
            <v>0</v>
          </cell>
          <cell r="K166">
            <v>0</v>
          </cell>
          <cell r="L166">
            <v>0</v>
          </cell>
        </row>
        <row r="167">
          <cell r="A167">
            <v>96231040279</v>
          </cell>
          <cell r="B167">
            <v>45033</v>
          </cell>
          <cell r="C167" t="str">
            <v>Regular</v>
          </cell>
          <cell r="D167" t="str">
            <v>LUK 138</v>
          </cell>
          <cell r="F167" t="str">
            <v>F W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</row>
        <row r="168">
          <cell r="A168">
            <v>96231040278</v>
          </cell>
          <cell r="B168">
            <v>45033</v>
          </cell>
          <cell r="C168" t="str">
            <v>Regular</v>
          </cell>
          <cell r="D168" t="str">
            <v>LUK 138</v>
          </cell>
          <cell r="F168" t="str">
            <v>F W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</row>
        <row r="169">
          <cell r="A169">
            <v>96231040280</v>
          </cell>
          <cell r="B169">
            <v>45033</v>
          </cell>
          <cell r="C169" t="str">
            <v>Regular</v>
          </cell>
          <cell r="D169" t="str">
            <v>LUK 138</v>
          </cell>
          <cell r="E169" t="str">
            <v>Chị Đào confirm đủ mẫu 04.20</v>
          </cell>
          <cell r="F169" t="str">
            <v>F W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</row>
        <row r="170">
          <cell r="A170">
            <v>96231070276</v>
          </cell>
          <cell r="B170">
            <v>45033</v>
          </cell>
          <cell r="C170" t="str">
            <v>Regular</v>
          </cell>
          <cell r="D170" t="str">
            <v>NGOC 697</v>
          </cell>
          <cell r="E170" t="str">
            <v>DISNEY</v>
          </cell>
          <cell r="F170" t="str">
            <v>F</v>
          </cell>
          <cell r="G170">
            <v>0</v>
          </cell>
          <cell r="H170">
            <v>0</v>
          </cell>
          <cell r="I170">
            <v>0</v>
          </cell>
          <cell r="K170">
            <v>0</v>
          </cell>
          <cell r="L170">
            <v>0</v>
          </cell>
        </row>
        <row r="171">
          <cell r="A171">
            <v>96231070279</v>
          </cell>
          <cell r="B171">
            <v>45033</v>
          </cell>
          <cell r="C171" t="str">
            <v>Regular</v>
          </cell>
          <cell r="D171" t="str">
            <v>NGOC 697</v>
          </cell>
          <cell r="E171" t="str">
            <v>DISNEY</v>
          </cell>
          <cell r="F171" t="str">
            <v>F</v>
          </cell>
          <cell r="G171">
            <v>0</v>
          </cell>
          <cell r="H171">
            <v>0</v>
          </cell>
          <cell r="I171">
            <v>0</v>
          </cell>
          <cell r="K171">
            <v>0</v>
          </cell>
          <cell r="L171">
            <v>0</v>
          </cell>
        </row>
        <row r="172">
          <cell r="A172">
            <v>96231070330</v>
          </cell>
          <cell r="B172">
            <v>45033</v>
          </cell>
          <cell r="C172" t="str">
            <v>Regular</v>
          </cell>
          <cell r="D172" t="str">
            <v>MARIS 619</v>
          </cell>
          <cell r="E172" t="str">
            <v>DISNEY</v>
          </cell>
          <cell r="F172" t="str">
            <v>F W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</row>
        <row r="173">
          <cell r="A173">
            <v>96231030608</v>
          </cell>
          <cell r="B173">
            <v>45033</v>
          </cell>
          <cell r="C173" t="str">
            <v>Regular</v>
          </cell>
          <cell r="D173" t="str">
            <v>FANTOM(719)</v>
          </cell>
          <cell r="F173" t="str">
            <v>F</v>
          </cell>
          <cell r="G173">
            <v>0</v>
          </cell>
          <cell r="H173">
            <v>0</v>
          </cell>
          <cell r="I173">
            <v>0</v>
          </cell>
          <cell r="K173">
            <v>0</v>
          </cell>
          <cell r="L173">
            <v>0</v>
          </cell>
        </row>
        <row r="174">
          <cell r="A174">
            <v>96231000261</v>
          </cell>
          <cell r="B174">
            <v>45034</v>
          </cell>
          <cell r="C174" t="str">
            <v>Regular</v>
          </cell>
          <cell r="D174" t="str">
            <v>HAO 718</v>
          </cell>
          <cell r="F174" t="str">
            <v>F P</v>
          </cell>
          <cell r="H174">
            <v>0</v>
          </cell>
          <cell r="I174">
            <v>0</v>
          </cell>
          <cell r="K174">
            <v>0</v>
          </cell>
          <cell r="L174">
            <v>0</v>
          </cell>
        </row>
        <row r="175">
          <cell r="A175">
            <v>96231000262</v>
          </cell>
          <cell r="B175">
            <v>45034</v>
          </cell>
          <cell r="C175" t="str">
            <v>Regular</v>
          </cell>
          <cell r="D175" t="str">
            <v>HAO 718</v>
          </cell>
          <cell r="F175" t="str">
            <v>F P</v>
          </cell>
          <cell r="H175">
            <v>0</v>
          </cell>
          <cell r="I175">
            <v>0</v>
          </cell>
          <cell r="K175">
            <v>0</v>
          </cell>
          <cell r="L175">
            <v>0</v>
          </cell>
        </row>
        <row r="176">
          <cell r="A176">
            <v>96231030356</v>
          </cell>
          <cell r="B176">
            <v>45034</v>
          </cell>
          <cell r="C176" t="str">
            <v>Regular</v>
          </cell>
          <cell r="D176" t="str">
            <v>MINH US2 - 718</v>
          </cell>
          <cell r="F176" t="str">
            <v>F</v>
          </cell>
          <cell r="G176">
            <v>0</v>
          </cell>
          <cell r="H176">
            <v>0</v>
          </cell>
          <cell r="I176">
            <v>0</v>
          </cell>
          <cell r="K176">
            <v>0</v>
          </cell>
          <cell r="L176">
            <v>0</v>
          </cell>
        </row>
        <row r="177">
          <cell r="A177">
            <v>96230930462</v>
          </cell>
          <cell r="B177">
            <v>45034</v>
          </cell>
          <cell r="C177" t="str">
            <v>Regular</v>
          </cell>
          <cell r="D177" t="str">
            <v>CEP-138</v>
          </cell>
          <cell r="F177" t="str">
            <v>F</v>
          </cell>
          <cell r="G177">
            <v>0</v>
          </cell>
          <cell r="H177">
            <v>0</v>
          </cell>
          <cell r="I177">
            <v>0</v>
          </cell>
          <cell r="K177">
            <v>0</v>
          </cell>
          <cell r="L177">
            <v>0</v>
          </cell>
        </row>
        <row r="178">
          <cell r="A178">
            <v>96230820537</v>
          </cell>
          <cell r="B178">
            <v>45034</v>
          </cell>
          <cell r="C178" t="str">
            <v>Regular</v>
          </cell>
          <cell r="D178" t="str">
            <v>LUK 138</v>
          </cell>
          <cell r="F178" t="str">
            <v>P L F</v>
          </cell>
          <cell r="H178">
            <v>0</v>
          </cell>
          <cell r="I178">
            <v>0</v>
          </cell>
          <cell r="L178">
            <v>0</v>
          </cell>
        </row>
        <row r="179">
          <cell r="A179">
            <v>96231070280</v>
          </cell>
          <cell r="B179">
            <v>45034</v>
          </cell>
          <cell r="C179" t="str">
            <v>Regular</v>
          </cell>
          <cell r="D179" t="str">
            <v>JH 698</v>
          </cell>
          <cell r="E179" t="str">
            <v>DISNEY</v>
          </cell>
          <cell r="F179" t="str">
            <v>F</v>
          </cell>
          <cell r="G179">
            <v>0</v>
          </cell>
          <cell r="H179">
            <v>0</v>
          </cell>
          <cell r="I179">
            <v>0</v>
          </cell>
          <cell r="K179">
            <v>0</v>
          </cell>
          <cell r="L179">
            <v>0</v>
          </cell>
        </row>
        <row r="180">
          <cell r="A180">
            <v>96231070282</v>
          </cell>
          <cell r="B180">
            <v>45034</v>
          </cell>
          <cell r="C180" t="str">
            <v>Regular</v>
          </cell>
          <cell r="D180" t="str">
            <v>JH 698</v>
          </cell>
          <cell r="E180" t="str">
            <v>DISNEY</v>
          </cell>
          <cell r="F180" t="str">
            <v>F</v>
          </cell>
          <cell r="G180">
            <v>0</v>
          </cell>
          <cell r="H180">
            <v>0</v>
          </cell>
          <cell r="I180">
            <v>0</v>
          </cell>
          <cell r="K180">
            <v>0</v>
          </cell>
          <cell r="L180">
            <v>0</v>
          </cell>
        </row>
        <row r="181">
          <cell r="A181">
            <v>96231070287</v>
          </cell>
          <cell r="B181">
            <v>45034</v>
          </cell>
          <cell r="C181" t="str">
            <v>Regular</v>
          </cell>
          <cell r="D181" t="str">
            <v>JH 698</v>
          </cell>
          <cell r="E181" t="str">
            <v>DISNEY</v>
          </cell>
          <cell r="F181" t="str">
            <v>F</v>
          </cell>
          <cell r="G181">
            <v>0</v>
          </cell>
          <cell r="H181">
            <v>0</v>
          </cell>
          <cell r="I181">
            <v>0</v>
          </cell>
          <cell r="K181">
            <v>0</v>
          </cell>
          <cell r="L181">
            <v>0</v>
          </cell>
        </row>
        <row r="182">
          <cell r="A182">
            <v>96231070306</v>
          </cell>
          <cell r="B182">
            <v>45034</v>
          </cell>
          <cell r="C182" t="str">
            <v>Regular</v>
          </cell>
          <cell r="D182" t="str">
            <v>JH 698</v>
          </cell>
          <cell r="E182" t="str">
            <v>DISNEY</v>
          </cell>
          <cell r="F182" t="str">
            <v>F</v>
          </cell>
          <cell r="G182">
            <v>0</v>
          </cell>
          <cell r="H182">
            <v>0</v>
          </cell>
          <cell r="I182">
            <v>0</v>
          </cell>
          <cell r="K182">
            <v>0</v>
          </cell>
          <cell r="L182">
            <v>0</v>
          </cell>
        </row>
        <row r="183">
          <cell r="A183">
            <v>96231070093</v>
          </cell>
          <cell r="B183">
            <v>45034</v>
          </cell>
          <cell r="C183" t="str">
            <v>Regular</v>
          </cell>
          <cell r="D183" t="str">
            <v>JH 698</v>
          </cell>
          <cell r="E183" t="str">
            <v>DISNEY</v>
          </cell>
          <cell r="F183" t="str">
            <v>F</v>
          </cell>
          <cell r="G183">
            <v>0</v>
          </cell>
          <cell r="H183">
            <v>0</v>
          </cell>
          <cell r="I183">
            <v>0</v>
          </cell>
          <cell r="K183">
            <v>0</v>
          </cell>
          <cell r="L183">
            <v>0</v>
          </cell>
        </row>
        <row r="184">
          <cell r="A184">
            <v>96231070153</v>
          </cell>
          <cell r="B184">
            <v>45034</v>
          </cell>
          <cell r="C184" t="str">
            <v>Regular</v>
          </cell>
          <cell r="D184" t="str">
            <v>Duy (738)</v>
          </cell>
          <cell r="F184" t="str">
            <v>F, L</v>
          </cell>
          <cell r="G184">
            <v>0</v>
          </cell>
          <cell r="H184">
            <v>0</v>
          </cell>
          <cell r="I184">
            <v>0</v>
          </cell>
          <cell r="L184">
            <v>0</v>
          </cell>
        </row>
        <row r="185">
          <cell r="A185">
            <v>96231030483</v>
          </cell>
          <cell r="B185">
            <v>45034</v>
          </cell>
          <cell r="C185" t="str">
            <v>Regular</v>
          </cell>
          <cell r="D185" t="str">
            <v>HUYEN 151</v>
          </cell>
          <cell r="F185" t="str">
            <v>P F Y</v>
          </cell>
          <cell r="I185">
            <v>0</v>
          </cell>
          <cell r="K185">
            <v>0</v>
          </cell>
          <cell r="L185">
            <v>0</v>
          </cell>
        </row>
        <row r="186">
          <cell r="A186">
            <v>96231030343</v>
          </cell>
          <cell r="B186">
            <v>45034</v>
          </cell>
          <cell r="C186" t="str">
            <v>Regular</v>
          </cell>
          <cell r="D186" t="str">
            <v>HUYEN 151</v>
          </cell>
          <cell r="F186" t="str">
            <v>P F Y</v>
          </cell>
          <cell r="I186">
            <v>0</v>
          </cell>
          <cell r="K186">
            <v>0</v>
          </cell>
          <cell r="L186">
            <v>0</v>
          </cell>
        </row>
        <row r="187">
          <cell r="A187">
            <v>96230970645</v>
          </cell>
          <cell r="B187">
            <v>45034</v>
          </cell>
          <cell r="C187" t="str">
            <v>Regular</v>
          </cell>
          <cell r="D187" t="str">
            <v>LUK 138</v>
          </cell>
          <cell r="F187" t="str">
            <v>P L F</v>
          </cell>
          <cell r="H187">
            <v>0</v>
          </cell>
          <cell r="I187">
            <v>0</v>
          </cell>
          <cell r="L187">
            <v>0</v>
          </cell>
        </row>
        <row r="188">
          <cell r="A188">
            <v>96231030218</v>
          </cell>
          <cell r="B188">
            <v>45034</v>
          </cell>
          <cell r="C188" t="str">
            <v>Regular</v>
          </cell>
          <cell r="D188" t="str">
            <v>Vu 138</v>
          </cell>
          <cell r="F188" t="str">
            <v xml:space="preserve">P F </v>
          </cell>
          <cell r="H188">
            <v>0</v>
          </cell>
          <cell r="I188">
            <v>0</v>
          </cell>
          <cell r="K188">
            <v>0</v>
          </cell>
          <cell r="L188">
            <v>0</v>
          </cell>
        </row>
        <row r="189">
          <cell r="A189">
            <v>96231080498</v>
          </cell>
          <cell r="B189">
            <v>45034</v>
          </cell>
          <cell r="C189" t="str">
            <v>Regular</v>
          </cell>
          <cell r="D189" t="str">
            <v>VYN 731</v>
          </cell>
          <cell r="E189" t="str">
            <v>DISNEY, 16:15'</v>
          </cell>
          <cell r="F189" t="str">
            <v>F</v>
          </cell>
          <cell r="G189">
            <v>0</v>
          </cell>
          <cell r="H189">
            <v>0</v>
          </cell>
          <cell r="I189">
            <v>0</v>
          </cell>
          <cell r="K189">
            <v>0</v>
          </cell>
          <cell r="L189">
            <v>0</v>
          </cell>
        </row>
        <row r="190">
          <cell r="A190">
            <v>96231030314</v>
          </cell>
          <cell r="B190">
            <v>45034</v>
          </cell>
          <cell r="C190" t="str">
            <v>Regular</v>
          </cell>
          <cell r="D190" t="str">
            <v>HUYEN 151</v>
          </cell>
          <cell r="F190" t="str">
            <v>P Y F</v>
          </cell>
          <cell r="I190">
            <v>0</v>
          </cell>
          <cell r="K190">
            <v>0</v>
          </cell>
          <cell r="L190">
            <v>0</v>
          </cell>
        </row>
        <row r="191">
          <cell r="A191">
            <v>96231030350</v>
          </cell>
          <cell r="B191">
            <v>45033</v>
          </cell>
          <cell r="C191" t="str">
            <v>Regular</v>
          </cell>
          <cell r="D191" t="str">
            <v>JUN 151</v>
          </cell>
          <cell r="F191" t="str">
            <v>P Y F</v>
          </cell>
          <cell r="I191">
            <v>0</v>
          </cell>
          <cell r="K191">
            <v>0</v>
          </cell>
          <cell r="L191">
            <v>0</v>
          </cell>
        </row>
        <row r="192">
          <cell r="A192">
            <v>96231030481</v>
          </cell>
          <cell r="B192">
            <v>45033</v>
          </cell>
          <cell r="C192" t="str">
            <v>Regular</v>
          </cell>
          <cell r="D192" t="str">
            <v>JUN 151</v>
          </cell>
          <cell r="F192" t="str">
            <v>P Y F</v>
          </cell>
          <cell r="I192">
            <v>0</v>
          </cell>
          <cell r="K192">
            <v>0</v>
          </cell>
          <cell r="L192">
            <v>0</v>
          </cell>
        </row>
        <row r="193">
          <cell r="A193">
            <v>96231030478</v>
          </cell>
          <cell r="B193">
            <v>45033</v>
          </cell>
          <cell r="C193" t="str">
            <v>Regular</v>
          </cell>
          <cell r="D193" t="str">
            <v>JUN 151</v>
          </cell>
          <cell r="F193" t="str">
            <v>P Y F</v>
          </cell>
          <cell r="I193">
            <v>0</v>
          </cell>
          <cell r="K193">
            <v>0</v>
          </cell>
          <cell r="L193">
            <v>0</v>
          </cell>
        </row>
        <row r="194">
          <cell r="A194">
            <v>96231090071</v>
          </cell>
          <cell r="B194">
            <v>45035</v>
          </cell>
          <cell r="C194" t="str">
            <v>Regular</v>
          </cell>
          <cell r="D194" t="str">
            <v>JH 698</v>
          </cell>
          <cell r="E194" t="str">
            <v>DISNEY</v>
          </cell>
          <cell r="F194" t="str">
            <v>F,W</v>
          </cell>
          <cell r="G194">
            <v>0</v>
          </cell>
          <cell r="H194">
            <v>0</v>
          </cell>
          <cell r="K194">
            <v>0</v>
          </cell>
          <cell r="L194">
            <v>0</v>
          </cell>
        </row>
        <row r="195">
          <cell r="A195">
            <v>96230980312</v>
          </cell>
          <cell r="B195">
            <v>45035</v>
          </cell>
          <cell r="C195" t="str">
            <v>Regular</v>
          </cell>
          <cell r="D195" t="str">
            <v>CEP-138</v>
          </cell>
          <cell r="F195" t="str">
            <v>F, P, W</v>
          </cell>
          <cell r="H195">
            <v>0</v>
          </cell>
          <cell r="K195">
            <v>0</v>
          </cell>
          <cell r="L195">
            <v>0</v>
          </cell>
        </row>
        <row r="196">
          <cell r="A196">
            <v>96231090174</v>
          </cell>
          <cell r="B196">
            <v>45036</v>
          </cell>
          <cell r="C196" t="str">
            <v>Regular</v>
          </cell>
          <cell r="D196" t="str">
            <v>NGOC 697</v>
          </cell>
          <cell r="E196" t="str">
            <v>DISNEY</v>
          </cell>
          <cell r="F196" t="str">
            <v>F</v>
          </cell>
          <cell r="G196">
            <v>0</v>
          </cell>
          <cell r="H196">
            <v>0</v>
          </cell>
          <cell r="I196">
            <v>0</v>
          </cell>
          <cell r="K196">
            <v>0</v>
          </cell>
          <cell r="L196">
            <v>0</v>
          </cell>
        </row>
        <row r="197">
          <cell r="A197">
            <v>96231090159</v>
          </cell>
          <cell r="B197">
            <v>45035</v>
          </cell>
          <cell r="C197" t="str">
            <v>Regular</v>
          </cell>
          <cell r="D197" t="str">
            <v>MARIS 619</v>
          </cell>
          <cell r="E197" t="str">
            <v>DISNEY</v>
          </cell>
          <cell r="F197" t="str">
            <v>F,W</v>
          </cell>
          <cell r="G197">
            <v>0</v>
          </cell>
          <cell r="H197">
            <v>0</v>
          </cell>
          <cell r="K197">
            <v>0</v>
          </cell>
          <cell r="L197">
            <v>0</v>
          </cell>
        </row>
        <row r="198">
          <cell r="A198">
            <v>96231090446</v>
          </cell>
          <cell r="B198">
            <v>45035</v>
          </cell>
          <cell r="C198" t="str">
            <v>Regular</v>
          </cell>
          <cell r="D198" t="str">
            <v>VYN 731</v>
          </cell>
          <cell r="E198" t="str">
            <v>DISNEY, 16:05</v>
          </cell>
          <cell r="F198" t="str">
            <v>F</v>
          </cell>
          <cell r="G198">
            <v>0</v>
          </cell>
          <cell r="H198">
            <v>0</v>
          </cell>
          <cell r="I198">
            <v>0</v>
          </cell>
          <cell r="K198">
            <v>0</v>
          </cell>
          <cell r="L198">
            <v>0</v>
          </cell>
        </row>
        <row r="199">
          <cell r="A199" t="str">
            <v>96230890563(2)</v>
          </cell>
          <cell r="B199">
            <v>45035</v>
          </cell>
          <cell r="C199" t="str">
            <v>Regular</v>
          </cell>
          <cell r="D199" t="str">
            <v>VYN 731</v>
          </cell>
          <cell r="E199" t="str">
            <v>DISNEY</v>
          </cell>
          <cell r="F199" t="str">
            <v>W</v>
          </cell>
          <cell r="G199">
            <v>0</v>
          </cell>
          <cell r="H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A200">
            <v>96231070489</v>
          </cell>
          <cell r="B200">
            <v>45036</v>
          </cell>
          <cell r="C200" t="str">
            <v>Regular</v>
          </cell>
          <cell r="D200" t="str">
            <v>VINCENT (698)</v>
          </cell>
          <cell r="F200" t="str">
            <v xml:space="preserve">P, F, L </v>
          </cell>
          <cell r="H200">
            <v>0</v>
          </cell>
          <cell r="I200">
            <v>0</v>
          </cell>
          <cell r="L200">
            <v>0</v>
          </cell>
        </row>
        <row r="201">
          <cell r="A201">
            <v>96231070491</v>
          </cell>
          <cell r="B201">
            <v>45036</v>
          </cell>
          <cell r="C201" t="str">
            <v>Regular</v>
          </cell>
          <cell r="D201" t="str">
            <v>VINCENT (698)</v>
          </cell>
          <cell r="F201" t="str">
            <v>P, F</v>
          </cell>
          <cell r="H201">
            <v>0</v>
          </cell>
          <cell r="I201">
            <v>0</v>
          </cell>
          <cell r="K201">
            <v>0</v>
          </cell>
          <cell r="L201">
            <v>0</v>
          </cell>
        </row>
        <row r="202">
          <cell r="A202">
            <v>96231080184</v>
          </cell>
          <cell r="B202">
            <v>45036</v>
          </cell>
          <cell r="C202" t="str">
            <v>Regular</v>
          </cell>
          <cell r="D202" t="str">
            <v>VINCENT (698)</v>
          </cell>
          <cell r="F202" t="str">
            <v>P, F</v>
          </cell>
          <cell r="H202">
            <v>0</v>
          </cell>
          <cell r="I202">
            <v>0</v>
          </cell>
          <cell r="K202">
            <v>0</v>
          </cell>
          <cell r="L202">
            <v>0</v>
          </cell>
        </row>
        <row r="203">
          <cell r="A203">
            <v>96231070507</v>
          </cell>
          <cell r="B203">
            <v>45036</v>
          </cell>
          <cell r="C203" t="str">
            <v>Regular</v>
          </cell>
          <cell r="D203" t="str">
            <v>HAO 718</v>
          </cell>
          <cell r="F203" t="str">
            <v>F</v>
          </cell>
          <cell r="G203">
            <v>0</v>
          </cell>
          <cell r="H203">
            <v>0</v>
          </cell>
          <cell r="I203">
            <v>0</v>
          </cell>
          <cell r="K203">
            <v>0</v>
          </cell>
          <cell r="L203">
            <v>0</v>
          </cell>
        </row>
        <row r="204">
          <cell r="A204">
            <v>96231090584</v>
          </cell>
          <cell r="B204">
            <v>45036</v>
          </cell>
          <cell r="C204" t="str">
            <v>Regular</v>
          </cell>
          <cell r="D204" t="str">
            <v>MARIS (619)</v>
          </cell>
          <cell r="E204" t="str">
            <v>DISNEY</v>
          </cell>
          <cell r="F204" t="str">
            <v>F</v>
          </cell>
          <cell r="G204">
            <v>0</v>
          </cell>
          <cell r="H204">
            <v>0</v>
          </cell>
          <cell r="I204">
            <v>0</v>
          </cell>
          <cell r="K204">
            <v>0</v>
          </cell>
          <cell r="L204">
            <v>0</v>
          </cell>
        </row>
        <row r="205">
          <cell r="A205">
            <v>96231070243</v>
          </cell>
          <cell r="B205">
            <v>45036</v>
          </cell>
          <cell r="C205" t="str">
            <v>Regular</v>
          </cell>
          <cell r="D205" t="str">
            <v>MINH US2 - 718</v>
          </cell>
          <cell r="F205" t="str">
            <v>P Y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A206">
            <v>96231090100</v>
          </cell>
          <cell r="B206">
            <v>45036</v>
          </cell>
          <cell r="C206" t="str">
            <v>Regular</v>
          </cell>
          <cell r="D206" t="str">
            <v>HUYEN 151</v>
          </cell>
          <cell r="F206" t="str">
            <v>P F</v>
          </cell>
          <cell r="H206">
            <v>0</v>
          </cell>
          <cell r="I206">
            <v>0</v>
          </cell>
          <cell r="K206">
            <v>0</v>
          </cell>
          <cell r="L206">
            <v>0</v>
          </cell>
        </row>
        <row r="207">
          <cell r="A207">
            <v>96231090348</v>
          </cell>
          <cell r="B207">
            <v>45036</v>
          </cell>
          <cell r="C207" t="str">
            <v>Regular</v>
          </cell>
          <cell r="D207" t="str">
            <v>HUYEN 151</v>
          </cell>
          <cell r="F207" t="str">
            <v>P M F</v>
          </cell>
          <cell r="H207">
            <v>0</v>
          </cell>
          <cell r="I207">
            <v>0</v>
          </cell>
          <cell r="K207">
            <v>0</v>
          </cell>
        </row>
        <row r="208">
          <cell r="A208">
            <v>96230970657</v>
          </cell>
          <cell r="B208">
            <v>45036</v>
          </cell>
          <cell r="C208" t="str">
            <v>Regular</v>
          </cell>
          <cell r="D208" t="str">
            <v>VINCENT (698)</v>
          </cell>
          <cell r="F208" t="str">
            <v>P, F</v>
          </cell>
          <cell r="H208">
            <v>0</v>
          </cell>
          <cell r="I208">
            <v>0</v>
          </cell>
          <cell r="K208">
            <v>0</v>
          </cell>
          <cell r="L208">
            <v>0</v>
          </cell>
        </row>
        <row r="209">
          <cell r="A209">
            <v>96230970658</v>
          </cell>
          <cell r="B209">
            <v>45036</v>
          </cell>
          <cell r="C209" t="str">
            <v>Regular</v>
          </cell>
          <cell r="D209" t="str">
            <v>VINCENT (698)</v>
          </cell>
          <cell r="F209" t="str">
            <v>P, F</v>
          </cell>
          <cell r="H209">
            <v>0</v>
          </cell>
          <cell r="I209">
            <v>0</v>
          </cell>
          <cell r="K209">
            <v>0</v>
          </cell>
          <cell r="L209">
            <v>0</v>
          </cell>
        </row>
        <row r="210">
          <cell r="A210">
            <v>96231100245</v>
          </cell>
          <cell r="B210">
            <v>45036</v>
          </cell>
          <cell r="C210" t="str">
            <v>Regular</v>
          </cell>
          <cell r="D210" t="str">
            <v>VINCENT (698)</v>
          </cell>
          <cell r="F210" t="str">
            <v>P, F</v>
          </cell>
          <cell r="H210">
            <v>0</v>
          </cell>
          <cell r="I210">
            <v>0</v>
          </cell>
          <cell r="K210">
            <v>0</v>
          </cell>
          <cell r="L210">
            <v>0</v>
          </cell>
        </row>
        <row r="211">
          <cell r="A211">
            <v>96231100239</v>
          </cell>
          <cell r="B211">
            <v>45036</v>
          </cell>
          <cell r="C211" t="str">
            <v>Regular</v>
          </cell>
          <cell r="D211" t="str">
            <v>VINCENT (698)</v>
          </cell>
          <cell r="F211" t="str">
            <v>P, F</v>
          </cell>
          <cell r="H211">
            <v>0</v>
          </cell>
          <cell r="I211">
            <v>0</v>
          </cell>
          <cell r="K211">
            <v>0</v>
          </cell>
          <cell r="L211">
            <v>0</v>
          </cell>
        </row>
        <row r="212">
          <cell r="A212">
            <v>96231080246</v>
          </cell>
          <cell r="B212">
            <v>45037</v>
          </cell>
          <cell r="C212" t="str">
            <v>Regular</v>
          </cell>
          <cell r="D212" t="str">
            <v>HUYEN 151</v>
          </cell>
          <cell r="F212" t="str">
            <v>P Y F</v>
          </cell>
          <cell r="I212">
            <v>0</v>
          </cell>
          <cell r="K212">
            <v>0</v>
          </cell>
          <cell r="L212">
            <v>0</v>
          </cell>
        </row>
        <row r="213">
          <cell r="A213">
            <v>96231080808</v>
          </cell>
          <cell r="B213">
            <v>45037</v>
          </cell>
          <cell r="C213" t="str">
            <v>Regular</v>
          </cell>
          <cell r="D213" t="str">
            <v>HAO 718</v>
          </cell>
          <cell r="F213" t="str">
            <v>F</v>
          </cell>
          <cell r="G213">
            <v>0</v>
          </cell>
          <cell r="H213">
            <v>0</v>
          </cell>
          <cell r="I213">
            <v>0</v>
          </cell>
          <cell r="K213">
            <v>0</v>
          </cell>
          <cell r="L213">
            <v>0</v>
          </cell>
        </row>
        <row r="214">
          <cell r="A214">
            <v>96231090101</v>
          </cell>
          <cell r="B214">
            <v>45037</v>
          </cell>
          <cell r="C214" t="str">
            <v>Regular</v>
          </cell>
          <cell r="D214" t="str">
            <v>JUN 151</v>
          </cell>
          <cell r="F214" t="str">
            <v>F</v>
          </cell>
          <cell r="G214">
            <v>0</v>
          </cell>
          <cell r="H214">
            <v>0</v>
          </cell>
          <cell r="I214">
            <v>0</v>
          </cell>
          <cell r="K214">
            <v>0</v>
          </cell>
          <cell r="L214">
            <v>0</v>
          </cell>
        </row>
        <row r="215">
          <cell r="A215">
            <v>96231090103</v>
          </cell>
          <cell r="B215">
            <v>45037</v>
          </cell>
          <cell r="C215" t="str">
            <v>Regular</v>
          </cell>
          <cell r="D215" t="str">
            <v>JUN 151</v>
          </cell>
          <cell r="F215" t="str">
            <v>P F</v>
          </cell>
          <cell r="H215">
            <v>0</v>
          </cell>
          <cell r="I215">
            <v>0</v>
          </cell>
          <cell r="K215">
            <v>0</v>
          </cell>
          <cell r="L215">
            <v>0</v>
          </cell>
        </row>
        <row r="216">
          <cell r="A216">
            <v>96231100498</v>
          </cell>
          <cell r="B216">
            <v>45037</v>
          </cell>
          <cell r="C216" t="str">
            <v>Regular</v>
          </cell>
          <cell r="D216" t="str">
            <v>HAO 718</v>
          </cell>
          <cell r="F216" t="str">
            <v>F</v>
          </cell>
          <cell r="G216">
            <v>0</v>
          </cell>
          <cell r="H216">
            <v>0</v>
          </cell>
          <cell r="I216">
            <v>0</v>
          </cell>
          <cell r="K216">
            <v>0</v>
          </cell>
          <cell r="L216">
            <v>0</v>
          </cell>
        </row>
        <row r="217">
          <cell r="A217">
            <v>96231100503</v>
          </cell>
          <cell r="B217">
            <v>45037</v>
          </cell>
          <cell r="C217" t="str">
            <v>Regular</v>
          </cell>
          <cell r="D217" t="str">
            <v>HAO 718</v>
          </cell>
          <cell r="F217" t="str">
            <v>F</v>
          </cell>
          <cell r="G217">
            <v>0</v>
          </cell>
          <cell r="H217">
            <v>0</v>
          </cell>
          <cell r="I217">
            <v>0</v>
          </cell>
          <cell r="K217">
            <v>0</v>
          </cell>
          <cell r="L217">
            <v>0</v>
          </cell>
        </row>
        <row r="218">
          <cell r="A218">
            <v>96231090138</v>
          </cell>
          <cell r="B218">
            <v>45037</v>
          </cell>
          <cell r="C218" t="str">
            <v>RUSH</v>
          </cell>
          <cell r="D218" t="str">
            <v>VINCENT (698)</v>
          </cell>
          <cell r="F218" t="str">
            <v>Y</v>
          </cell>
          <cell r="G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A219">
            <v>96231090136</v>
          </cell>
          <cell r="B219">
            <v>45037</v>
          </cell>
          <cell r="C219" t="str">
            <v>RUSH</v>
          </cell>
          <cell r="D219" t="str">
            <v>VINCENT (698)</v>
          </cell>
          <cell r="F219" t="str">
            <v>Y</v>
          </cell>
          <cell r="G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A220">
            <v>96231050005</v>
          </cell>
          <cell r="B220">
            <v>45038</v>
          </cell>
          <cell r="C220" t="str">
            <v>Regular</v>
          </cell>
          <cell r="D220" t="str">
            <v>Hardy 138</v>
          </cell>
          <cell r="E220" t="str">
            <v>COSTCO PRE</v>
          </cell>
          <cell r="F220" t="str">
            <v>P F L M</v>
          </cell>
          <cell r="G220" t="str">
            <v>P</v>
          </cell>
          <cell r="H220">
            <v>0</v>
          </cell>
          <cell r="I220">
            <v>0</v>
          </cell>
        </row>
        <row r="221">
          <cell r="A221">
            <v>96231100411</v>
          </cell>
          <cell r="B221">
            <v>45038</v>
          </cell>
          <cell r="C221" t="str">
            <v>Regular</v>
          </cell>
          <cell r="D221" t="str">
            <v>HUYEN 151</v>
          </cell>
          <cell r="F221" t="str">
            <v>F</v>
          </cell>
          <cell r="G221">
            <v>0</v>
          </cell>
          <cell r="H221">
            <v>0</v>
          </cell>
          <cell r="I221">
            <v>0</v>
          </cell>
          <cell r="K221">
            <v>0</v>
          </cell>
          <cell r="L221">
            <v>0</v>
          </cell>
        </row>
        <row r="222">
          <cell r="A222">
            <v>96230740528</v>
          </cell>
          <cell r="B222">
            <v>45036</v>
          </cell>
          <cell r="C222" t="str">
            <v>RUSH</v>
          </cell>
          <cell r="D222" t="str">
            <v>THEHIEN (EE)</v>
          </cell>
          <cell r="F222" t="str">
            <v>F</v>
          </cell>
          <cell r="G222">
            <v>0</v>
          </cell>
          <cell r="H222">
            <v>0</v>
          </cell>
          <cell r="I222">
            <v>0</v>
          </cell>
          <cell r="K222">
            <v>0</v>
          </cell>
          <cell r="L222">
            <v>0</v>
          </cell>
        </row>
        <row r="223">
          <cell r="A223">
            <v>96231120229</v>
          </cell>
          <cell r="B223">
            <v>45038</v>
          </cell>
          <cell r="C223" t="str">
            <v>Regular</v>
          </cell>
          <cell r="D223" t="str">
            <v>VYN 731</v>
          </cell>
          <cell r="E223" t="str">
            <v>DISNEY</v>
          </cell>
          <cell r="F223" t="str">
            <v>F P</v>
          </cell>
          <cell r="H223">
            <v>0</v>
          </cell>
          <cell r="I223">
            <v>0</v>
          </cell>
          <cell r="K223">
            <v>0</v>
          </cell>
          <cell r="L223">
            <v>0</v>
          </cell>
        </row>
        <row r="224">
          <cell r="A224">
            <v>96231110438</v>
          </cell>
          <cell r="B224">
            <v>45038</v>
          </cell>
          <cell r="C224" t="str">
            <v>Regular</v>
          </cell>
          <cell r="D224" t="str">
            <v>HAO 718</v>
          </cell>
          <cell r="F224" t="str">
            <v>F</v>
          </cell>
          <cell r="G224">
            <v>0</v>
          </cell>
          <cell r="H224">
            <v>0</v>
          </cell>
          <cell r="I224">
            <v>0</v>
          </cell>
          <cell r="K224">
            <v>0</v>
          </cell>
          <cell r="L224">
            <v>0</v>
          </cell>
        </row>
        <row r="225">
          <cell r="A225">
            <v>96231110111</v>
          </cell>
          <cell r="B225">
            <v>45038</v>
          </cell>
          <cell r="C225" t="str">
            <v>Regular</v>
          </cell>
          <cell r="D225" t="str">
            <v>HAO 718</v>
          </cell>
          <cell r="F225" t="str">
            <v>F</v>
          </cell>
          <cell r="G225">
            <v>0</v>
          </cell>
          <cell r="H225">
            <v>0</v>
          </cell>
          <cell r="I225">
            <v>0</v>
          </cell>
          <cell r="K225">
            <v>0</v>
          </cell>
          <cell r="L225">
            <v>0</v>
          </cell>
        </row>
        <row r="226">
          <cell r="A226">
            <v>96231110199</v>
          </cell>
          <cell r="B226">
            <v>45038</v>
          </cell>
          <cell r="C226" t="str">
            <v>Regular</v>
          </cell>
          <cell r="D226" t="str">
            <v>HAO 718</v>
          </cell>
          <cell r="F226" t="str">
            <v>Y</v>
          </cell>
          <cell r="G226">
            <v>0</v>
          </cell>
          <cell r="H226" t="str">
            <v>Y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A227">
            <v>96231120116</v>
          </cell>
          <cell r="B227">
            <v>45038</v>
          </cell>
          <cell r="C227" t="str">
            <v>Regular</v>
          </cell>
          <cell r="D227" t="str">
            <v>VYN 731</v>
          </cell>
          <cell r="E227" t="str">
            <v>DISNEY</v>
          </cell>
          <cell r="F227" t="str">
            <v>M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>
            <v>96231090095</v>
          </cell>
          <cell r="B228">
            <v>45038</v>
          </cell>
          <cell r="C228" t="str">
            <v>Regular</v>
          </cell>
          <cell r="D228" t="str">
            <v>HUYEN 151</v>
          </cell>
          <cell r="F228" t="str">
            <v>L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L228">
            <v>0</v>
          </cell>
        </row>
        <row r="229">
          <cell r="A229">
            <v>96231040369</v>
          </cell>
          <cell r="B229">
            <v>45040</v>
          </cell>
          <cell r="C229" t="str">
            <v>Regular</v>
          </cell>
          <cell r="D229" t="str">
            <v>Vu 138</v>
          </cell>
          <cell r="F229" t="str">
            <v>P F</v>
          </cell>
          <cell r="G229" t="str">
            <v>P</v>
          </cell>
          <cell r="H229">
            <v>0</v>
          </cell>
          <cell r="I229">
            <v>0</v>
          </cell>
          <cell r="K229">
            <v>0</v>
          </cell>
          <cell r="L229">
            <v>0</v>
          </cell>
        </row>
        <row r="230">
          <cell r="A230">
            <v>96230520182</v>
          </cell>
          <cell r="B230">
            <v>45040</v>
          </cell>
          <cell r="C230" t="str">
            <v>Regular</v>
          </cell>
          <cell r="D230" t="str">
            <v>CEP-138</v>
          </cell>
          <cell r="F230" t="str">
            <v>F</v>
          </cell>
          <cell r="G230">
            <v>0</v>
          </cell>
          <cell r="H230">
            <v>0</v>
          </cell>
          <cell r="I230">
            <v>0</v>
          </cell>
          <cell r="K230">
            <v>0</v>
          </cell>
          <cell r="L230">
            <v>0</v>
          </cell>
        </row>
        <row r="231">
          <cell r="A231">
            <v>96231120387</v>
          </cell>
          <cell r="B231">
            <v>45040</v>
          </cell>
          <cell r="C231" t="str">
            <v>RUSH</v>
          </cell>
          <cell r="D231" t="str">
            <v>VINCENT (698)</v>
          </cell>
          <cell r="F231" t="str">
            <v>P, F</v>
          </cell>
          <cell r="H231">
            <v>0</v>
          </cell>
          <cell r="I231">
            <v>0</v>
          </cell>
          <cell r="K231">
            <v>0</v>
          </cell>
          <cell r="L231">
            <v>0</v>
          </cell>
        </row>
        <row r="232">
          <cell r="A232" t="str">
            <v>96230820449(2)</v>
          </cell>
          <cell r="B232">
            <v>45040</v>
          </cell>
          <cell r="C232" t="str">
            <v>Regular</v>
          </cell>
          <cell r="D232" t="str">
            <v>HAO 718</v>
          </cell>
          <cell r="F232" t="str">
            <v>P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A233">
            <v>96231110118</v>
          </cell>
          <cell r="B233">
            <v>45040</v>
          </cell>
          <cell r="C233" t="str">
            <v>Regular</v>
          </cell>
          <cell r="D233" t="str">
            <v>Vu 138</v>
          </cell>
          <cell r="F233" t="str">
            <v>P W F L</v>
          </cell>
          <cell r="H233">
            <v>0</v>
          </cell>
          <cell r="L233">
            <v>0</v>
          </cell>
        </row>
        <row r="234">
          <cell r="A234">
            <v>96231110270</v>
          </cell>
          <cell r="B234">
            <v>45040</v>
          </cell>
          <cell r="C234" t="str">
            <v>Regular</v>
          </cell>
          <cell r="D234" t="str">
            <v>NGOC 697</v>
          </cell>
          <cell r="E234" t="str">
            <v>DISNEY</v>
          </cell>
          <cell r="F234" t="str">
            <v>M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>
            <v>96231110395</v>
          </cell>
          <cell r="B235">
            <v>45040</v>
          </cell>
          <cell r="C235" t="str">
            <v>Regular</v>
          </cell>
          <cell r="D235" t="str">
            <v>NGOC 697</v>
          </cell>
          <cell r="E235" t="str">
            <v>DISNEY</v>
          </cell>
          <cell r="F235" t="str">
            <v>F P</v>
          </cell>
          <cell r="H235">
            <v>0</v>
          </cell>
          <cell r="I235">
            <v>0</v>
          </cell>
          <cell r="K235">
            <v>0</v>
          </cell>
          <cell r="L235">
            <v>0</v>
          </cell>
        </row>
        <row r="236">
          <cell r="A236">
            <v>96231120143</v>
          </cell>
          <cell r="B236">
            <v>45040</v>
          </cell>
          <cell r="C236" t="str">
            <v>Regular</v>
          </cell>
          <cell r="D236" t="str">
            <v>NGOC 697</v>
          </cell>
          <cell r="E236" t="str">
            <v>DISNEY</v>
          </cell>
          <cell r="F236" t="str">
            <v>M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>
            <v>96231120227</v>
          </cell>
          <cell r="B237">
            <v>45040</v>
          </cell>
          <cell r="C237" t="str">
            <v>Regular</v>
          </cell>
          <cell r="D237" t="str">
            <v>NGOC 697</v>
          </cell>
          <cell r="E237" t="str">
            <v>DISNEY</v>
          </cell>
          <cell r="F237" t="str">
            <v>F P</v>
          </cell>
          <cell r="H237">
            <v>0</v>
          </cell>
          <cell r="I237">
            <v>0</v>
          </cell>
          <cell r="K237">
            <v>0</v>
          </cell>
          <cell r="L237">
            <v>0</v>
          </cell>
        </row>
        <row r="238">
          <cell r="A238">
            <v>96231070240</v>
          </cell>
          <cell r="B238">
            <v>45037</v>
          </cell>
          <cell r="C238" t="str">
            <v>Regular</v>
          </cell>
          <cell r="D238" t="str">
            <v>FANTOM(719)</v>
          </cell>
          <cell r="F238" t="str">
            <v>F</v>
          </cell>
          <cell r="G238">
            <v>0</v>
          </cell>
          <cell r="H238">
            <v>0</v>
          </cell>
          <cell r="I238">
            <v>0</v>
          </cell>
          <cell r="K238">
            <v>0</v>
          </cell>
          <cell r="L238">
            <v>0</v>
          </cell>
        </row>
        <row r="239">
          <cell r="A239">
            <v>96231070234</v>
          </cell>
          <cell r="B239">
            <v>45040</v>
          </cell>
          <cell r="C239" t="str">
            <v>Regular</v>
          </cell>
          <cell r="D239" t="str">
            <v>FANTOM(719)</v>
          </cell>
          <cell r="F239" t="str">
            <v>F</v>
          </cell>
          <cell r="G239">
            <v>0</v>
          </cell>
          <cell r="I239">
            <v>0</v>
          </cell>
          <cell r="K239">
            <v>0</v>
          </cell>
          <cell r="L239">
            <v>0</v>
          </cell>
        </row>
        <row r="240">
          <cell r="A240">
            <v>96231100483</v>
          </cell>
          <cell r="B240">
            <v>45040</v>
          </cell>
          <cell r="C240" t="str">
            <v>Regular</v>
          </cell>
          <cell r="D240" t="str">
            <v>FANTOM(719)</v>
          </cell>
          <cell r="F240" t="str">
            <v>F, P, W</v>
          </cell>
          <cell r="G240" t="str">
            <v>P</v>
          </cell>
          <cell r="H240">
            <v>0</v>
          </cell>
          <cell r="K240">
            <v>0</v>
          </cell>
          <cell r="L240">
            <v>0</v>
          </cell>
        </row>
        <row r="241">
          <cell r="A241">
            <v>96231140213</v>
          </cell>
          <cell r="B241">
            <v>45040</v>
          </cell>
          <cell r="C241" t="str">
            <v>Regular</v>
          </cell>
          <cell r="D241" t="str">
            <v>NGOC 697</v>
          </cell>
          <cell r="F241" t="str">
            <v>P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A242">
            <v>96231090587</v>
          </cell>
          <cell r="B242">
            <v>45041</v>
          </cell>
          <cell r="C242" t="str">
            <v>Regular</v>
          </cell>
          <cell r="D242" t="str">
            <v>GIB 718</v>
          </cell>
          <cell r="F242" t="str">
            <v>Y, F</v>
          </cell>
          <cell r="G242">
            <v>0</v>
          </cell>
          <cell r="I242">
            <v>0</v>
          </cell>
          <cell r="K242">
            <v>0</v>
          </cell>
          <cell r="L242">
            <v>0</v>
          </cell>
        </row>
        <row r="243">
          <cell r="A243">
            <v>96231090588</v>
          </cell>
          <cell r="B243">
            <v>45041</v>
          </cell>
          <cell r="C243" t="str">
            <v>Regular</v>
          </cell>
          <cell r="D243" t="str">
            <v>GIB 718</v>
          </cell>
          <cell r="F243" t="str">
            <v>Y, F</v>
          </cell>
          <cell r="G243">
            <v>0</v>
          </cell>
          <cell r="I243">
            <v>0</v>
          </cell>
          <cell r="K243">
            <v>0</v>
          </cell>
          <cell r="L243">
            <v>0</v>
          </cell>
        </row>
        <row r="244">
          <cell r="A244">
            <v>96231120243</v>
          </cell>
          <cell r="B244">
            <v>45041</v>
          </cell>
          <cell r="C244" t="str">
            <v>Regular</v>
          </cell>
          <cell r="D244" t="str">
            <v>Hardy 138</v>
          </cell>
          <cell r="E244" t="str">
            <v>COSTCO VENDOR 
PUSH REPORT 5/3</v>
          </cell>
          <cell r="F244" t="str">
            <v>P, F, L</v>
          </cell>
          <cell r="H244">
            <v>0</v>
          </cell>
          <cell r="I244">
            <v>0</v>
          </cell>
          <cell r="L244">
            <v>0</v>
          </cell>
        </row>
        <row r="245">
          <cell r="A245">
            <v>96230970622</v>
          </cell>
          <cell r="B245">
            <v>45041</v>
          </cell>
          <cell r="C245" t="str">
            <v>Regular</v>
          </cell>
          <cell r="D245" t="str">
            <v>LUK 138</v>
          </cell>
          <cell r="F245" t="str">
            <v>P F</v>
          </cell>
          <cell r="H245">
            <v>0</v>
          </cell>
          <cell r="I245">
            <v>0</v>
          </cell>
          <cell r="K245">
            <v>0</v>
          </cell>
          <cell r="L245">
            <v>0</v>
          </cell>
        </row>
        <row r="246">
          <cell r="A246">
            <v>96231100458</v>
          </cell>
          <cell r="B246">
            <v>45042</v>
          </cell>
          <cell r="C246" t="str">
            <v>Regular</v>
          </cell>
          <cell r="D246" t="str">
            <v>HAO 718</v>
          </cell>
          <cell r="F246" t="str">
            <v>F</v>
          </cell>
          <cell r="G246">
            <v>0</v>
          </cell>
          <cell r="H246">
            <v>0</v>
          </cell>
          <cell r="I246">
            <v>0</v>
          </cell>
          <cell r="K246">
            <v>0</v>
          </cell>
          <cell r="L246">
            <v>0</v>
          </cell>
        </row>
        <row r="247">
          <cell r="A247">
            <v>96231110596</v>
          </cell>
          <cell r="B247">
            <v>45042</v>
          </cell>
          <cell r="C247" t="str">
            <v>Regular</v>
          </cell>
          <cell r="D247" t="str">
            <v>HUYEN 151</v>
          </cell>
          <cell r="F247" t="str">
            <v>L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L247">
            <v>0</v>
          </cell>
        </row>
        <row r="248">
          <cell r="A248">
            <v>96231160077</v>
          </cell>
          <cell r="B248">
            <v>45042</v>
          </cell>
          <cell r="C248" t="str">
            <v>Regular</v>
          </cell>
          <cell r="D248" t="str">
            <v>MARIS (619)</v>
          </cell>
          <cell r="E248" t="str">
            <v>DISNEY</v>
          </cell>
          <cell r="F248" t="str">
            <v>F</v>
          </cell>
          <cell r="G248">
            <v>0</v>
          </cell>
          <cell r="H248">
            <v>0</v>
          </cell>
          <cell r="I248">
            <v>0</v>
          </cell>
          <cell r="K248">
            <v>0</v>
          </cell>
          <cell r="L248">
            <v>0</v>
          </cell>
        </row>
        <row r="249">
          <cell r="A249">
            <v>96231160078</v>
          </cell>
          <cell r="B249">
            <v>45042</v>
          </cell>
          <cell r="C249" t="str">
            <v>Regular</v>
          </cell>
          <cell r="D249" t="str">
            <v>MARIS (619)</v>
          </cell>
          <cell r="E249" t="str">
            <v>DISNEY</v>
          </cell>
          <cell r="F249" t="str">
            <v>F</v>
          </cell>
          <cell r="G249">
            <v>0</v>
          </cell>
          <cell r="H249">
            <v>0</v>
          </cell>
          <cell r="I249">
            <v>0</v>
          </cell>
          <cell r="K249">
            <v>0</v>
          </cell>
          <cell r="L249">
            <v>0</v>
          </cell>
        </row>
        <row r="250">
          <cell r="A250">
            <v>96231160076</v>
          </cell>
          <cell r="B250">
            <v>45042</v>
          </cell>
          <cell r="C250" t="str">
            <v>Regular</v>
          </cell>
          <cell r="D250" t="str">
            <v>MARIS (619)</v>
          </cell>
          <cell r="E250" t="str">
            <v>DISNEY</v>
          </cell>
          <cell r="F250" t="str">
            <v>F</v>
          </cell>
          <cell r="G250">
            <v>0</v>
          </cell>
          <cell r="H250">
            <v>0</v>
          </cell>
          <cell r="I250">
            <v>0</v>
          </cell>
          <cell r="K250">
            <v>0</v>
          </cell>
          <cell r="L250">
            <v>0</v>
          </cell>
        </row>
        <row r="251">
          <cell r="A251">
            <v>96231100489</v>
          </cell>
          <cell r="B251">
            <v>45042</v>
          </cell>
          <cell r="C251" t="str">
            <v>Regular</v>
          </cell>
          <cell r="D251" t="str">
            <v>HAO 718</v>
          </cell>
          <cell r="F251" t="str">
            <v>F</v>
          </cell>
          <cell r="G251">
            <v>0</v>
          </cell>
          <cell r="H251">
            <v>0</v>
          </cell>
          <cell r="I251">
            <v>0</v>
          </cell>
          <cell r="K251">
            <v>0</v>
          </cell>
          <cell r="L251">
            <v>0</v>
          </cell>
        </row>
        <row r="252">
          <cell r="A252">
            <v>96231080425</v>
          </cell>
          <cell r="B252">
            <v>45042</v>
          </cell>
          <cell r="C252" t="str">
            <v>Regular</v>
          </cell>
          <cell r="D252" t="str">
            <v>GIB 718</v>
          </cell>
          <cell r="F252" t="str">
            <v>P F</v>
          </cell>
          <cell r="H252">
            <v>0</v>
          </cell>
          <cell r="I252">
            <v>0</v>
          </cell>
          <cell r="K252">
            <v>0</v>
          </cell>
          <cell r="L252">
            <v>0</v>
          </cell>
        </row>
        <row r="253">
          <cell r="A253">
            <v>96231080427</v>
          </cell>
          <cell r="B253">
            <v>45042</v>
          </cell>
          <cell r="C253" t="str">
            <v>Regular</v>
          </cell>
          <cell r="D253" t="str">
            <v>GIB 718</v>
          </cell>
          <cell r="F253" t="str">
            <v>P F</v>
          </cell>
          <cell r="H253">
            <v>0</v>
          </cell>
          <cell r="I253">
            <v>0</v>
          </cell>
          <cell r="K253">
            <v>0</v>
          </cell>
          <cell r="L253">
            <v>0</v>
          </cell>
        </row>
        <row r="254">
          <cell r="A254">
            <v>96231090472</v>
          </cell>
          <cell r="B254">
            <v>45042</v>
          </cell>
          <cell r="C254" t="str">
            <v>Regular</v>
          </cell>
          <cell r="D254" t="str">
            <v>HAO 718</v>
          </cell>
          <cell r="F254" t="str">
            <v>F</v>
          </cell>
          <cell r="G254">
            <v>0</v>
          </cell>
          <cell r="H254">
            <v>0</v>
          </cell>
          <cell r="I254">
            <v>0</v>
          </cell>
          <cell r="K254">
            <v>0</v>
          </cell>
          <cell r="L254">
            <v>0</v>
          </cell>
        </row>
        <row r="255">
          <cell r="A255">
            <v>96231160001</v>
          </cell>
          <cell r="B255">
            <v>45042</v>
          </cell>
          <cell r="C255" t="str">
            <v>RUSH</v>
          </cell>
          <cell r="D255" t="str">
            <v>HUYEN 151</v>
          </cell>
          <cell r="F255" t="str">
            <v>F W P</v>
          </cell>
          <cell r="H255">
            <v>0</v>
          </cell>
          <cell r="K255">
            <v>0</v>
          </cell>
          <cell r="L255">
            <v>0</v>
          </cell>
        </row>
        <row r="256">
          <cell r="A256">
            <v>96230980434</v>
          </cell>
          <cell r="B256">
            <v>45036</v>
          </cell>
          <cell r="C256" t="str">
            <v>Regular</v>
          </cell>
          <cell r="D256" t="str">
            <v>FANTOM(719)</v>
          </cell>
          <cell r="F256" t="str">
            <v>F, P</v>
          </cell>
          <cell r="H256">
            <v>0</v>
          </cell>
          <cell r="I256">
            <v>0</v>
          </cell>
          <cell r="K256">
            <v>0</v>
          </cell>
          <cell r="L256">
            <v>0</v>
          </cell>
        </row>
        <row r="257">
          <cell r="A257">
            <v>96230980436</v>
          </cell>
          <cell r="B257">
            <v>45036</v>
          </cell>
          <cell r="C257" t="str">
            <v>Regular</v>
          </cell>
          <cell r="D257" t="str">
            <v>FANTOM(719)</v>
          </cell>
          <cell r="F257" t="str">
            <v>F, P</v>
          </cell>
          <cell r="H257">
            <v>0</v>
          </cell>
          <cell r="I257">
            <v>0</v>
          </cell>
          <cell r="K257">
            <v>0</v>
          </cell>
          <cell r="L257">
            <v>0</v>
          </cell>
        </row>
        <row r="258">
          <cell r="A258">
            <v>96231160364</v>
          </cell>
          <cell r="B258">
            <v>45042</v>
          </cell>
          <cell r="C258" t="str">
            <v>Regular</v>
          </cell>
          <cell r="D258" t="str">
            <v>VYN 731</v>
          </cell>
          <cell r="E258" t="str">
            <v>disney</v>
          </cell>
          <cell r="F258" t="str">
            <v>WL</v>
          </cell>
          <cell r="G258">
            <v>0</v>
          </cell>
          <cell r="H258">
            <v>0</v>
          </cell>
          <cell r="J258">
            <v>0</v>
          </cell>
          <cell r="L258">
            <v>0</v>
          </cell>
        </row>
        <row r="259">
          <cell r="A259">
            <v>96231160371</v>
          </cell>
          <cell r="B259">
            <v>45042</v>
          </cell>
          <cell r="C259" t="str">
            <v>Regular</v>
          </cell>
          <cell r="D259" t="str">
            <v>VYN 731</v>
          </cell>
          <cell r="E259" t="str">
            <v>disney</v>
          </cell>
          <cell r="F259" t="str">
            <v>FPW</v>
          </cell>
          <cell r="G259" t="str">
            <v>P</v>
          </cell>
          <cell r="H259">
            <v>0</v>
          </cell>
          <cell r="K259">
            <v>0</v>
          </cell>
          <cell r="L259">
            <v>0</v>
          </cell>
        </row>
        <row r="260">
          <cell r="A260">
            <v>96231160362</v>
          </cell>
          <cell r="B260">
            <v>45042</v>
          </cell>
          <cell r="C260" t="str">
            <v>Regular</v>
          </cell>
          <cell r="D260" t="str">
            <v>NGOC 697</v>
          </cell>
          <cell r="E260" t="str">
            <v>dISNEY</v>
          </cell>
          <cell r="F260" t="str">
            <v>L W</v>
          </cell>
          <cell r="G260">
            <v>0</v>
          </cell>
          <cell r="H260">
            <v>0</v>
          </cell>
          <cell r="J260">
            <v>0</v>
          </cell>
          <cell r="L260">
            <v>0</v>
          </cell>
        </row>
        <row r="261">
          <cell r="A261">
            <v>96231160370</v>
          </cell>
          <cell r="B261">
            <v>45042</v>
          </cell>
          <cell r="C261" t="str">
            <v>Regular</v>
          </cell>
          <cell r="D261" t="str">
            <v>NGOC 697</v>
          </cell>
          <cell r="E261" t="str">
            <v>dISNEY</v>
          </cell>
          <cell r="F261" t="str">
            <v>F W P</v>
          </cell>
          <cell r="G261" t="str">
            <v>P</v>
          </cell>
          <cell r="H261">
            <v>0</v>
          </cell>
          <cell r="K261">
            <v>0</v>
          </cell>
          <cell r="L261">
            <v>0</v>
          </cell>
        </row>
        <row r="262">
          <cell r="A262">
            <v>96231100204</v>
          </cell>
          <cell r="B262">
            <v>45036</v>
          </cell>
          <cell r="C262" t="str">
            <v>Regular</v>
          </cell>
          <cell r="D262" t="str">
            <v>VYN 731</v>
          </cell>
          <cell r="E262" t="str">
            <v>DISNEY</v>
          </cell>
          <cell r="F262" t="str">
            <v>FW</v>
          </cell>
          <cell r="G262">
            <v>0</v>
          </cell>
          <cell r="H262">
            <v>0</v>
          </cell>
          <cell r="K262">
            <v>0</v>
          </cell>
          <cell r="L262">
            <v>0</v>
          </cell>
        </row>
        <row r="263">
          <cell r="A263">
            <v>96231070310</v>
          </cell>
          <cell r="B263">
            <v>45033</v>
          </cell>
          <cell r="C263" t="str">
            <v>Regular</v>
          </cell>
          <cell r="D263" t="str">
            <v>NGOC 697</v>
          </cell>
          <cell r="E263" t="str">
            <v>DISNEY</v>
          </cell>
          <cell r="F263" t="str">
            <v>F</v>
          </cell>
          <cell r="G263">
            <v>0</v>
          </cell>
          <cell r="H263">
            <v>0</v>
          </cell>
          <cell r="I263">
            <v>0</v>
          </cell>
          <cell r="K263">
            <v>0</v>
          </cell>
          <cell r="L263">
            <v>0</v>
          </cell>
        </row>
        <row r="264">
          <cell r="A264">
            <v>96231160493</v>
          </cell>
          <cell r="B264">
            <v>45043</v>
          </cell>
          <cell r="C264" t="str">
            <v>Regular</v>
          </cell>
          <cell r="D264" t="str">
            <v>MINH US2 - 718</v>
          </cell>
          <cell r="F264" t="str">
            <v>F</v>
          </cell>
          <cell r="G264">
            <v>0</v>
          </cell>
          <cell r="H264">
            <v>0</v>
          </cell>
          <cell r="I264">
            <v>0</v>
          </cell>
          <cell r="K264">
            <v>0</v>
          </cell>
          <cell r="L264">
            <v>0</v>
          </cell>
        </row>
        <row r="265">
          <cell r="A265">
            <v>96231160552</v>
          </cell>
          <cell r="B265">
            <v>45043</v>
          </cell>
          <cell r="C265" t="str">
            <v>Regular</v>
          </cell>
          <cell r="D265" t="str">
            <v>JH 698</v>
          </cell>
          <cell r="E265" t="str">
            <v>DISNEY</v>
          </cell>
          <cell r="F265" t="str">
            <v>L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L265">
            <v>0</v>
          </cell>
        </row>
        <row r="266">
          <cell r="A266">
            <v>96231090295</v>
          </cell>
          <cell r="B266">
            <v>45043</v>
          </cell>
          <cell r="C266" t="str">
            <v>Regular</v>
          </cell>
          <cell r="D266" t="str">
            <v>HAO 718</v>
          </cell>
          <cell r="F266" t="str">
            <v>F</v>
          </cell>
          <cell r="G266">
            <v>0</v>
          </cell>
          <cell r="H266">
            <v>0</v>
          </cell>
          <cell r="I266">
            <v>0</v>
          </cell>
          <cell r="J266" t="str">
            <v>F</v>
          </cell>
          <cell r="K266">
            <v>0</v>
          </cell>
          <cell r="L266">
            <v>0</v>
          </cell>
        </row>
        <row r="267">
          <cell r="A267">
            <v>96231090296</v>
          </cell>
          <cell r="B267">
            <v>45043</v>
          </cell>
          <cell r="C267" t="str">
            <v>Regular</v>
          </cell>
          <cell r="D267" t="str">
            <v>HAO 718</v>
          </cell>
          <cell r="F267" t="str">
            <v>F</v>
          </cell>
          <cell r="G267">
            <v>0</v>
          </cell>
          <cell r="H267">
            <v>0</v>
          </cell>
          <cell r="I267">
            <v>0</v>
          </cell>
          <cell r="J267" t="str">
            <v>F</v>
          </cell>
          <cell r="K267">
            <v>0</v>
          </cell>
          <cell r="L267">
            <v>0</v>
          </cell>
        </row>
        <row r="268">
          <cell r="A268">
            <v>96231090297</v>
          </cell>
          <cell r="B268">
            <v>45043</v>
          </cell>
          <cell r="C268" t="str">
            <v>Regular</v>
          </cell>
          <cell r="D268" t="str">
            <v>HAO 718</v>
          </cell>
          <cell r="F268" t="str">
            <v>F</v>
          </cell>
          <cell r="G268">
            <v>0</v>
          </cell>
          <cell r="H268">
            <v>0</v>
          </cell>
          <cell r="I268">
            <v>0</v>
          </cell>
          <cell r="J268" t="str">
            <v>F</v>
          </cell>
          <cell r="K268">
            <v>0</v>
          </cell>
          <cell r="L268">
            <v>0</v>
          </cell>
        </row>
        <row r="269">
          <cell r="A269">
            <v>96231090298</v>
          </cell>
          <cell r="B269">
            <v>45043</v>
          </cell>
          <cell r="C269" t="str">
            <v>Regular</v>
          </cell>
          <cell r="D269" t="str">
            <v>HAO 718</v>
          </cell>
          <cell r="F269" t="str">
            <v>F</v>
          </cell>
          <cell r="G269">
            <v>0</v>
          </cell>
          <cell r="H269">
            <v>0</v>
          </cell>
          <cell r="I269">
            <v>0</v>
          </cell>
          <cell r="J269" t="str">
            <v>F</v>
          </cell>
          <cell r="K269">
            <v>0</v>
          </cell>
          <cell r="L269">
            <v>0</v>
          </cell>
        </row>
        <row r="270">
          <cell r="A270">
            <v>96231170084</v>
          </cell>
          <cell r="B270">
            <v>45043</v>
          </cell>
          <cell r="C270" t="str">
            <v>Regular</v>
          </cell>
          <cell r="D270" t="str">
            <v>HAO 718</v>
          </cell>
          <cell r="F270" t="str">
            <v>F</v>
          </cell>
          <cell r="G270">
            <v>0</v>
          </cell>
          <cell r="H270">
            <v>0</v>
          </cell>
          <cell r="I270">
            <v>0</v>
          </cell>
          <cell r="K270">
            <v>0</v>
          </cell>
          <cell r="L270">
            <v>0</v>
          </cell>
        </row>
        <row r="271">
          <cell r="A271">
            <v>96231180035</v>
          </cell>
          <cell r="B271">
            <v>45044</v>
          </cell>
          <cell r="C271" t="str">
            <v>PRIORITY</v>
          </cell>
          <cell r="D271" t="str">
            <v>GIB 718</v>
          </cell>
          <cell r="F271" t="str">
            <v>P F Y</v>
          </cell>
          <cell r="I271">
            <v>0</v>
          </cell>
          <cell r="K271">
            <v>0</v>
          </cell>
          <cell r="L271">
            <v>0</v>
          </cell>
        </row>
        <row r="272">
          <cell r="A272">
            <v>96231000116</v>
          </cell>
          <cell r="B272">
            <v>45044</v>
          </cell>
          <cell r="C272" t="str">
            <v>Regular</v>
          </cell>
          <cell r="D272" t="str">
            <v>GIB 718</v>
          </cell>
          <cell r="F272" t="str">
            <v>P F L</v>
          </cell>
          <cell r="G272" t="str">
            <v>P</v>
          </cell>
          <cell r="H272">
            <v>0</v>
          </cell>
          <cell r="I272">
            <v>0</v>
          </cell>
          <cell r="L272">
            <v>0</v>
          </cell>
        </row>
        <row r="273">
          <cell r="A273">
            <v>96231000120</v>
          </cell>
          <cell r="B273">
            <v>45044</v>
          </cell>
          <cell r="C273" t="str">
            <v>Regular</v>
          </cell>
          <cell r="D273" t="str">
            <v>GIB 718</v>
          </cell>
          <cell r="F273" t="str">
            <v>P F L</v>
          </cell>
          <cell r="G273" t="str">
            <v>P</v>
          </cell>
          <cell r="H273">
            <v>0</v>
          </cell>
          <cell r="I273">
            <v>0</v>
          </cell>
          <cell r="L273">
            <v>0</v>
          </cell>
        </row>
        <row r="274">
          <cell r="A274">
            <v>96231080720</v>
          </cell>
          <cell r="B274">
            <v>45049</v>
          </cell>
          <cell r="C274" t="str">
            <v>Regular</v>
          </cell>
          <cell r="D274" t="str">
            <v>LUK 138</v>
          </cell>
          <cell r="F274" t="str">
            <v>P L M F</v>
          </cell>
          <cell r="G274" t="str">
            <v>P</v>
          </cell>
          <cell r="H274">
            <v>0</v>
          </cell>
          <cell r="I274">
            <v>0</v>
          </cell>
        </row>
        <row r="275">
          <cell r="A275">
            <v>96231170510</v>
          </cell>
          <cell r="B275">
            <v>45049</v>
          </cell>
          <cell r="C275" t="str">
            <v>RUSH</v>
          </cell>
          <cell r="D275" t="str">
            <v>JUN 151</v>
          </cell>
          <cell r="F275" t="str">
            <v>P F Y</v>
          </cell>
          <cell r="I275">
            <v>0</v>
          </cell>
          <cell r="K275">
            <v>0</v>
          </cell>
          <cell r="L275">
            <v>0</v>
          </cell>
        </row>
        <row r="276">
          <cell r="A276">
            <v>96231070471</v>
          </cell>
          <cell r="B276">
            <v>45049</v>
          </cell>
          <cell r="C276" t="str">
            <v>Regular</v>
          </cell>
          <cell r="D276" t="str">
            <v>FANTOM(719)</v>
          </cell>
          <cell r="E276" t="str">
            <v>test phòng P trc sau light 2000h: TAT 84 WKDS</v>
          </cell>
          <cell r="F276" t="str">
            <v>P,F</v>
          </cell>
          <cell r="G276" t="str">
            <v>P</v>
          </cell>
          <cell r="H276">
            <v>0</v>
          </cell>
          <cell r="I276">
            <v>0</v>
          </cell>
          <cell r="J276" t="str">
            <v>F</v>
          </cell>
          <cell r="K276">
            <v>0</v>
          </cell>
          <cell r="L276">
            <v>0</v>
          </cell>
        </row>
        <row r="277">
          <cell r="A277">
            <v>96231180063</v>
          </cell>
          <cell r="B277">
            <v>45049</v>
          </cell>
          <cell r="C277" t="str">
            <v>RUSH</v>
          </cell>
          <cell r="D277" t="str">
            <v>JUN 151</v>
          </cell>
          <cell r="F277" t="str">
            <v>L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L277">
            <v>0</v>
          </cell>
        </row>
        <row r="278">
          <cell r="A278">
            <v>96231170502</v>
          </cell>
          <cell r="B278">
            <v>45049</v>
          </cell>
          <cell r="C278" t="str">
            <v>RUSH</v>
          </cell>
          <cell r="D278" t="str">
            <v>HUYEN 151</v>
          </cell>
          <cell r="F278" t="str">
            <v>P F</v>
          </cell>
          <cell r="G278" t="str">
            <v>P</v>
          </cell>
          <cell r="H278">
            <v>0</v>
          </cell>
          <cell r="I278">
            <v>0</v>
          </cell>
          <cell r="K278">
            <v>0</v>
          </cell>
          <cell r="L278">
            <v>0</v>
          </cell>
        </row>
        <row r="279">
          <cell r="A279">
            <v>96231170491</v>
          </cell>
          <cell r="B279">
            <v>45049</v>
          </cell>
          <cell r="C279" t="str">
            <v>Regular</v>
          </cell>
          <cell r="D279" t="str">
            <v>HUYEN 151</v>
          </cell>
          <cell r="F279" t="str">
            <v xml:space="preserve">L F  </v>
          </cell>
          <cell r="G279">
            <v>0</v>
          </cell>
          <cell r="H279">
            <v>0</v>
          </cell>
          <cell r="I279">
            <v>0</v>
          </cell>
          <cell r="L279">
            <v>0</v>
          </cell>
        </row>
        <row r="280">
          <cell r="A280">
            <v>96231230114</v>
          </cell>
          <cell r="B280">
            <v>45049</v>
          </cell>
          <cell r="C280" t="str">
            <v>Regular</v>
          </cell>
          <cell r="D280" t="str">
            <v>JUN 151</v>
          </cell>
          <cell r="F280" t="str">
            <v>F</v>
          </cell>
          <cell r="G280">
            <v>0</v>
          </cell>
          <cell r="H280">
            <v>0</v>
          </cell>
          <cell r="I280">
            <v>0</v>
          </cell>
          <cell r="K280">
            <v>0</v>
          </cell>
          <cell r="L280">
            <v>0</v>
          </cell>
        </row>
        <row r="281">
          <cell r="A281">
            <v>96231120112</v>
          </cell>
          <cell r="B281">
            <v>45044</v>
          </cell>
          <cell r="C281" t="str">
            <v>Regular</v>
          </cell>
          <cell r="D281" t="str">
            <v>VYN 731</v>
          </cell>
          <cell r="E281" t="str">
            <v>DISNEY</v>
          </cell>
          <cell r="F281" t="str">
            <v>L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L281">
            <v>0</v>
          </cell>
        </row>
        <row r="282">
          <cell r="A282">
            <v>96231020580</v>
          </cell>
          <cell r="B282">
            <v>45050</v>
          </cell>
          <cell r="C282" t="str">
            <v>Regular</v>
          </cell>
          <cell r="D282" t="str">
            <v>HOANG 738</v>
          </cell>
          <cell r="F282" t="str">
            <v>M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>
            <v>96230970622</v>
          </cell>
          <cell r="B283">
            <v>45050</v>
          </cell>
          <cell r="C283" t="str">
            <v>Regular</v>
          </cell>
          <cell r="D283" t="str">
            <v>LUK 138</v>
          </cell>
          <cell r="F283" t="str">
            <v>P</v>
          </cell>
          <cell r="H283">
            <v>0</v>
          </cell>
          <cell r="I283">
            <v>0</v>
          </cell>
          <cell r="K283">
            <v>0</v>
          </cell>
          <cell r="L283">
            <v>0</v>
          </cell>
        </row>
        <row r="284">
          <cell r="A284" t="str">
            <v>96231120112(2)</v>
          </cell>
          <cell r="B284">
            <v>45050</v>
          </cell>
          <cell r="C284" t="str">
            <v>Regular</v>
          </cell>
          <cell r="D284" t="str">
            <v>VYN 731</v>
          </cell>
          <cell r="E284" t="str">
            <v>DISNEY</v>
          </cell>
          <cell r="F284" t="str">
            <v>L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L284">
            <v>0</v>
          </cell>
        </row>
        <row r="285">
          <cell r="A285" t="str">
            <v>96231120229(2)</v>
          </cell>
          <cell r="B285">
            <v>45050</v>
          </cell>
          <cell r="C285" t="str">
            <v>Regular</v>
          </cell>
          <cell r="D285" t="str">
            <v>VYN 731</v>
          </cell>
          <cell r="E285" t="str">
            <v>DISNEY</v>
          </cell>
          <cell r="F285" t="str">
            <v>F P</v>
          </cell>
          <cell r="G285" t="str">
            <v>P</v>
          </cell>
          <cell r="H285">
            <v>0</v>
          </cell>
          <cell r="I285">
            <v>0</v>
          </cell>
          <cell r="K285">
            <v>0</v>
          </cell>
          <cell r="L285">
            <v>0</v>
          </cell>
        </row>
        <row r="286">
          <cell r="A286">
            <v>96231230338</v>
          </cell>
          <cell r="B286">
            <v>45050</v>
          </cell>
          <cell r="C286" t="str">
            <v>RUSH</v>
          </cell>
          <cell r="D286" t="str">
            <v>JUN 151</v>
          </cell>
          <cell r="F286" t="str">
            <v>F</v>
          </cell>
          <cell r="G286">
            <v>0</v>
          </cell>
          <cell r="H286">
            <v>0</v>
          </cell>
          <cell r="I286">
            <v>0</v>
          </cell>
          <cell r="K286">
            <v>0</v>
          </cell>
          <cell r="L286">
            <v>0</v>
          </cell>
        </row>
        <row r="287">
          <cell r="A287">
            <v>96231230339</v>
          </cell>
          <cell r="B287">
            <v>45050</v>
          </cell>
          <cell r="C287" t="str">
            <v>RUSH</v>
          </cell>
          <cell r="D287" t="str">
            <v>JUN 151</v>
          </cell>
          <cell r="F287" t="str">
            <v>F</v>
          </cell>
          <cell r="G287">
            <v>0</v>
          </cell>
          <cell r="H287">
            <v>0</v>
          </cell>
          <cell r="I287">
            <v>0</v>
          </cell>
          <cell r="K287">
            <v>0</v>
          </cell>
          <cell r="L287">
            <v>0</v>
          </cell>
        </row>
        <row r="288">
          <cell r="A288">
            <v>96231240095</v>
          </cell>
          <cell r="B288">
            <v>45050</v>
          </cell>
          <cell r="C288" t="str">
            <v>Regular</v>
          </cell>
          <cell r="D288" t="str">
            <v>MARIS 619</v>
          </cell>
          <cell r="E288" t="str">
            <v>DISNEY</v>
          </cell>
          <cell r="F288" t="str">
            <v>F W</v>
          </cell>
          <cell r="G288">
            <v>0</v>
          </cell>
          <cell r="H288">
            <v>0</v>
          </cell>
          <cell r="K288">
            <v>0</v>
          </cell>
          <cell r="L288">
            <v>0</v>
          </cell>
        </row>
        <row r="289">
          <cell r="A289">
            <v>96231240045</v>
          </cell>
          <cell r="B289">
            <v>45050</v>
          </cell>
          <cell r="C289" t="str">
            <v>Regular</v>
          </cell>
          <cell r="D289" t="str">
            <v>MARIS 619</v>
          </cell>
          <cell r="E289" t="str">
            <v>DISNEY</v>
          </cell>
          <cell r="F289" t="str">
            <v>F W</v>
          </cell>
          <cell r="G289">
            <v>0</v>
          </cell>
          <cell r="H289">
            <v>0</v>
          </cell>
          <cell r="K289">
            <v>0</v>
          </cell>
          <cell r="L289">
            <v>0</v>
          </cell>
        </row>
        <row r="290">
          <cell r="A290">
            <v>96231240106</v>
          </cell>
          <cell r="B290">
            <v>45050</v>
          </cell>
          <cell r="C290" t="str">
            <v>Regular</v>
          </cell>
          <cell r="D290" t="str">
            <v>VYN 731</v>
          </cell>
          <cell r="E290" t="str">
            <v>disney</v>
          </cell>
          <cell r="F290" t="str">
            <v>F W</v>
          </cell>
          <cell r="G290">
            <v>0</v>
          </cell>
          <cell r="H290">
            <v>0</v>
          </cell>
          <cell r="K290">
            <v>0</v>
          </cell>
          <cell r="L290">
            <v>0</v>
          </cell>
        </row>
        <row r="291">
          <cell r="A291">
            <v>96231240115</v>
          </cell>
          <cell r="B291">
            <v>45050</v>
          </cell>
          <cell r="C291" t="str">
            <v>Regular</v>
          </cell>
          <cell r="D291" t="str">
            <v>VYN 731</v>
          </cell>
          <cell r="E291" t="str">
            <v>disney</v>
          </cell>
          <cell r="F291" t="str">
            <v>F W</v>
          </cell>
          <cell r="G291">
            <v>0</v>
          </cell>
          <cell r="H291">
            <v>0</v>
          </cell>
          <cell r="K291">
            <v>0</v>
          </cell>
          <cell r="L291">
            <v>0</v>
          </cell>
        </row>
        <row r="292">
          <cell r="A292">
            <v>96231140365</v>
          </cell>
          <cell r="B292">
            <v>45050</v>
          </cell>
          <cell r="C292" t="str">
            <v>Regular</v>
          </cell>
          <cell r="D292" t="str">
            <v>VYN 731</v>
          </cell>
          <cell r="F292" t="str">
            <v>F P</v>
          </cell>
          <cell r="G292" t="str">
            <v>P</v>
          </cell>
          <cell r="H292">
            <v>0</v>
          </cell>
          <cell r="I292">
            <v>0</v>
          </cell>
          <cell r="J292" t="str">
            <v>F</v>
          </cell>
          <cell r="K292">
            <v>0</v>
          </cell>
          <cell r="L292">
            <v>0</v>
          </cell>
        </row>
        <row r="293">
          <cell r="A293">
            <v>96231140329</v>
          </cell>
          <cell r="B293">
            <v>45050</v>
          </cell>
          <cell r="C293" t="str">
            <v>Regular</v>
          </cell>
          <cell r="D293" t="str">
            <v>JH 698</v>
          </cell>
          <cell r="F293" t="str">
            <v>F,P</v>
          </cell>
          <cell r="G293" t="str">
            <v>P</v>
          </cell>
          <cell r="H293">
            <v>0</v>
          </cell>
          <cell r="I293">
            <v>0</v>
          </cell>
          <cell r="J293" t="str">
            <v>F</v>
          </cell>
          <cell r="K293">
            <v>0</v>
          </cell>
          <cell r="L293">
            <v>0</v>
          </cell>
        </row>
        <row r="294">
          <cell r="A294">
            <v>96231140356</v>
          </cell>
          <cell r="B294">
            <v>45050</v>
          </cell>
          <cell r="C294" t="str">
            <v>Regular</v>
          </cell>
          <cell r="D294" t="str">
            <v>JH 698</v>
          </cell>
          <cell r="F294" t="str">
            <v>F,P</v>
          </cell>
          <cell r="G294" t="str">
            <v>P</v>
          </cell>
          <cell r="H294">
            <v>0</v>
          </cell>
          <cell r="I294">
            <v>0</v>
          </cell>
          <cell r="J294" t="str">
            <v>F</v>
          </cell>
          <cell r="K294">
            <v>0</v>
          </cell>
          <cell r="L294">
            <v>0</v>
          </cell>
        </row>
        <row r="295">
          <cell r="A295">
            <v>96231170500</v>
          </cell>
          <cell r="B295">
            <v>45050</v>
          </cell>
          <cell r="C295" t="str">
            <v>RUSH</v>
          </cell>
          <cell r="D295" t="str">
            <v>HUYEN 151</v>
          </cell>
          <cell r="F295" t="str">
            <v>P</v>
          </cell>
          <cell r="G295" t="str">
            <v>P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A296">
            <v>96231170501</v>
          </cell>
          <cell r="B296">
            <v>45050</v>
          </cell>
          <cell r="C296" t="str">
            <v>RUSH</v>
          </cell>
          <cell r="D296" t="str">
            <v>HUYEN 151</v>
          </cell>
          <cell r="F296" t="str">
            <v>P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A297">
            <v>96231240100</v>
          </cell>
          <cell r="B297">
            <v>45050</v>
          </cell>
          <cell r="C297" t="str">
            <v>Regular</v>
          </cell>
          <cell r="D297" t="str">
            <v>NGOC 697</v>
          </cell>
          <cell r="E297" t="str">
            <v>DISNEY</v>
          </cell>
          <cell r="F297" t="str">
            <v>FW</v>
          </cell>
          <cell r="G297">
            <v>0</v>
          </cell>
          <cell r="H297">
            <v>0</v>
          </cell>
          <cell r="K297">
            <v>0</v>
          </cell>
          <cell r="L297">
            <v>0</v>
          </cell>
        </row>
        <row r="298">
          <cell r="A298">
            <v>96231240265</v>
          </cell>
          <cell r="B298">
            <v>45050</v>
          </cell>
          <cell r="C298" t="str">
            <v>Regular</v>
          </cell>
          <cell r="D298" t="str">
            <v>MARIS 619</v>
          </cell>
          <cell r="E298" t="str">
            <v>DISNEY</v>
          </cell>
          <cell r="F298" t="str">
            <v>F</v>
          </cell>
          <cell r="G298">
            <v>0</v>
          </cell>
          <cell r="H298">
            <v>0</v>
          </cell>
          <cell r="I298">
            <v>0</v>
          </cell>
          <cell r="K298">
            <v>0</v>
          </cell>
          <cell r="L298">
            <v>0</v>
          </cell>
        </row>
        <row r="299">
          <cell r="A299">
            <v>96231240262</v>
          </cell>
          <cell r="B299">
            <v>45050</v>
          </cell>
          <cell r="C299" t="str">
            <v>Regular</v>
          </cell>
          <cell r="D299" t="str">
            <v>VYN 731</v>
          </cell>
          <cell r="E299" t="str">
            <v>disney 15:15 PM</v>
          </cell>
          <cell r="F299" t="str">
            <v>F</v>
          </cell>
          <cell r="G299">
            <v>0</v>
          </cell>
          <cell r="H299">
            <v>0</v>
          </cell>
          <cell r="I299">
            <v>0</v>
          </cell>
          <cell r="K299">
            <v>0</v>
          </cell>
          <cell r="L299">
            <v>0</v>
          </cell>
        </row>
        <row r="300">
          <cell r="A300">
            <v>96231230100</v>
          </cell>
          <cell r="B300">
            <v>45050</v>
          </cell>
          <cell r="C300" t="str">
            <v>Regular</v>
          </cell>
          <cell r="D300" t="str">
            <v>Vu 138</v>
          </cell>
          <cell r="F300" t="str">
            <v>P F</v>
          </cell>
          <cell r="G300" t="str">
            <v>P</v>
          </cell>
          <cell r="H300">
            <v>0</v>
          </cell>
          <cell r="I300">
            <v>0</v>
          </cell>
          <cell r="K300">
            <v>0</v>
          </cell>
          <cell r="L300">
            <v>0</v>
          </cell>
        </row>
        <row r="301">
          <cell r="A301">
            <v>96231240222</v>
          </cell>
          <cell r="B301">
            <v>45050</v>
          </cell>
          <cell r="C301" t="str">
            <v>Regular</v>
          </cell>
          <cell r="D301" t="str">
            <v>NGOC 697</v>
          </cell>
          <cell r="E301" t="str">
            <v>DISNEY</v>
          </cell>
          <cell r="F301" t="str">
            <v>FW</v>
          </cell>
          <cell r="G301">
            <v>0</v>
          </cell>
          <cell r="H301">
            <v>0</v>
          </cell>
          <cell r="K301">
            <v>0</v>
          </cell>
          <cell r="L301">
            <v>0</v>
          </cell>
        </row>
        <row r="302">
          <cell r="A302">
            <v>96231240232</v>
          </cell>
          <cell r="B302">
            <v>45050</v>
          </cell>
          <cell r="C302" t="str">
            <v>Regular</v>
          </cell>
          <cell r="D302" t="str">
            <v>NGOC 697</v>
          </cell>
          <cell r="E302" t="str">
            <v>DISNEY</v>
          </cell>
          <cell r="F302" t="str">
            <v>L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L302">
            <v>0</v>
          </cell>
        </row>
        <row r="303">
          <cell r="A303">
            <v>96231230324</v>
          </cell>
          <cell r="B303">
            <v>45050</v>
          </cell>
          <cell r="C303" t="str">
            <v>RUSH</v>
          </cell>
          <cell r="D303" t="str">
            <v>HUYEN 151</v>
          </cell>
          <cell r="F303" t="str">
            <v>F</v>
          </cell>
          <cell r="G303">
            <v>0</v>
          </cell>
          <cell r="H303">
            <v>0</v>
          </cell>
          <cell r="I303">
            <v>0</v>
          </cell>
          <cell r="K303">
            <v>0</v>
          </cell>
          <cell r="L303">
            <v>0</v>
          </cell>
        </row>
        <row r="304">
          <cell r="A304" t="str">
            <v>96231090588(2)</v>
          </cell>
          <cell r="B304">
            <v>45050</v>
          </cell>
          <cell r="C304" t="str">
            <v>Regular</v>
          </cell>
          <cell r="D304" t="str">
            <v>GIB 718</v>
          </cell>
          <cell r="F304" t="str">
            <v>F</v>
          </cell>
          <cell r="G304">
            <v>0</v>
          </cell>
          <cell r="H304">
            <v>0</v>
          </cell>
          <cell r="I304">
            <v>0</v>
          </cell>
          <cell r="K304">
            <v>0</v>
          </cell>
          <cell r="L304">
            <v>0</v>
          </cell>
        </row>
        <row r="305">
          <cell r="A305" t="str">
            <v>96231090587(2)</v>
          </cell>
          <cell r="B305">
            <v>45050</v>
          </cell>
          <cell r="C305" t="str">
            <v>Regular</v>
          </cell>
          <cell r="D305" t="str">
            <v>GIB 718</v>
          </cell>
          <cell r="F305" t="str">
            <v>F</v>
          </cell>
          <cell r="G305">
            <v>0</v>
          </cell>
          <cell r="H305">
            <v>0</v>
          </cell>
          <cell r="I305">
            <v>0</v>
          </cell>
          <cell r="K305">
            <v>0</v>
          </cell>
          <cell r="L305">
            <v>0</v>
          </cell>
        </row>
        <row r="306">
          <cell r="A306">
            <v>96231240438</v>
          </cell>
          <cell r="B306">
            <v>45050</v>
          </cell>
          <cell r="C306" t="str">
            <v>Regular</v>
          </cell>
          <cell r="D306" t="str">
            <v>Maris 619</v>
          </cell>
          <cell r="E306" t="str">
            <v>DISNEY</v>
          </cell>
          <cell r="F306" t="str">
            <v>F</v>
          </cell>
          <cell r="G306">
            <v>0</v>
          </cell>
          <cell r="H306">
            <v>0</v>
          </cell>
          <cell r="I306">
            <v>0</v>
          </cell>
          <cell r="K306">
            <v>0</v>
          </cell>
          <cell r="L306">
            <v>0</v>
          </cell>
        </row>
        <row r="307">
          <cell r="A307">
            <v>96231100193</v>
          </cell>
          <cell r="B307">
            <v>45051</v>
          </cell>
          <cell r="C307" t="str">
            <v>Regular</v>
          </cell>
          <cell r="D307" t="str">
            <v>CEP-138</v>
          </cell>
          <cell r="F307" t="str">
            <v>F</v>
          </cell>
          <cell r="G307">
            <v>0</v>
          </cell>
          <cell r="H307">
            <v>0</v>
          </cell>
          <cell r="I307">
            <v>0</v>
          </cell>
          <cell r="K307">
            <v>0</v>
          </cell>
          <cell r="L307">
            <v>0</v>
          </cell>
        </row>
        <row r="308">
          <cell r="A308">
            <v>96231050473</v>
          </cell>
          <cell r="B308">
            <v>45051</v>
          </cell>
          <cell r="C308" t="str">
            <v>Regular</v>
          </cell>
          <cell r="D308" t="str">
            <v>HAO 718</v>
          </cell>
          <cell r="F308" t="str">
            <v>F P</v>
          </cell>
          <cell r="G308" t="str">
            <v>P</v>
          </cell>
          <cell r="H308">
            <v>0</v>
          </cell>
          <cell r="I308">
            <v>0</v>
          </cell>
          <cell r="J308" t="str">
            <v>F</v>
          </cell>
          <cell r="K308">
            <v>0</v>
          </cell>
          <cell r="L308">
            <v>0</v>
          </cell>
        </row>
        <row r="309">
          <cell r="A309" t="str">
            <v>96231100483(2)</v>
          </cell>
          <cell r="B309">
            <v>45051</v>
          </cell>
          <cell r="C309" t="str">
            <v>Regular</v>
          </cell>
          <cell r="D309" t="str">
            <v>FANTOM(719)</v>
          </cell>
          <cell r="F309" t="str">
            <v>F</v>
          </cell>
          <cell r="G309">
            <v>0</v>
          </cell>
          <cell r="H309">
            <v>0</v>
          </cell>
          <cell r="I309">
            <v>0</v>
          </cell>
          <cell r="K309">
            <v>0</v>
          </cell>
          <cell r="L309">
            <v>0</v>
          </cell>
        </row>
        <row r="310">
          <cell r="A310">
            <v>96231240459</v>
          </cell>
          <cell r="B310">
            <v>45051</v>
          </cell>
          <cell r="C310" t="str">
            <v>Regular</v>
          </cell>
          <cell r="D310" t="str">
            <v>NGOC 697</v>
          </cell>
          <cell r="E310" t="str">
            <v>DISNEY</v>
          </cell>
          <cell r="F310" t="str">
            <v>FW</v>
          </cell>
          <cell r="G310">
            <v>0</v>
          </cell>
          <cell r="H310">
            <v>0</v>
          </cell>
          <cell r="I310" t="str">
            <v>W</v>
          </cell>
          <cell r="K310">
            <v>0</v>
          </cell>
          <cell r="L310">
            <v>0</v>
          </cell>
        </row>
        <row r="311">
          <cell r="A311">
            <v>96231150694</v>
          </cell>
          <cell r="B311">
            <v>45051</v>
          </cell>
          <cell r="C311" t="str">
            <v>Regular</v>
          </cell>
          <cell r="D311" t="str">
            <v>LUK 138</v>
          </cell>
          <cell r="F311" t="str">
            <v>L P</v>
          </cell>
          <cell r="H311">
            <v>0</v>
          </cell>
          <cell r="I311">
            <v>0</v>
          </cell>
          <cell r="J311">
            <v>0</v>
          </cell>
          <cell r="L311">
            <v>0</v>
          </cell>
        </row>
        <row r="312">
          <cell r="A312">
            <v>96231180547</v>
          </cell>
          <cell r="B312">
            <v>45051</v>
          </cell>
          <cell r="C312" t="str">
            <v>RUSH</v>
          </cell>
          <cell r="D312" t="str">
            <v>JUN 151</v>
          </cell>
          <cell r="F312" t="str">
            <v>L P</v>
          </cell>
          <cell r="H312">
            <v>0</v>
          </cell>
          <cell r="I312">
            <v>0</v>
          </cell>
          <cell r="J312">
            <v>0</v>
          </cell>
          <cell r="L312">
            <v>0</v>
          </cell>
        </row>
        <row r="313">
          <cell r="A313">
            <v>96231250016</v>
          </cell>
          <cell r="B313">
            <v>45051</v>
          </cell>
          <cell r="C313" t="str">
            <v>Regular</v>
          </cell>
          <cell r="D313" t="str">
            <v>VYN 731</v>
          </cell>
          <cell r="E313" t="str">
            <v>DISNEY, 10:50</v>
          </cell>
          <cell r="F313" t="str">
            <v>FW</v>
          </cell>
          <cell r="G313">
            <v>0</v>
          </cell>
          <cell r="H313">
            <v>0</v>
          </cell>
          <cell r="I313" t="str">
            <v>W</v>
          </cell>
          <cell r="J313" t="str">
            <v>F</v>
          </cell>
          <cell r="K313">
            <v>0</v>
          </cell>
          <cell r="L313">
            <v>0</v>
          </cell>
        </row>
        <row r="314">
          <cell r="A314">
            <v>96231120388</v>
          </cell>
          <cell r="B314">
            <v>45043</v>
          </cell>
          <cell r="C314" t="str">
            <v>Regular</v>
          </cell>
          <cell r="D314" t="str">
            <v>FANTOM(719)</v>
          </cell>
          <cell r="F314" t="str">
            <v>FY</v>
          </cell>
          <cell r="G314">
            <v>0</v>
          </cell>
          <cell r="I314">
            <v>0</v>
          </cell>
          <cell r="K314">
            <v>0</v>
          </cell>
          <cell r="L314">
            <v>0</v>
          </cell>
        </row>
        <row r="315">
          <cell r="A315">
            <v>96231120393</v>
          </cell>
          <cell r="B315">
            <v>45043</v>
          </cell>
          <cell r="C315" t="str">
            <v>Regular</v>
          </cell>
          <cell r="D315" t="str">
            <v>FANTOM(719)</v>
          </cell>
          <cell r="F315" t="str">
            <v>FY</v>
          </cell>
          <cell r="G315">
            <v>0</v>
          </cell>
          <cell r="I315">
            <v>0</v>
          </cell>
          <cell r="K315">
            <v>0</v>
          </cell>
          <cell r="L315">
            <v>0</v>
          </cell>
        </row>
        <row r="316">
          <cell r="A316">
            <v>96231180184</v>
          </cell>
          <cell r="B316">
            <v>45051</v>
          </cell>
          <cell r="C316" t="str">
            <v>Regular</v>
          </cell>
          <cell r="D316" t="str">
            <v>VYN 731</v>
          </cell>
          <cell r="E316" t="str">
            <v>DISNEY</v>
          </cell>
          <cell r="F316" t="str">
            <v>F L</v>
          </cell>
          <cell r="G316">
            <v>0</v>
          </cell>
          <cell r="H316">
            <v>0</v>
          </cell>
          <cell r="I316">
            <v>0</v>
          </cell>
          <cell r="K316" t="str">
            <v>L</v>
          </cell>
          <cell r="L316">
            <v>0</v>
          </cell>
        </row>
        <row r="317">
          <cell r="A317">
            <v>96231230372</v>
          </cell>
          <cell r="B317">
            <v>45051</v>
          </cell>
          <cell r="C317" t="str">
            <v>Regular</v>
          </cell>
          <cell r="D317" t="str">
            <v>VINCENT (698)</v>
          </cell>
          <cell r="F317" t="str">
            <v>Y</v>
          </cell>
          <cell r="G317">
            <v>0</v>
          </cell>
          <cell r="H317" t="str">
            <v>Y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A318">
            <v>96231170395</v>
          </cell>
          <cell r="B318">
            <v>45052</v>
          </cell>
          <cell r="C318" t="str">
            <v>Regular</v>
          </cell>
          <cell r="D318" t="str">
            <v>NGOC 697</v>
          </cell>
          <cell r="E318" t="str">
            <v>DISNEY</v>
          </cell>
          <cell r="F318" t="str">
            <v>F</v>
          </cell>
          <cell r="G318">
            <v>0</v>
          </cell>
          <cell r="H318">
            <v>0</v>
          </cell>
          <cell r="I318">
            <v>0</v>
          </cell>
          <cell r="J318" t="str">
            <v>F</v>
          </cell>
          <cell r="K318">
            <v>0</v>
          </cell>
          <cell r="L318">
            <v>0</v>
          </cell>
        </row>
        <row r="319">
          <cell r="A319">
            <v>96231230027</v>
          </cell>
          <cell r="B319">
            <v>45052</v>
          </cell>
          <cell r="C319" t="str">
            <v>Regular</v>
          </cell>
          <cell r="D319" t="str">
            <v>Vu 138</v>
          </cell>
          <cell r="F319" t="str">
            <v>P F</v>
          </cell>
          <cell r="G319" t="str">
            <v>P</v>
          </cell>
          <cell r="H319">
            <v>0</v>
          </cell>
          <cell r="I319">
            <v>0</v>
          </cell>
          <cell r="J319" t="str">
            <v>F</v>
          </cell>
          <cell r="K319">
            <v>0</v>
          </cell>
          <cell r="L319">
            <v>0</v>
          </cell>
        </row>
        <row r="320">
          <cell r="A320">
            <v>96231250258</v>
          </cell>
          <cell r="B320">
            <v>45052</v>
          </cell>
          <cell r="C320" t="str">
            <v>Regular</v>
          </cell>
          <cell r="D320" t="str">
            <v>Hardy 138</v>
          </cell>
          <cell r="E320" t="str">
            <v>COSTCO VENDOR 
PUSH REPORT 5/12</v>
          </cell>
          <cell r="F320" t="str">
            <v>P F L</v>
          </cell>
          <cell r="G320" t="str">
            <v>P</v>
          </cell>
          <cell r="H320">
            <v>0</v>
          </cell>
          <cell r="I320">
            <v>0</v>
          </cell>
          <cell r="J320" t="str">
            <v>F</v>
          </cell>
          <cell r="K320" t="str">
            <v>L</v>
          </cell>
          <cell r="L320">
            <v>0</v>
          </cell>
        </row>
        <row r="321">
          <cell r="A321">
            <v>96231250372</v>
          </cell>
          <cell r="B321">
            <v>45052</v>
          </cell>
          <cell r="C321" t="str">
            <v>Regular</v>
          </cell>
          <cell r="D321" t="str">
            <v>VYN 731</v>
          </cell>
          <cell r="E321" t="str">
            <v>DISNEY</v>
          </cell>
          <cell r="F321" t="str">
            <v>F</v>
          </cell>
          <cell r="G321">
            <v>0</v>
          </cell>
          <cell r="H321">
            <v>0</v>
          </cell>
          <cell r="I321">
            <v>0</v>
          </cell>
          <cell r="J321" t="str">
            <v>F</v>
          </cell>
          <cell r="K321">
            <v>0</v>
          </cell>
          <cell r="L321">
            <v>0</v>
          </cell>
        </row>
        <row r="322">
          <cell r="A322">
            <v>96231250390</v>
          </cell>
          <cell r="B322">
            <v>45052</v>
          </cell>
          <cell r="C322" t="str">
            <v>Regular</v>
          </cell>
          <cell r="D322" t="str">
            <v>VYN 731</v>
          </cell>
          <cell r="E322" t="str">
            <v>DISNEY</v>
          </cell>
          <cell r="F322" t="str">
            <v>F</v>
          </cell>
          <cell r="G322">
            <v>0</v>
          </cell>
          <cell r="H322">
            <v>0</v>
          </cell>
          <cell r="I322">
            <v>0</v>
          </cell>
          <cell r="J322" t="str">
            <v>F</v>
          </cell>
          <cell r="K322">
            <v>0</v>
          </cell>
          <cell r="L322">
            <v>0</v>
          </cell>
        </row>
        <row r="323">
          <cell r="A323">
            <v>96231250129</v>
          </cell>
          <cell r="B323">
            <v>45052</v>
          </cell>
          <cell r="C323" t="str">
            <v>Regular</v>
          </cell>
          <cell r="D323" t="str">
            <v>MINH US2 - 718</v>
          </cell>
          <cell r="F323" t="str">
            <v>F</v>
          </cell>
          <cell r="G323">
            <v>0</v>
          </cell>
          <cell r="H323">
            <v>0</v>
          </cell>
          <cell r="I323">
            <v>0</v>
          </cell>
          <cell r="J323" t="str">
            <v>F</v>
          </cell>
          <cell r="K323">
            <v>0</v>
          </cell>
          <cell r="L323">
            <v>0</v>
          </cell>
        </row>
        <row r="324">
          <cell r="A324">
            <v>96231240363</v>
          </cell>
          <cell r="B324">
            <v>45052</v>
          </cell>
          <cell r="C324" t="str">
            <v>RUSH</v>
          </cell>
          <cell r="D324" t="str">
            <v>HUYEN 151</v>
          </cell>
          <cell r="F324" t="str">
            <v>L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L324">
            <v>0</v>
          </cell>
        </row>
        <row r="325">
          <cell r="A325" t="str">
            <v>96231170500(2)</v>
          </cell>
          <cell r="B325">
            <v>45052</v>
          </cell>
          <cell r="C325" t="str">
            <v>RUSH</v>
          </cell>
          <cell r="D325" t="str">
            <v>HUYEN 151</v>
          </cell>
          <cell r="F325" t="str">
            <v>L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L325">
            <v>0</v>
          </cell>
        </row>
        <row r="326">
          <cell r="A326">
            <v>96231230289</v>
          </cell>
          <cell r="B326">
            <v>45052</v>
          </cell>
          <cell r="C326" t="str">
            <v>RUSH</v>
          </cell>
          <cell r="D326" t="str">
            <v>HUYEN 151</v>
          </cell>
          <cell r="F326" t="str">
            <v>L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>L</v>
          </cell>
          <cell r="L326">
            <v>0</v>
          </cell>
        </row>
        <row r="327">
          <cell r="A327">
            <v>96231170499</v>
          </cell>
          <cell r="B327">
            <v>45052</v>
          </cell>
          <cell r="C327" t="str">
            <v>RUSH</v>
          </cell>
          <cell r="D327" t="str">
            <v>HUYEN 151</v>
          </cell>
          <cell r="F327" t="str">
            <v>L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L327">
            <v>0</v>
          </cell>
        </row>
        <row r="328">
          <cell r="A328" t="str">
            <v>96231170501(2)</v>
          </cell>
          <cell r="B328">
            <v>45052</v>
          </cell>
          <cell r="C328" t="str">
            <v>RUSH</v>
          </cell>
          <cell r="D328" t="str">
            <v>HUYEN 151</v>
          </cell>
          <cell r="F328" t="str">
            <v>L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L328">
            <v>0</v>
          </cell>
        </row>
        <row r="329">
          <cell r="A329">
            <v>96231240043</v>
          </cell>
          <cell r="B329">
            <v>45052</v>
          </cell>
          <cell r="C329" t="str">
            <v>Regular</v>
          </cell>
          <cell r="D329" t="str">
            <v>VINCENT (698)</v>
          </cell>
          <cell r="F329" t="str">
            <v>F</v>
          </cell>
          <cell r="G329">
            <v>0</v>
          </cell>
          <cell r="H329">
            <v>0</v>
          </cell>
          <cell r="I329">
            <v>0</v>
          </cell>
          <cell r="J329" t="str">
            <v>F</v>
          </cell>
          <cell r="K329">
            <v>0</v>
          </cell>
          <cell r="L329">
            <v>0</v>
          </cell>
        </row>
        <row r="330">
          <cell r="A330">
            <v>96231250492</v>
          </cell>
          <cell r="B330">
            <v>45052</v>
          </cell>
          <cell r="C330" t="str">
            <v>RUSH</v>
          </cell>
          <cell r="D330" t="str">
            <v>JUN 151</v>
          </cell>
          <cell r="F330" t="str">
            <v>M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 t="str">
            <v>M</v>
          </cell>
        </row>
        <row r="331">
          <cell r="A331">
            <v>96231250489</v>
          </cell>
          <cell r="B331">
            <v>45052</v>
          </cell>
          <cell r="C331" t="str">
            <v>RUSH</v>
          </cell>
          <cell r="D331" t="str">
            <v>JUN 151</v>
          </cell>
          <cell r="F331" t="str">
            <v>M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 t="str">
            <v>M</v>
          </cell>
        </row>
        <row r="332">
          <cell r="A332">
            <v>96231260009</v>
          </cell>
          <cell r="B332">
            <v>45052</v>
          </cell>
          <cell r="C332" t="str">
            <v>Regular</v>
          </cell>
          <cell r="D332" t="str">
            <v>VYN 731</v>
          </cell>
          <cell r="E332" t="str">
            <v>DISNEY</v>
          </cell>
          <cell r="F332" t="str">
            <v>L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>L</v>
          </cell>
          <cell r="L332">
            <v>0</v>
          </cell>
        </row>
        <row r="333">
          <cell r="A333">
            <v>96231230330</v>
          </cell>
          <cell r="B333">
            <v>45052</v>
          </cell>
          <cell r="C333" t="str">
            <v>Regular</v>
          </cell>
          <cell r="D333" t="str">
            <v>HUYEN 151</v>
          </cell>
          <cell r="F333" t="str">
            <v>F W</v>
          </cell>
          <cell r="G333">
            <v>0</v>
          </cell>
          <cell r="H333">
            <v>0</v>
          </cell>
          <cell r="J333" t="str">
            <v>F</v>
          </cell>
          <cell r="K333">
            <v>0</v>
          </cell>
          <cell r="L333">
            <v>0</v>
          </cell>
        </row>
        <row r="334">
          <cell r="A334">
            <v>96231230328</v>
          </cell>
          <cell r="B334">
            <v>45052</v>
          </cell>
          <cell r="C334" t="str">
            <v>Regular</v>
          </cell>
          <cell r="D334" t="str">
            <v>HUYEN 151</v>
          </cell>
          <cell r="F334" t="str">
            <v>F W</v>
          </cell>
          <cell r="G334">
            <v>0</v>
          </cell>
          <cell r="H334">
            <v>0</v>
          </cell>
          <cell r="J334" t="str">
            <v>F</v>
          </cell>
          <cell r="K334">
            <v>0</v>
          </cell>
          <cell r="L334">
            <v>0</v>
          </cell>
        </row>
        <row r="335">
          <cell r="A335">
            <v>96231260144</v>
          </cell>
          <cell r="B335">
            <v>45052</v>
          </cell>
          <cell r="C335" t="str">
            <v>Regular</v>
          </cell>
          <cell r="D335" t="str">
            <v>NGOC 697</v>
          </cell>
          <cell r="E335" t="str">
            <v>DISNEY</v>
          </cell>
          <cell r="F335" t="str">
            <v>F</v>
          </cell>
          <cell r="G335">
            <v>0</v>
          </cell>
          <cell r="H335">
            <v>0</v>
          </cell>
          <cell r="I335">
            <v>0</v>
          </cell>
          <cell r="J335" t="str">
            <v>F</v>
          </cell>
          <cell r="K335">
            <v>0</v>
          </cell>
          <cell r="L335">
            <v>0</v>
          </cell>
        </row>
        <row r="336">
          <cell r="A336">
            <v>96231260210</v>
          </cell>
          <cell r="B336">
            <v>45052</v>
          </cell>
          <cell r="C336" t="str">
            <v>Regular</v>
          </cell>
          <cell r="D336" t="str">
            <v>MARIS 619</v>
          </cell>
          <cell r="E336" t="str">
            <v>DISNEY</v>
          </cell>
          <cell r="F336" t="str">
            <v>F W</v>
          </cell>
          <cell r="G336">
            <v>0</v>
          </cell>
          <cell r="H336">
            <v>0</v>
          </cell>
          <cell r="I336" t="str">
            <v>W</v>
          </cell>
          <cell r="J336" t="str">
            <v>F</v>
          </cell>
          <cell r="K336">
            <v>0</v>
          </cell>
          <cell r="L336">
            <v>0</v>
          </cell>
        </row>
        <row r="337">
          <cell r="A337">
            <v>96231170317</v>
          </cell>
          <cell r="B337">
            <v>45052</v>
          </cell>
          <cell r="C337" t="str">
            <v>Regular</v>
          </cell>
          <cell r="D337" t="str">
            <v>HOANG 738</v>
          </cell>
          <cell r="F337" t="str">
            <v>F</v>
          </cell>
          <cell r="G337">
            <v>0</v>
          </cell>
          <cell r="H337">
            <v>0</v>
          </cell>
          <cell r="I337">
            <v>0</v>
          </cell>
          <cell r="J337" t="str">
            <v>F</v>
          </cell>
          <cell r="K337">
            <v>0</v>
          </cell>
          <cell r="L337">
            <v>0</v>
          </cell>
        </row>
        <row r="338">
          <cell r="A338">
            <v>96231240409</v>
          </cell>
          <cell r="B338">
            <v>45052</v>
          </cell>
          <cell r="C338" t="str">
            <v>Regular</v>
          </cell>
          <cell r="D338" t="str">
            <v>HOANG 738</v>
          </cell>
          <cell r="F338" t="str">
            <v>F</v>
          </cell>
          <cell r="G338">
            <v>0</v>
          </cell>
          <cell r="H338">
            <v>0</v>
          </cell>
          <cell r="I338">
            <v>0</v>
          </cell>
          <cell r="J338" t="str">
            <v>F</v>
          </cell>
          <cell r="K338">
            <v>0</v>
          </cell>
          <cell r="L338">
            <v>0</v>
          </cell>
        </row>
        <row r="339">
          <cell r="A339">
            <v>96231260535</v>
          </cell>
          <cell r="B339">
            <v>45054</v>
          </cell>
          <cell r="C339" t="str">
            <v>Regular</v>
          </cell>
          <cell r="D339" t="str">
            <v>VYN 731</v>
          </cell>
          <cell r="E339" t="str">
            <v>DISNEY</v>
          </cell>
          <cell r="F339" t="str">
            <v>F</v>
          </cell>
          <cell r="G339">
            <v>0</v>
          </cell>
          <cell r="H339">
            <v>0</v>
          </cell>
          <cell r="I339">
            <v>0</v>
          </cell>
          <cell r="J339" t="str">
            <v>F</v>
          </cell>
          <cell r="K339">
            <v>0</v>
          </cell>
          <cell r="L339">
            <v>0</v>
          </cell>
        </row>
        <row r="340">
          <cell r="A340">
            <v>96231260540</v>
          </cell>
          <cell r="B340">
            <v>45054</v>
          </cell>
          <cell r="C340" t="str">
            <v>Regular</v>
          </cell>
          <cell r="D340" t="str">
            <v>VYN 731</v>
          </cell>
          <cell r="E340" t="str">
            <v>DISNEY</v>
          </cell>
          <cell r="F340" t="str">
            <v>F</v>
          </cell>
          <cell r="G340">
            <v>0</v>
          </cell>
          <cell r="H340">
            <v>0</v>
          </cell>
          <cell r="I340">
            <v>0</v>
          </cell>
          <cell r="J340" t="str">
            <v>F</v>
          </cell>
          <cell r="K340">
            <v>0</v>
          </cell>
          <cell r="L340">
            <v>0</v>
          </cell>
        </row>
        <row r="341">
          <cell r="A341">
            <v>96231160340</v>
          </cell>
          <cell r="B341">
            <v>45054</v>
          </cell>
          <cell r="C341" t="str">
            <v>Regular</v>
          </cell>
          <cell r="D341" t="str">
            <v>Maris 619</v>
          </cell>
          <cell r="E341" t="str">
            <v>DISNEY</v>
          </cell>
          <cell r="F341" t="str">
            <v>F</v>
          </cell>
          <cell r="G341">
            <v>0</v>
          </cell>
          <cell r="H341">
            <v>0</v>
          </cell>
          <cell r="I341">
            <v>0</v>
          </cell>
          <cell r="J341" t="str">
            <v>F</v>
          </cell>
          <cell r="K341">
            <v>0</v>
          </cell>
          <cell r="L341">
            <v>0</v>
          </cell>
        </row>
        <row r="342">
          <cell r="A342">
            <v>96231280091</v>
          </cell>
          <cell r="B342">
            <v>45054</v>
          </cell>
          <cell r="C342" t="str">
            <v>PRIORITY</v>
          </cell>
          <cell r="D342" t="str">
            <v>VINCENT (698)</v>
          </cell>
          <cell r="F342" t="str">
            <v>L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L342">
            <v>0</v>
          </cell>
        </row>
        <row r="343">
          <cell r="A343">
            <v>96231260339</v>
          </cell>
          <cell r="B343">
            <v>45054</v>
          </cell>
          <cell r="C343" t="str">
            <v>Regular</v>
          </cell>
          <cell r="D343" t="str">
            <v>JUN 151</v>
          </cell>
          <cell r="F343" t="str">
            <v>F</v>
          </cell>
          <cell r="G343">
            <v>0</v>
          </cell>
          <cell r="H343">
            <v>0</v>
          </cell>
          <cell r="I343">
            <v>0</v>
          </cell>
          <cell r="J343" t="str">
            <v>F</v>
          </cell>
          <cell r="K343">
            <v>0</v>
          </cell>
          <cell r="L343">
            <v>0</v>
          </cell>
        </row>
        <row r="344">
          <cell r="A344">
            <v>96231260148</v>
          </cell>
          <cell r="B344">
            <v>45054</v>
          </cell>
          <cell r="C344" t="str">
            <v>RUSH</v>
          </cell>
          <cell r="D344" t="str">
            <v>CEP-138</v>
          </cell>
          <cell r="F344" t="str">
            <v>F, P</v>
          </cell>
          <cell r="G344" t="str">
            <v>P</v>
          </cell>
          <cell r="H344">
            <v>0</v>
          </cell>
          <cell r="I344">
            <v>0</v>
          </cell>
          <cell r="J344" t="str">
            <v>F</v>
          </cell>
          <cell r="K344">
            <v>0</v>
          </cell>
          <cell r="L344">
            <v>0</v>
          </cell>
        </row>
        <row r="345">
          <cell r="A345">
            <v>96231260541</v>
          </cell>
          <cell r="B345">
            <v>45054</v>
          </cell>
          <cell r="C345" t="str">
            <v>Regular</v>
          </cell>
          <cell r="D345" t="str">
            <v>VINCENT (698)</v>
          </cell>
          <cell r="F345" t="str">
            <v>P</v>
          </cell>
          <cell r="G345" t="str">
            <v>P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A346">
            <v>96231280022</v>
          </cell>
          <cell r="B346">
            <v>45054</v>
          </cell>
          <cell r="C346" t="str">
            <v>Regular</v>
          </cell>
          <cell r="D346" t="str">
            <v>NGOC 697</v>
          </cell>
          <cell r="E346" t="str">
            <v>DISNEY</v>
          </cell>
          <cell r="F346" t="str">
            <v>ML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>L</v>
          </cell>
          <cell r="L346" t="str">
            <v>M</v>
          </cell>
        </row>
        <row r="347">
          <cell r="A347">
            <v>96231280110</v>
          </cell>
          <cell r="B347">
            <v>45054</v>
          </cell>
          <cell r="C347" t="str">
            <v>Regular</v>
          </cell>
          <cell r="D347" t="str">
            <v>NGOC 697</v>
          </cell>
          <cell r="E347" t="str">
            <v>DISNEY</v>
          </cell>
          <cell r="F347" t="str">
            <v>FP</v>
          </cell>
          <cell r="G347" t="str">
            <v>P</v>
          </cell>
          <cell r="H347">
            <v>0</v>
          </cell>
          <cell r="I347">
            <v>0</v>
          </cell>
          <cell r="J347" t="str">
            <v>F</v>
          </cell>
          <cell r="K347">
            <v>0</v>
          </cell>
          <cell r="L347">
            <v>0</v>
          </cell>
        </row>
        <row r="348">
          <cell r="A348">
            <v>96231250257</v>
          </cell>
          <cell r="B348">
            <v>45054</v>
          </cell>
          <cell r="C348" t="str">
            <v>Regular</v>
          </cell>
          <cell r="D348" t="str">
            <v>HAO 718</v>
          </cell>
          <cell r="F348" t="str">
            <v>F P Y</v>
          </cell>
          <cell r="G348" t="str">
            <v>P</v>
          </cell>
          <cell r="H348" t="str">
            <v>Y</v>
          </cell>
          <cell r="I348">
            <v>0</v>
          </cell>
          <cell r="J348" t="str">
            <v>F</v>
          </cell>
          <cell r="K348">
            <v>0</v>
          </cell>
          <cell r="L348">
            <v>0</v>
          </cell>
        </row>
        <row r="349">
          <cell r="A349">
            <v>96231160218</v>
          </cell>
          <cell r="B349">
            <v>45050</v>
          </cell>
          <cell r="C349" t="str">
            <v>Regular</v>
          </cell>
          <cell r="D349" t="str">
            <v>FANTOM(719)</v>
          </cell>
          <cell r="F349" t="str">
            <v>F, P</v>
          </cell>
          <cell r="G349" t="str">
            <v>P</v>
          </cell>
          <cell r="H349">
            <v>0</v>
          </cell>
          <cell r="I349">
            <v>0</v>
          </cell>
          <cell r="K349">
            <v>0</v>
          </cell>
          <cell r="L349">
            <v>0</v>
          </cell>
        </row>
        <row r="350">
          <cell r="A350">
            <v>96231280341</v>
          </cell>
          <cell r="B350">
            <v>45054</v>
          </cell>
          <cell r="C350" t="str">
            <v>Regular</v>
          </cell>
          <cell r="D350" t="str">
            <v>VYN 731</v>
          </cell>
          <cell r="E350" t="str">
            <v>disney</v>
          </cell>
          <cell r="F350" t="str">
            <v>F</v>
          </cell>
          <cell r="G350">
            <v>0</v>
          </cell>
          <cell r="H350">
            <v>0</v>
          </cell>
          <cell r="I350">
            <v>0</v>
          </cell>
          <cell r="J350" t="str">
            <v>F</v>
          </cell>
          <cell r="K350">
            <v>0</v>
          </cell>
          <cell r="L350">
            <v>0</v>
          </cell>
        </row>
        <row r="351">
          <cell r="A351">
            <v>96231280353</v>
          </cell>
          <cell r="B351">
            <v>45054</v>
          </cell>
          <cell r="C351" t="str">
            <v>Regular</v>
          </cell>
          <cell r="D351" t="str">
            <v>VYN 731</v>
          </cell>
          <cell r="E351" t="str">
            <v>disney</v>
          </cell>
          <cell r="F351" t="str">
            <v>F</v>
          </cell>
          <cell r="G351">
            <v>0</v>
          </cell>
          <cell r="H351">
            <v>0</v>
          </cell>
          <cell r="I351">
            <v>0</v>
          </cell>
          <cell r="J351" t="str">
            <v>F</v>
          </cell>
          <cell r="K351">
            <v>0</v>
          </cell>
          <cell r="L351">
            <v>0</v>
          </cell>
        </row>
        <row r="352">
          <cell r="A352">
            <v>96231280364</v>
          </cell>
          <cell r="B352">
            <v>45054</v>
          </cell>
          <cell r="C352" t="str">
            <v>Regular</v>
          </cell>
          <cell r="D352" t="str">
            <v>VYN 731</v>
          </cell>
          <cell r="E352" t="str">
            <v>disney</v>
          </cell>
          <cell r="F352" t="str">
            <v>FW</v>
          </cell>
          <cell r="G352">
            <v>0</v>
          </cell>
          <cell r="H352">
            <v>0</v>
          </cell>
          <cell r="I352" t="str">
            <v>W</v>
          </cell>
          <cell r="J352" t="str">
            <v>F</v>
          </cell>
          <cell r="K352">
            <v>0</v>
          </cell>
          <cell r="L352">
            <v>0</v>
          </cell>
        </row>
        <row r="353">
          <cell r="A353">
            <v>96231260500</v>
          </cell>
          <cell r="B353">
            <v>45054</v>
          </cell>
          <cell r="C353" t="str">
            <v>Regular</v>
          </cell>
          <cell r="D353" t="str">
            <v>VINCENT (698)</v>
          </cell>
          <cell r="F353" t="str">
            <v>P, M</v>
          </cell>
          <cell r="G353" t="str">
            <v>P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 t="str">
            <v>M</v>
          </cell>
        </row>
        <row r="354">
          <cell r="A354">
            <v>96231250435</v>
          </cell>
          <cell r="B354">
            <v>45055</v>
          </cell>
          <cell r="C354" t="str">
            <v>Regular</v>
          </cell>
          <cell r="D354" t="str">
            <v>Vu 138</v>
          </cell>
          <cell r="F354" t="str">
            <v>P F L M</v>
          </cell>
          <cell r="G354" t="str">
            <v>P</v>
          </cell>
          <cell r="H354">
            <v>0</v>
          </cell>
          <cell r="I354">
            <v>0</v>
          </cell>
          <cell r="J354" t="str">
            <v>F</v>
          </cell>
          <cell r="K354" t="str">
            <v>L</v>
          </cell>
          <cell r="L354" t="str">
            <v>M</v>
          </cell>
        </row>
        <row r="355">
          <cell r="A355">
            <v>96231110573</v>
          </cell>
          <cell r="B355">
            <v>45055</v>
          </cell>
          <cell r="C355" t="str">
            <v>Regular</v>
          </cell>
          <cell r="D355" t="str">
            <v>CEP-138</v>
          </cell>
          <cell r="F355" t="str">
            <v>F</v>
          </cell>
          <cell r="G355">
            <v>0</v>
          </cell>
          <cell r="H355">
            <v>0</v>
          </cell>
          <cell r="I355">
            <v>0</v>
          </cell>
          <cell r="J355" t="str">
            <v>F</v>
          </cell>
          <cell r="K355">
            <v>0</v>
          </cell>
          <cell r="L355">
            <v>0</v>
          </cell>
        </row>
        <row r="356"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  <row r="386"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</row>
        <row r="387"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</row>
        <row r="388"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</row>
        <row r="389"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</row>
        <row r="390"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</row>
        <row r="391"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</row>
        <row r="392"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</row>
        <row r="393"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</row>
        <row r="394"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</row>
        <row r="395"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</row>
        <row r="396"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</row>
        <row r="397"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</row>
        <row r="398"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</row>
        <row r="399"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</row>
        <row r="400"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</row>
        <row r="401"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</row>
        <row r="402"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</row>
        <row r="403"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</row>
        <row r="404"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</row>
        <row r="405"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</row>
        <row r="406"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</row>
        <row r="407"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</row>
        <row r="408"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</row>
        <row r="409"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</row>
        <row r="410"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</row>
        <row r="411"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</row>
        <row r="412"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</row>
        <row r="413"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</row>
        <row r="414"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</row>
        <row r="415"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</row>
        <row r="416"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</row>
        <row r="417"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</row>
        <row r="418"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</row>
        <row r="419"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</row>
        <row r="420"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</row>
        <row r="421"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</row>
        <row r="422"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</row>
        <row r="423"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</row>
        <row r="424"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</row>
        <row r="425"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</row>
        <row r="426"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</row>
        <row r="427"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</row>
        <row r="428"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</row>
        <row r="429"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</row>
        <row r="430"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</row>
        <row r="431"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</row>
        <row r="432"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</row>
        <row r="433"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</row>
        <row r="434"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</row>
        <row r="435"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</row>
        <row r="436"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</row>
        <row r="437"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</row>
        <row r="438"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</row>
        <row r="439"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</row>
        <row r="440"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</row>
        <row r="441"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</row>
        <row r="442"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</row>
        <row r="443"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</row>
        <row r="444"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</row>
        <row r="445"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</row>
        <row r="446"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</row>
        <row r="447"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</row>
        <row r="448"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</row>
        <row r="449"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</row>
        <row r="450"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</row>
        <row r="451"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</row>
        <row r="452"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</row>
        <row r="453"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</row>
        <row r="454"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</row>
        <row r="455"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</row>
        <row r="456"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</row>
        <row r="457"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</row>
        <row r="458"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</row>
        <row r="459"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</row>
        <row r="460"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</row>
        <row r="461"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</row>
        <row r="462"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</row>
        <row r="463"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</row>
        <row r="464"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</row>
        <row r="465"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</row>
        <row r="466"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</row>
        <row r="467"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</row>
        <row r="468"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</row>
        <row r="469"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</row>
        <row r="470"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</row>
        <row r="471"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</row>
        <row r="472"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</row>
        <row r="473"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</row>
        <row r="474"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</row>
        <row r="475"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</row>
        <row r="476"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</row>
        <row r="477"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</row>
        <row r="478"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</row>
        <row r="479"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</row>
        <row r="480"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</row>
        <row r="481"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</row>
        <row r="482"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</row>
        <row r="483"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</row>
        <row r="484"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</row>
        <row r="485"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</row>
        <row r="486"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</row>
        <row r="487"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</row>
        <row r="488"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</row>
        <row r="489"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</row>
        <row r="490"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</row>
        <row r="491"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</row>
        <row r="492"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</row>
        <row r="493"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</row>
        <row r="494"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</row>
        <row r="495"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</row>
        <row r="496"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</row>
        <row r="497"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</row>
        <row r="498"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</row>
        <row r="499"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</row>
        <row r="500"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</row>
        <row r="501"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</row>
        <row r="502"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</row>
        <row r="503"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</row>
        <row r="504"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</row>
        <row r="505"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</row>
        <row r="506"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</row>
        <row r="507"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</row>
        <row r="508"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</row>
        <row r="509"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</row>
        <row r="510"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</row>
        <row r="511"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</row>
        <row r="512"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</row>
        <row r="513"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</row>
        <row r="514"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</row>
        <row r="515"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</row>
        <row r="516"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</row>
        <row r="517"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</row>
        <row r="518"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</row>
        <row r="519"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</row>
        <row r="520"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</row>
        <row r="521"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</row>
        <row r="522"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</row>
        <row r="523"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</row>
        <row r="524"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</row>
        <row r="525"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</row>
        <row r="526"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</row>
        <row r="527"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</row>
        <row r="528"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</row>
        <row r="529"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</row>
        <row r="530"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</row>
        <row r="531"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</row>
        <row r="532"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</row>
        <row r="533"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</row>
        <row r="534"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</row>
        <row r="535"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</row>
        <row r="536"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</row>
        <row r="537"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</row>
        <row r="538"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</row>
        <row r="539"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</row>
        <row r="540"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</row>
        <row r="541"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</row>
        <row r="542"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</row>
        <row r="543"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</row>
        <row r="544"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</row>
        <row r="545"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</row>
        <row r="546"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</row>
        <row r="547"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</row>
        <row r="548"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</row>
        <row r="549"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</row>
        <row r="550"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</row>
        <row r="551"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</row>
        <row r="552"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</row>
        <row r="553"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</row>
        <row r="554"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</row>
        <row r="555"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</row>
        <row r="556"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</row>
        <row r="557"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</row>
        <row r="558"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</row>
        <row r="559"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</row>
        <row r="561"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</row>
        <row r="562"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</row>
        <row r="563"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</row>
        <row r="565"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</row>
        <row r="566"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</row>
        <row r="567"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</row>
        <row r="569"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</row>
        <row r="570"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</row>
        <row r="571"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</row>
        <row r="573"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</row>
        <row r="574"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</row>
        <row r="575"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</row>
        <row r="577"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</row>
        <row r="579"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</row>
        <row r="580"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</row>
        <row r="581"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</row>
        <row r="582"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</row>
        <row r="583"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</row>
        <row r="585"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</row>
        <row r="587"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</row>
        <row r="588"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</row>
        <row r="589"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</row>
        <row r="590"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</row>
        <row r="592"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</row>
        <row r="594"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</row>
        <row r="595"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</row>
        <row r="596"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</row>
        <row r="597"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</row>
        <row r="599"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</row>
        <row r="601"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</row>
        <row r="602"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</row>
        <row r="603"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</row>
        <row r="604"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</row>
        <row r="605"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</row>
        <row r="606"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</row>
        <row r="607"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</row>
        <row r="608"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</row>
        <row r="610"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</row>
        <row r="612"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</row>
        <row r="613"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</row>
        <row r="614"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</row>
        <row r="615"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</row>
        <row r="617"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</row>
        <row r="618"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</row>
        <row r="620"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</row>
        <row r="622"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</row>
        <row r="623"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</row>
        <row r="625"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</row>
        <row r="626"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</row>
        <row r="627"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</row>
        <row r="628"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</row>
        <row r="629"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</row>
        <row r="631"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</row>
        <row r="633"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</row>
        <row r="634"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</row>
        <row r="635"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</row>
        <row r="636"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</row>
        <row r="637"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</row>
        <row r="639"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</row>
        <row r="641"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</row>
        <row r="642"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</row>
        <row r="643"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</row>
        <row r="644"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</row>
        <row r="646"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</row>
        <row r="648"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</row>
        <row r="649"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</row>
        <row r="650"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</row>
        <row r="651"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</row>
        <row r="652"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</row>
        <row r="653"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</row>
        <row r="655"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</row>
        <row r="656"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</row>
        <row r="657"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</row>
        <row r="658"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</row>
        <row r="659"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</row>
        <row r="661"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</row>
        <row r="663"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</row>
        <row r="664"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</row>
        <row r="665"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</row>
        <row r="666"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</row>
        <row r="667"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</row>
        <row r="669"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</row>
        <row r="670"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</row>
        <row r="672"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</row>
        <row r="673"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</row>
        <row r="674"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</row>
        <row r="675"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</row>
        <row r="676"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</row>
        <row r="678"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</row>
        <row r="680"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</row>
        <row r="681"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</row>
        <row r="682"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</row>
        <row r="683"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</row>
        <row r="684"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</row>
        <row r="685"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</row>
        <row r="687"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</row>
        <row r="688"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</row>
        <row r="689"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</row>
        <row r="690"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</row>
        <row r="691"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</row>
        <row r="692"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</row>
        <row r="694"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</row>
        <row r="696"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</row>
        <row r="697"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</row>
        <row r="698"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</row>
        <row r="699"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</row>
        <row r="701"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</row>
        <row r="702"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</row>
        <row r="705"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</row>
        <row r="707"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</row>
        <row r="708"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</row>
        <row r="709"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</row>
        <row r="710"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</row>
        <row r="712"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</row>
        <row r="714"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</row>
        <row r="715"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</row>
        <row r="716"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</row>
        <row r="717"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</row>
        <row r="718"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</row>
        <row r="719"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</row>
        <row r="721"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</row>
        <row r="722"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</row>
        <row r="724"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</row>
        <row r="725"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</row>
        <row r="726"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</row>
        <row r="727"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</row>
        <row r="728"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</row>
        <row r="729"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</row>
        <row r="730"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</row>
        <row r="731"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</row>
        <row r="732"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</row>
        <row r="733"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</row>
        <row r="734"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</row>
        <row r="735"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</row>
        <row r="736"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</row>
        <row r="737"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</row>
        <row r="738"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</row>
        <row r="739"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</row>
        <row r="740"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</row>
        <row r="741"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</row>
        <row r="742"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</row>
        <row r="743"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</row>
        <row r="744"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</row>
        <row r="745"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</row>
        <row r="746"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</row>
        <row r="747"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</row>
        <row r="748"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</row>
        <row r="749"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</row>
        <row r="750"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</row>
        <row r="751"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</row>
        <row r="752"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</row>
        <row r="753"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</row>
        <row r="754"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</row>
        <row r="755"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</row>
        <row r="756"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</row>
        <row r="757"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</row>
        <row r="758"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</row>
        <row r="759"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</row>
        <row r="760"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</row>
        <row r="761"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</row>
        <row r="762"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</row>
        <row r="763"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</row>
        <row r="764"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</row>
        <row r="765"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</row>
        <row r="766"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</row>
        <row r="767"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</row>
        <row r="768"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</row>
        <row r="769"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</row>
        <row r="770"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</row>
        <row r="771"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</row>
        <row r="772"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</row>
        <row r="773"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</row>
        <row r="774"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</row>
        <row r="775"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</row>
        <row r="776"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</row>
        <row r="777"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</row>
        <row r="778"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</row>
        <row r="779"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</row>
        <row r="780"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</row>
        <row r="781"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</row>
        <row r="782"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</row>
        <row r="783"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</row>
        <row r="784"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</row>
        <row r="785"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</row>
        <row r="786"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</row>
        <row r="787"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</row>
        <row r="788"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</row>
        <row r="789"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</row>
        <row r="790"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</row>
        <row r="791"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</row>
        <row r="792"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</row>
        <row r="793"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</row>
        <row r="794"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</row>
        <row r="795"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</row>
        <row r="796"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</row>
        <row r="797"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</row>
        <row r="798"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</row>
        <row r="799"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</row>
        <row r="800"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</row>
        <row r="801"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</row>
        <row r="802"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</row>
        <row r="803"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</row>
        <row r="804"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</row>
        <row r="805"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</row>
        <row r="806"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</row>
        <row r="807"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</row>
        <row r="808"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</row>
        <row r="809"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</row>
        <row r="810"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</row>
        <row r="811"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</row>
        <row r="812"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</row>
        <row r="813"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</row>
        <row r="814"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</row>
        <row r="815"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</row>
        <row r="816"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</row>
        <row r="817"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</row>
        <row r="818"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</row>
        <row r="819"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</row>
        <row r="820"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</row>
        <row r="821"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</row>
        <row r="822"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</row>
        <row r="823"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</row>
        <row r="824"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</row>
        <row r="825"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</row>
        <row r="826"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</row>
        <row r="827"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</row>
        <row r="828"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</row>
        <row r="829"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</row>
        <row r="830"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</row>
        <row r="831"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</row>
        <row r="832"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</row>
        <row r="833"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</row>
        <row r="834"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</row>
        <row r="835"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</row>
        <row r="836"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</row>
        <row r="837"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</row>
        <row r="838"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</row>
        <row r="839"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</row>
        <row r="840"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</row>
        <row r="841"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</row>
        <row r="842"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</row>
        <row r="843"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</row>
        <row r="844"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</row>
        <row r="845"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</row>
        <row r="846"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</row>
        <row r="847"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</row>
        <row r="848"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</row>
        <row r="849"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</row>
        <row r="850"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</row>
        <row r="851"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</row>
        <row r="852"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</row>
        <row r="853"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</row>
        <row r="854"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</row>
        <row r="855"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</row>
        <row r="856"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</row>
        <row r="857"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</row>
        <row r="858"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</row>
        <row r="859"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</row>
        <row r="860"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</row>
        <row r="861"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</row>
        <row r="862"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</row>
        <row r="863"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</row>
        <row r="864"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</row>
        <row r="865"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</row>
        <row r="866"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</row>
        <row r="867"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</row>
        <row r="868"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</row>
        <row r="869"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</row>
        <row r="870"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</row>
        <row r="871"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</row>
        <row r="872"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</row>
        <row r="873"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</row>
        <row r="874"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</row>
        <row r="875"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</row>
        <row r="876"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</row>
        <row r="877"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</row>
        <row r="878"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</row>
        <row r="879"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</row>
        <row r="880"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</row>
        <row r="881"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</row>
        <row r="882"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</row>
        <row r="883"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</row>
        <row r="884"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</row>
        <row r="885"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</row>
        <row r="886"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</row>
        <row r="887"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</row>
        <row r="888"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</row>
        <row r="889"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</row>
        <row r="890"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</row>
        <row r="891"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</row>
        <row r="892"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</row>
        <row r="893"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</row>
        <row r="894"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</row>
        <row r="895"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</row>
        <row r="896"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</row>
        <row r="897"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</row>
        <row r="898"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</row>
        <row r="899"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</row>
        <row r="900"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</row>
        <row r="901"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</row>
        <row r="902"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</row>
        <row r="903"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</row>
        <row r="904"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</row>
        <row r="905"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</row>
        <row r="906"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</row>
        <row r="907"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</row>
        <row r="908"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</row>
        <row r="909"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</row>
        <row r="910"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</row>
        <row r="911"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</row>
        <row r="912"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</row>
        <row r="913"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</row>
        <row r="914"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</row>
        <row r="915"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</row>
        <row r="916"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</row>
        <row r="917"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</row>
        <row r="918"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</row>
        <row r="919"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</row>
        <row r="920"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</row>
        <row r="921"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</row>
        <row r="922"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</row>
        <row r="923"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</row>
        <row r="924"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</row>
        <row r="925"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</row>
        <row r="926"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</row>
        <row r="927"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</row>
        <row r="928"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</row>
        <row r="929"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</row>
        <row r="930"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</row>
        <row r="931"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</row>
        <row r="932"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</row>
        <row r="933"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</row>
        <row r="934"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</row>
        <row r="935"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</row>
        <row r="936"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</row>
        <row r="937"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</row>
        <row r="938"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</row>
        <row r="939"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</row>
        <row r="940"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</row>
        <row r="941"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</row>
        <row r="942"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</row>
        <row r="943"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</row>
        <row r="944"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</row>
        <row r="945"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</row>
        <row r="946"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</row>
        <row r="947"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</row>
        <row r="948"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</row>
        <row r="949"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</row>
        <row r="950"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</row>
        <row r="951"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</row>
        <row r="952"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</row>
        <row r="953"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</row>
        <row r="954"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</row>
        <row r="955"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</row>
        <row r="956"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</row>
        <row r="957"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</row>
        <row r="958"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</row>
        <row r="959"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</row>
        <row r="960"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</row>
        <row r="961"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</row>
        <row r="962"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</row>
        <row r="963"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</row>
        <row r="964"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</row>
        <row r="965"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</row>
        <row r="966"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</row>
        <row r="967"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</row>
        <row r="968"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</row>
        <row r="969"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</row>
        <row r="970"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</row>
        <row r="971"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</row>
        <row r="972"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</row>
        <row r="973"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</row>
        <row r="974"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</row>
        <row r="975"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</row>
        <row r="976"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</row>
        <row r="977"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</row>
        <row r="978"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</row>
        <row r="979"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</row>
        <row r="980"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</row>
        <row r="981"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</row>
        <row r="982"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</row>
        <row r="983"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</row>
        <row r="984"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</row>
        <row r="985"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</row>
        <row r="986"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</row>
        <row r="987"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</row>
        <row r="988"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</row>
        <row r="989"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</row>
        <row r="990"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</row>
        <row r="991"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</row>
        <row r="992"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</row>
        <row r="993"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</row>
        <row r="994"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</row>
        <row r="995"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</row>
        <row r="996"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</row>
        <row r="997"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</row>
        <row r="998"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</row>
        <row r="999"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</row>
        <row r="1000"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</row>
        <row r="1001"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</row>
        <row r="1002"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</row>
        <row r="1003"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</row>
        <row r="1004"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</row>
        <row r="1005"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</row>
        <row r="1006"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</row>
        <row r="1007"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</row>
        <row r="1008"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</row>
        <row r="1009"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</row>
        <row r="1010"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</row>
        <row r="1011"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</row>
        <row r="1012"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</row>
        <row r="1013"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</row>
        <row r="1014"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</row>
        <row r="1015"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</row>
        <row r="1016"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</row>
        <row r="1017"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</row>
        <row r="1018"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</row>
        <row r="1019"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</row>
        <row r="1020"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</row>
        <row r="1021"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</row>
        <row r="1022"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</row>
        <row r="1023"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</row>
        <row r="1024"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</row>
        <row r="1025"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</row>
        <row r="1026"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</row>
        <row r="1027"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</row>
        <row r="1028"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</row>
        <row r="1029"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</row>
        <row r="1030"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</row>
        <row r="1031"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</row>
        <row r="1032"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</row>
        <row r="1033"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</row>
        <row r="1034"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</row>
        <row r="1035"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</row>
        <row r="1036"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</row>
        <row r="1037"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</row>
        <row r="1038"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</row>
        <row r="1039"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</row>
        <row r="1040"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</row>
        <row r="1041"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</row>
        <row r="1042"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</row>
        <row r="1043"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</row>
        <row r="1044"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</row>
        <row r="1045"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</row>
        <row r="1046"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</row>
        <row r="1047"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</row>
        <row r="1048"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</row>
        <row r="1049"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</row>
        <row r="1050"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</row>
        <row r="1051"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</row>
        <row r="1052"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</row>
        <row r="1053"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</row>
        <row r="1054"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</row>
        <row r="1055"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</row>
        <row r="1056"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</row>
        <row r="1057"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</row>
        <row r="1058"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</row>
        <row r="1059"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</row>
        <row r="1060"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</row>
        <row r="1061"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</row>
        <row r="1062"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</row>
        <row r="1063"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</row>
        <row r="1064"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</row>
        <row r="1065"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</row>
        <row r="1066"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</row>
        <row r="1067"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</row>
        <row r="1068"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</row>
        <row r="1069"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</row>
        <row r="1070"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</row>
        <row r="1071"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</row>
        <row r="1072"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</row>
        <row r="1073"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</row>
        <row r="1074"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</row>
        <row r="1075"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</row>
        <row r="1076"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</row>
        <row r="1077"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</row>
        <row r="1078"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</row>
        <row r="1079"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</row>
        <row r="1080"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</row>
        <row r="1081"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</row>
        <row r="1082"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</row>
        <row r="1083"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</row>
        <row r="1084"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</row>
        <row r="1085"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</row>
        <row r="1086"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</row>
        <row r="1087"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</row>
        <row r="1088"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</row>
        <row r="1089"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</row>
        <row r="1090"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</row>
        <row r="1091"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</row>
        <row r="1092"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</row>
        <row r="1093"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</row>
        <row r="1094"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</row>
        <row r="1095"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</row>
        <row r="1096"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</row>
        <row r="1097"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</row>
        <row r="1098"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</row>
        <row r="1099"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</row>
        <row r="1100"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</row>
        <row r="1101"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</row>
        <row r="1102"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</row>
        <row r="1103"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</row>
        <row r="1104"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</row>
        <row r="1105"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</row>
        <row r="1106"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</row>
        <row r="1107"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</row>
        <row r="1110"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</row>
        <row r="1111"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</row>
        <row r="1112"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</row>
        <row r="1113"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</row>
        <row r="1114"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</row>
        <row r="1115"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</row>
        <row r="1116"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</row>
        <row r="1117"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</row>
        <row r="1118"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</row>
        <row r="1119"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</row>
        <row r="1120"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</row>
        <row r="1121"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</row>
        <row r="1122"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</row>
        <row r="1123"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</row>
        <row r="1135"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</row>
        <row r="1136"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</row>
        <row r="1137"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</row>
        <row r="1138"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</row>
        <row r="1139"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</row>
        <row r="1140"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</row>
        <row r="1141"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</row>
        <row r="1142"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</row>
        <row r="1143"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</row>
        <row r="1144"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</row>
        <row r="1145"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</row>
        <row r="1146"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</row>
        <row r="1147"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</row>
        <row r="1148"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</row>
        <row r="1149"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</row>
        <row r="1150"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</row>
        <row r="1151"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</row>
        <row r="1152"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  <row r="1171"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</row>
        <row r="1172"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</row>
        <row r="1173"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</row>
        <row r="1174"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</row>
        <row r="1175"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</row>
        <row r="1176"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</row>
        <row r="1177"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</row>
        <row r="1178"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</row>
        <row r="1179"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</row>
        <row r="1180"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</row>
        <row r="1181"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</row>
        <row r="1182"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</row>
        <row r="1183"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</row>
        <row r="1184"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</row>
        <row r="1185"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</row>
        <row r="1186"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</row>
        <row r="1187"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</row>
        <row r="1188"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</row>
        <row r="1189"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</row>
        <row r="1190"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</row>
        <row r="1191"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</row>
        <row r="1192"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</row>
        <row r="1193"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</row>
        <row r="1194"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</row>
        <row r="1195"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</row>
        <row r="1196"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</row>
        <row r="1197"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</row>
        <row r="1198"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</row>
        <row r="1199"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</row>
        <row r="1200"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</row>
        <row r="1201"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</row>
        <row r="1202"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</row>
        <row r="1203"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</row>
        <row r="1204"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</row>
        <row r="1205"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</row>
        <row r="1206"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</row>
        <row r="1207"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</row>
        <row r="1208"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</row>
        <row r="1209"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</row>
        <row r="1210"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</row>
        <row r="1211"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</row>
        <row r="1212"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</row>
        <row r="1213"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</row>
        <row r="1214"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</row>
        <row r="1215"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</row>
        <row r="1216"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</row>
        <row r="1217"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</row>
        <row r="1218"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</row>
        <row r="1219"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</row>
        <row r="1220"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</row>
        <row r="1221"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</row>
        <row r="1222"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</row>
        <row r="1223"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</row>
        <row r="1224"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</row>
        <row r="1225"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</row>
        <row r="1226"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</row>
        <row r="1227"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</row>
        <row r="1228"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</row>
        <row r="1229"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</row>
        <row r="1230"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</row>
        <row r="1231"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</row>
        <row r="1232"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</row>
        <row r="1233"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</row>
        <row r="1234"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</row>
        <row r="1235"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</row>
        <row r="1236"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</row>
        <row r="1237"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</row>
        <row r="1238"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</row>
        <row r="1239"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</row>
        <row r="1240"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</row>
        <row r="1241"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</row>
        <row r="1242"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</row>
        <row r="1243"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</row>
        <row r="1244"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</row>
        <row r="1245"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</row>
        <row r="1246"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</row>
        <row r="1247"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</row>
        <row r="1248"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</row>
        <row r="1249"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</row>
        <row r="1250"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</row>
        <row r="1251"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</row>
        <row r="1252"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</row>
        <row r="1253"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</row>
        <row r="1254"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</row>
        <row r="1255"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</row>
        <row r="1256"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</row>
        <row r="1257"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</row>
        <row r="1258"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</row>
        <row r="1259"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</row>
        <row r="1260"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</row>
        <row r="1261"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</row>
        <row r="1262"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</row>
        <row r="1263"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</row>
        <row r="1264"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</row>
        <row r="1265"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</row>
        <row r="1266"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</row>
        <row r="1267"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</row>
        <row r="1268"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</row>
        <row r="1269"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</row>
        <row r="1270"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</row>
        <row r="1271"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</row>
        <row r="1272"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</row>
        <row r="1273"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</row>
        <row r="1274"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</row>
        <row r="1275"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</row>
        <row r="1276"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</row>
        <row r="1277"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</row>
        <row r="1278"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</row>
        <row r="1279"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</row>
        <row r="1280"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</row>
        <row r="1281"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_Control"/>
      <sheetName val="SL_Control"/>
      <sheetName val="SERVICE"/>
      <sheetName val="Check_Code"/>
      <sheetName val="Bao_Cao"/>
      <sheetName val="SL Not DDE"/>
      <sheetName val="Contact"/>
      <sheetName val="vba an"/>
    </sheetNames>
    <definedNames>
      <definedName name="Update_Forma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TRANSFER ITEM vba"/>
    </sheetNames>
    <definedNames>
      <definedName name="Update"/>
    </defined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onRP"/>
      <sheetName val="Check code"/>
      <sheetName val="PUSH"/>
      <sheetName val="Mượn báo cáo + recheck"/>
    </sheetNames>
    <definedNames>
      <definedName name="CLEAR_FILTER"/>
    </defined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rinterSettings" Target="../printerSettings/printerSettings5.bin"/><Relationship Id="rId7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printerSettings" Target="../printerSettings/printerSettings8.bin"/><Relationship Id="rId5" Type="http://schemas.openxmlformats.org/officeDocument/2006/relationships/printerSettings" Target="../printerSettings/printerSettings7.bin"/><Relationship Id="rId4" Type="http://schemas.openxmlformats.org/officeDocument/2006/relationships/printerSettings" Target="../printerSettings/printerSettings6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5" Type="http://schemas.openxmlformats.org/officeDocument/2006/relationships/printerSettings" Target="../printerSettings/printerSettings14.bin"/><Relationship Id="rId4" Type="http://schemas.openxmlformats.org/officeDocument/2006/relationships/printerSettings" Target="../printerSettings/printerSettings1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34.bin"/><Relationship Id="rId4" Type="http://schemas.openxmlformats.org/officeDocument/2006/relationships/printerSettings" Target="../printerSettings/printerSettings3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Relationship Id="rId6" Type="http://schemas.openxmlformats.org/officeDocument/2006/relationships/drawing" Target="../drawings/drawing10.xml"/><Relationship Id="rId5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7" Type="http://schemas.openxmlformats.org/officeDocument/2006/relationships/drawing" Target="../drawings/drawing11.xml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Relationship Id="rId6" Type="http://schemas.openxmlformats.org/officeDocument/2006/relationships/printerSettings" Target="../printerSettings/printerSettings45.bin"/><Relationship Id="rId5" Type="http://schemas.openxmlformats.org/officeDocument/2006/relationships/printerSettings" Target="../printerSettings/printerSettings44.bin"/><Relationship Id="rId4" Type="http://schemas.openxmlformats.org/officeDocument/2006/relationships/printerSettings" Target="../printerSettings/printerSettings4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Relationship Id="rId6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50.bin"/><Relationship Id="rId4" Type="http://schemas.openxmlformats.org/officeDocument/2006/relationships/printerSettings" Target="../printerSettings/printerSettings4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file:///\\v19vnhcm02fs003.asi.bvcorp.corp\RSL\17.%20MICRO\1.%20Test%20resu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DFCE0-467D-4333-8F19-36CBB0864DAA}">
  <sheetPr codeName="Sheet11"/>
  <dimension ref="A1:L11"/>
  <sheetViews>
    <sheetView showGridLines="0" tabSelected="1" zoomScale="98" zoomScaleNormal="98" workbookViewId="0">
      <pane ySplit="3" topLeftCell="A4" activePane="bottomLeft" state="frozen"/>
      <selection pane="bottomLeft" activeCell="D6" sqref="D6"/>
    </sheetView>
  </sheetViews>
  <sheetFormatPr defaultColWidth="0" defaultRowHeight="14.25" zeroHeight="1" x14ac:dyDescent="0.2"/>
  <cols>
    <col min="1" max="4" width="9" customWidth="1"/>
    <col min="5" max="12" width="0" hidden="1" customWidth="1"/>
    <col min="13" max="16384" width="9" hidden="1"/>
  </cols>
  <sheetData>
    <row r="1" spans="1:4" ht="15" x14ac:dyDescent="0.25">
      <c r="A1" s="120" t="s">
        <v>1504</v>
      </c>
      <c r="B1" s="121"/>
      <c r="C1" s="121"/>
      <c r="D1" s="121"/>
    </row>
    <row r="2" spans="1:4" x14ac:dyDescent="0.2"/>
    <row r="3" spans="1:4" x14ac:dyDescent="0.2"/>
    <row r="4" spans="1:4" x14ac:dyDescent="0.2"/>
    <row r="5" spans="1:4" x14ac:dyDescent="0.2"/>
    <row r="6" spans="1:4" x14ac:dyDescent="0.2"/>
    <row r="7" spans="1:4" x14ac:dyDescent="0.2"/>
    <row r="8" spans="1:4" x14ac:dyDescent="0.2"/>
    <row r="9" spans="1:4" x14ac:dyDescent="0.2"/>
    <row r="10" spans="1:4" x14ac:dyDescent="0.2"/>
    <row r="11" spans="1:4" x14ac:dyDescent="0.2"/>
  </sheetData>
  <mergeCells count="1">
    <mergeCell ref="A1:D1"/>
  </mergeCells>
  <pageMargins left="0.7" right="0.7" top="0.75" bottom="0.75" header="0.3" footer="0.3"/>
  <pageSetup orientation="portrait" r:id="rId1"/>
  <headerFooter>
    <oddHeader xml:space="preserve">&amp;C 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63CFD-4987-4303-B9EB-B06E304EE24D}">
  <sheetPr codeName="Sheet10"/>
  <dimension ref="A1:R19"/>
  <sheetViews>
    <sheetView showGridLines="0" workbookViewId="0">
      <pane ySplit="5" topLeftCell="A6" activePane="bottomLeft" state="frozen"/>
      <selection pane="bottomLeft" activeCell="J8" sqref="J8"/>
    </sheetView>
  </sheetViews>
  <sheetFormatPr defaultColWidth="0" defaultRowHeight="14.25" zeroHeight="1" x14ac:dyDescent="0.2"/>
  <cols>
    <col min="1" max="1" width="4.375" bestFit="1" customWidth="1"/>
    <col min="2" max="2" width="14.25" bestFit="1" customWidth="1"/>
    <col min="3" max="3" width="10" bestFit="1" customWidth="1"/>
    <col min="4" max="4" width="11.25" customWidth="1"/>
    <col min="5" max="5" width="0.125" customWidth="1"/>
    <col min="6" max="6" width="12.125" bestFit="1" customWidth="1"/>
    <col min="7" max="7" width="13.625" bestFit="1" customWidth="1"/>
    <col min="8" max="8" width="10.875" bestFit="1" customWidth="1"/>
    <col min="9" max="9" width="8.875" bestFit="1" customWidth="1"/>
    <col min="10" max="10" width="12.25" bestFit="1" customWidth="1"/>
    <col min="11" max="11" width="12.375" bestFit="1" customWidth="1"/>
    <col min="12" max="12" width="4.625" bestFit="1" customWidth="1"/>
    <col min="13" max="13" width="11.375" bestFit="1" customWidth="1"/>
    <col min="14" max="14" width="9" bestFit="1" customWidth="1"/>
    <col min="15" max="15" width="12.25" bestFit="1" customWidth="1"/>
    <col min="16" max="16" width="11.375" bestFit="1" customWidth="1"/>
    <col min="17" max="17" width="7.75" bestFit="1" customWidth="1"/>
    <col min="18" max="18" width="1.75" customWidth="1"/>
    <col min="19" max="16384" width="9" hidden="1"/>
  </cols>
  <sheetData>
    <row r="1" spans="1:17" x14ac:dyDescent="0.2">
      <c r="A1" t="s">
        <v>1067</v>
      </c>
    </row>
    <row r="2" spans="1:17" x14ac:dyDescent="0.2"/>
    <row r="3" spans="1:17" ht="3.75" customHeight="1" thickBot="1" x14ac:dyDescent="0.25"/>
    <row r="4" spans="1:17" ht="15" x14ac:dyDescent="0.25">
      <c r="A4" s="123" t="s">
        <v>1478</v>
      </c>
      <c r="B4" s="124"/>
      <c r="C4" s="124"/>
      <c r="D4" s="124"/>
      <c r="E4" s="114"/>
      <c r="F4" s="125" t="s">
        <v>1479</v>
      </c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7"/>
    </row>
    <row r="5" spans="1:17" ht="15" x14ac:dyDescent="0.25">
      <c r="A5" s="107" t="s">
        <v>1480</v>
      </c>
      <c r="B5" s="107" t="s">
        <v>1494</v>
      </c>
      <c r="C5" s="107" t="s">
        <v>1496</v>
      </c>
      <c r="D5" s="110" t="s">
        <v>1495</v>
      </c>
      <c r="E5" s="115"/>
      <c r="F5" s="113" t="s">
        <v>1484</v>
      </c>
      <c r="G5" s="109" t="s">
        <v>1483</v>
      </c>
      <c r="H5" s="109" t="s">
        <v>1485</v>
      </c>
      <c r="I5" s="109" t="s">
        <v>1486</v>
      </c>
      <c r="J5" s="109" t="s">
        <v>1497</v>
      </c>
      <c r="K5" s="109" t="s">
        <v>1498</v>
      </c>
      <c r="L5" s="109" t="s">
        <v>1487</v>
      </c>
      <c r="M5" s="109" t="s">
        <v>1488</v>
      </c>
      <c r="N5" s="109" t="s">
        <v>165</v>
      </c>
      <c r="O5" s="109" t="s">
        <v>1489</v>
      </c>
      <c r="P5" s="109" t="s">
        <v>1490</v>
      </c>
      <c r="Q5" s="109" t="s">
        <v>1491</v>
      </c>
    </row>
    <row r="6" spans="1:17" x14ac:dyDescent="0.2">
      <c r="A6" s="106">
        <v>1</v>
      </c>
      <c r="B6" s="108" t="s">
        <v>1481</v>
      </c>
      <c r="C6" s="108" t="s">
        <v>1481</v>
      </c>
      <c r="D6" s="111" t="s">
        <v>1481</v>
      </c>
      <c r="E6" s="116"/>
      <c r="F6" s="112" t="s">
        <v>1492</v>
      </c>
      <c r="G6" s="106" t="s">
        <v>1492</v>
      </c>
      <c r="H6" s="106" t="s">
        <v>1492</v>
      </c>
      <c r="I6" s="106" t="s">
        <v>1492</v>
      </c>
      <c r="J6" s="106" t="s">
        <v>1492</v>
      </c>
      <c r="K6" s="106" t="s">
        <v>1492</v>
      </c>
      <c r="L6" s="106" t="s">
        <v>1492</v>
      </c>
      <c r="M6" s="106" t="s">
        <v>1492</v>
      </c>
      <c r="N6" s="106" t="s">
        <v>1492</v>
      </c>
      <c r="O6" s="106" t="s">
        <v>1492</v>
      </c>
      <c r="P6" s="106" t="s">
        <v>1492</v>
      </c>
      <c r="Q6" s="106" t="s">
        <v>1492</v>
      </c>
    </row>
    <row r="7" spans="1:17" x14ac:dyDescent="0.2">
      <c r="A7" s="106">
        <v>2</v>
      </c>
      <c r="B7" s="108" t="s">
        <v>1506</v>
      </c>
      <c r="C7" s="108" t="s">
        <v>1507</v>
      </c>
      <c r="D7" s="111" t="s">
        <v>1482</v>
      </c>
      <c r="E7" s="116"/>
      <c r="F7" s="112" t="s">
        <v>1493</v>
      </c>
      <c r="G7" s="106" t="s">
        <v>1492</v>
      </c>
      <c r="H7" s="106" t="s">
        <v>1492</v>
      </c>
      <c r="I7" s="106" t="s">
        <v>1492</v>
      </c>
      <c r="J7" s="106" t="s">
        <v>1493</v>
      </c>
      <c r="K7" s="106" t="s">
        <v>1493</v>
      </c>
      <c r="L7" s="106" t="s">
        <v>1492</v>
      </c>
      <c r="M7" s="106" t="s">
        <v>1492</v>
      </c>
      <c r="N7" s="106" t="s">
        <v>1492</v>
      </c>
      <c r="O7" s="106" t="s">
        <v>1492</v>
      </c>
      <c r="P7" s="106" t="s">
        <v>1492</v>
      </c>
      <c r="Q7" s="106" t="s">
        <v>1492</v>
      </c>
    </row>
    <row r="8" spans="1:17" x14ac:dyDescent="0.2">
      <c r="A8" s="106">
        <v>3</v>
      </c>
      <c r="B8" s="108" t="s">
        <v>1508</v>
      </c>
      <c r="C8" s="108" t="s">
        <v>1507</v>
      </c>
      <c r="D8" s="111" t="s">
        <v>1482</v>
      </c>
      <c r="E8" s="117"/>
      <c r="F8" s="112" t="s">
        <v>1493</v>
      </c>
      <c r="G8" s="106" t="s">
        <v>1492</v>
      </c>
      <c r="H8" s="106" t="s">
        <v>1492</v>
      </c>
      <c r="I8" s="106" t="s">
        <v>1493</v>
      </c>
      <c r="J8" s="106" t="s">
        <v>1492</v>
      </c>
      <c r="K8" s="106" t="s">
        <v>1493</v>
      </c>
      <c r="L8" s="106" t="s">
        <v>1492</v>
      </c>
      <c r="M8" s="106" t="s">
        <v>1492</v>
      </c>
      <c r="N8" s="106" t="s">
        <v>1492</v>
      </c>
      <c r="O8" s="106" t="s">
        <v>1492</v>
      </c>
      <c r="P8" s="106" t="s">
        <v>1492</v>
      </c>
      <c r="Q8" s="106" t="s">
        <v>1492</v>
      </c>
    </row>
    <row r="9" spans="1:17" x14ac:dyDescent="0.2">
      <c r="A9" s="106">
        <v>4</v>
      </c>
      <c r="B9" s="108" t="s">
        <v>1509</v>
      </c>
      <c r="C9" s="108" t="s">
        <v>1507</v>
      </c>
      <c r="D9" s="111" t="s">
        <v>1482</v>
      </c>
      <c r="E9" s="118"/>
      <c r="F9" s="112" t="s">
        <v>1493</v>
      </c>
      <c r="G9" s="106" t="s">
        <v>1492</v>
      </c>
      <c r="H9" s="106" t="s">
        <v>1492</v>
      </c>
      <c r="I9" s="106" t="s">
        <v>1493</v>
      </c>
      <c r="J9" s="106" t="s">
        <v>1493</v>
      </c>
      <c r="K9" s="106" t="s">
        <v>1492</v>
      </c>
      <c r="L9" s="106" t="s">
        <v>1492</v>
      </c>
      <c r="M9" s="106" t="s">
        <v>1492</v>
      </c>
      <c r="N9" s="106" t="s">
        <v>1492</v>
      </c>
      <c r="O9" s="106" t="s">
        <v>1492</v>
      </c>
      <c r="P9" s="106" t="s">
        <v>1492</v>
      </c>
      <c r="Q9" s="106" t="s">
        <v>1492</v>
      </c>
    </row>
    <row r="10" spans="1:17" hidden="1" x14ac:dyDescent="0.2">
      <c r="A10" s="106">
        <v>5</v>
      </c>
      <c r="B10" s="108"/>
      <c r="C10" s="108"/>
      <c r="D10" s="111"/>
      <c r="E10" s="116"/>
      <c r="F10" s="112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</row>
    <row r="11" spans="1:17" hidden="1" x14ac:dyDescent="0.2">
      <c r="A11" s="106">
        <v>6</v>
      </c>
      <c r="B11" s="108"/>
      <c r="C11" s="108"/>
      <c r="D11" s="111"/>
      <c r="E11" s="116"/>
      <c r="F11" s="112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</row>
    <row r="12" spans="1:17" hidden="1" x14ac:dyDescent="0.2">
      <c r="A12" s="106">
        <v>7</v>
      </c>
      <c r="B12" s="108"/>
      <c r="C12" s="108"/>
      <c r="D12" s="111"/>
      <c r="E12" s="116"/>
      <c r="F12" s="112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</row>
    <row r="13" spans="1:17" hidden="1" x14ac:dyDescent="0.2">
      <c r="A13" s="106">
        <v>8</v>
      </c>
      <c r="B13" s="108"/>
      <c r="C13" s="108"/>
      <c r="D13" s="111"/>
      <c r="E13" s="116"/>
      <c r="F13" s="112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</row>
    <row r="14" spans="1:17" hidden="1" x14ac:dyDescent="0.2">
      <c r="A14" s="106">
        <v>9</v>
      </c>
      <c r="B14" s="108"/>
      <c r="C14" s="108"/>
      <c r="D14" s="111"/>
      <c r="E14" s="116"/>
      <c r="F14" s="112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</row>
    <row r="15" spans="1:17" ht="15" hidden="1" thickBot="1" x14ac:dyDescent="0.25">
      <c r="A15" s="106">
        <v>10</v>
      </c>
      <c r="B15" s="108"/>
      <c r="C15" s="108"/>
      <c r="D15" s="111"/>
      <c r="E15" s="119"/>
      <c r="F15" s="112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</row>
    <row r="16" spans="1:17" ht="3" customHeight="1" x14ac:dyDescent="0.2"/>
    <row r="17" spans="2:9" ht="15" hidden="1" x14ac:dyDescent="0.25">
      <c r="B17" s="122" t="s">
        <v>1505</v>
      </c>
      <c r="C17" s="122"/>
      <c r="D17" s="122"/>
      <c r="G17" s="122" t="s">
        <v>1505</v>
      </c>
      <c r="H17" s="122"/>
      <c r="I17" s="106" t="s">
        <v>1501</v>
      </c>
    </row>
    <row r="18" spans="2:9" hidden="1" x14ac:dyDescent="0.2">
      <c r="B18" s="106" t="s">
        <v>1502</v>
      </c>
      <c r="C18" s="108" t="str">
        <f>H18</f>
        <v>admin</v>
      </c>
      <c r="D18" s="106" t="str">
        <f>INDEX(F6:Q15,MATCH(C18,B6:B15,0),MATCH(C19,F5:Q5,0))</f>
        <v>Có</v>
      </c>
      <c r="G18" s="106" t="s">
        <v>1500</v>
      </c>
      <c r="H18" s="108" t="s">
        <v>1481</v>
      </c>
      <c r="I18" s="106" t="str">
        <f>IFERROR(VLOOKUP(H18,$B$6:$C$15,2,0),"False")</f>
        <v>admin</v>
      </c>
    </row>
    <row r="19" spans="2:9" hidden="1" x14ac:dyDescent="0.2">
      <c r="B19" s="106" t="s">
        <v>1503</v>
      </c>
      <c r="C19" s="108" t="s">
        <v>1491</v>
      </c>
      <c r="D19" s="106">
        <f>LEN(D18)</f>
        <v>2</v>
      </c>
      <c r="G19" s="106" t="s">
        <v>1499</v>
      </c>
      <c r="H19" s="108" t="s">
        <v>1481</v>
      </c>
      <c r="I19" s="106" t="b">
        <f>TEXT(H19,"@")=TEXT(I18,"@")</f>
        <v>1</v>
      </c>
    </row>
  </sheetData>
  <mergeCells count="4">
    <mergeCell ref="B17:D17"/>
    <mergeCell ref="G17:H17"/>
    <mergeCell ref="A4:D4"/>
    <mergeCell ref="F4:Q4"/>
  </mergeCells>
  <conditionalFormatting sqref="G6:O15 F6:F13 F6:Q9">
    <cfRule type="expression" dxfId="88" priority="19">
      <formula>F6="Không"</formula>
    </cfRule>
    <cfRule type="expression" dxfId="87" priority="20">
      <formula>F6="Có"</formula>
    </cfRule>
  </conditionalFormatting>
  <conditionalFormatting sqref="P6:Q15">
    <cfRule type="expression" dxfId="86" priority="17">
      <formula>P6="Không"</formula>
    </cfRule>
    <cfRule type="expression" dxfId="85" priority="18">
      <formula>P6="Có"</formula>
    </cfRule>
  </conditionalFormatting>
  <conditionalFormatting sqref="I7:I9 I9:J9">
    <cfRule type="expression" dxfId="84" priority="15">
      <formula>I7="Không"</formula>
    </cfRule>
    <cfRule type="expression" dxfId="83" priority="16">
      <formula>I7="Có"</formula>
    </cfRule>
  </conditionalFormatting>
  <conditionalFormatting sqref="J8">
    <cfRule type="expression" dxfId="82" priority="13">
      <formula>J8="Không"</formula>
    </cfRule>
    <cfRule type="expression" dxfId="81" priority="14">
      <formula>J8="Có"</formula>
    </cfRule>
  </conditionalFormatting>
  <conditionalFormatting sqref="K8:K9">
    <cfRule type="expression" dxfId="80" priority="11">
      <formula>K8="Không"</formula>
    </cfRule>
    <cfRule type="expression" dxfId="79" priority="12">
      <formula>K8="Có"</formula>
    </cfRule>
  </conditionalFormatting>
  <conditionalFormatting sqref="J7:K7">
    <cfRule type="expression" dxfId="78" priority="9">
      <formula>J7="Không"</formula>
    </cfRule>
    <cfRule type="expression" dxfId="77" priority="10">
      <formula>J7="Có"</formula>
    </cfRule>
  </conditionalFormatting>
  <conditionalFormatting sqref="I8">
    <cfRule type="expression" dxfId="76" priority="7">
      <formula>I8="Không"</formula>
    </cfRule>
    <cfRule type="expression" dxfId="75" priority="8">
      <formula>I8="Có"</formula>
    </cfRule>
  </conditionalFormatting>
  <conditionalFormatting sqref="F8">
    <cfRule type="expression" dxfId="74" priority="5">
      <formula>F8="Không"</formula>
    </cfRule>
    <cfRule type="expression" dxfId="73" priority="6">
      <formula>F8="Có"</formula>
    </cfRule>
  </conditionalFormatting>
  <conditionalFormatting sqref="F9">
    <cfRule type="expression" dxfId="72" priority="3">
      <formula>F9="Không"</formula>
    </cfRule>
    <cfRule type="expression" dxfId="71" priority="4">
      <formula>F9="Có"</formula>
    </cfRule>
  </conditionalFormatting>
  <conditionalFormatting sqref="F7">
    <cfRule type="expression" dxfId="70" priority="1">
      <formula>F7="Không"</formula>
    </cfRule>
    <cfRule type="expression" dxfId="69" priority="2">
      <formula>F7="Có"</formula>
    </cfRule>
  </conditionalFormatting>
  <dataValidations count="1">
    <dataValidation type="list" allowBlank="1" showInputMessage="1" showErrorMessage="1" sqref="F6:Q15" xr:uid="{D81D06E8-C3C4-42B0-840B-A0FE8ED56451}">
      <formula1>"Không, Có"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39997558519241921"/>
  </sheetPr>
  <dimension ref="A1:J5658"/>
  <sheetViews>
    <sheetView showGridLines="0" zoomScale="115" zoomScaleNormal="110" workbookViewId="0">
      <pane ySplit="2" topLeftCell="A3" activePane="bottomLeft" state="frozen"/>
      <selection pane="bottomLeft" activeCell="A4" sqref="A4"/>
    </sheetView>
  </sheetViews>
  <sheetFormatPr defaultColWidth="0" defaultRowHeight="14.25" x14ac:dyDescent="0.2"/>
  <cols>
    <col min="1" max="1" width="17.375" customWidth="1"/>
    <col min="2" max="2" width="16.375" style="50" bestFit="1" customWidth="1"/>
    <col min="3" max="3" width="18.25" customWidth="1"/>
    <col min="4" max="4" width="17.75" style="50" bestFit="1" customWidth="1"/>
    <col min="5" max="5" width="9.125" bestFit="1" customWidth="1"/>
    <col min="6" max="6" width="54" bestFit="1" customWidth="1"/>
    <col min="7" max="7" width="17.875" customWidth="1"/>
    <col min="8" max="8" width="55.625" style="56" customWidth="1"/>
    <col min="9" max="9" width="1" customWidth="1"/>
    <col min="10" max="10" width="9.125" hidden="1" customWidth="1"/>
    <col min="11" max="16384" width="9" hidden="1"/>
  </cols>
  <sheetData>
    <row r="1" spans="1:8" ht="29.25" customHeight="1" x14ac:dyDescent="0.2"/>
    <row r="2" spans="1:8" ht="16.5" customHeight="1" x14ac:dyDescent="0.2">
      <c r="A2" s="3" t="s">
        <v>170</v>
      </c>
      <c r="B2" s="49" t="s">
        <v>0</v>
      </c>
      <c r="C2" s="3" t="s">
        <v>1</v>
      </c>
      <c r="D2" s="49" t="s">
        <v>2</v>
      </c>
      <c r="E2" s="3" t="s">
        <v>3</v>
      </c>
      <c r="F2" s="3" t="s">
        <v>4</v>
      </c>
      <c r="G2" s="3" t="s">
        <v>5</v>
      </c>
      <c r="H2" s="57" t="s">
        <v>6</v>
      </c>
    </row>
    <row r="3" spans="1:8" x14ac:dyDescent="0.2">
      <c r="A3" t="s">
        <v>692</v>
      </c>
      <c r="B3" s="50">
        <v>45043.442650462966</v>
      </c>
      <c r="C3" t="s">
        <v>692</v>
      </c>
      <c r="D3" s="50">
        <v>44929.721273148149</v>
      </c>
      <c r="E3" t="s">
        <v>693</v>
      </c>
      <c r="F3" t="s">
        <v>7</v>
      </c>
      <c r="G3" t="s">
        <v>694</v>
      </c>
      <c r="H3" s="74"/>
    </row>
    <row r="4" spans="1:8" x14ac:dyDescent="0.2">
      <c r="A4" t="s">
        <v>695</v>
      </c>
      <c r="B4" s="50">
        <v>44929.383379629631</v>
      </c>
      <c r="C4" t="s">
        <v>695</v>
      </c>
      <c r="D4" s="50">
        <v>44930.696805555555</v>
      </c>
      <c r="E4" t="s">
        <v>693</v>
      </c>
      <c r="F4" t="s">
        <v>7</v>
      </c>
      <c r="G4" t="s">
        <v>696</v>
      </c>
      <c r="H4" t="s">
        <v>8</v>
      </c>
    </row>
    <row r="5" spans="1:8" x14ac:dyDescent="0.2">
      <c r="A5" t="s">
        <v>697</v>
      </c>
      <c r="B5" s="50">
        <v>44929.383425925924</v>
      </c>
      <c r="C5" t="s">
        <v>697</v>
      </c>
      <c r="D5" s="50">
        <v>44931.549386574072</v>
      </c>
      <c r="E5" t="s">
        <v>693</v>
      </c>
      <c r="F5" t="s">
        <v>7</v>
      </c>
      <c r="G5" t="s">
        <v>696</v>
      </c>
      <c r="H5"/>
    </row>
    <row r="6" spans="1:8" x14ac:dyDescent="0.2">
      <c r="A6" t="s">
        <v>698</v>
      </c>
      <c r="B6" s="50">
        <v>44929.383472222224</v>
      </c>
      <c r="C6" t="s">
        <v>698</v>
      </c>
      <c r="D6" s="50">
        <v>44930.618541666663</v>
      </c>
      <c r="E6" t="s">
        <v>693</v>
      </c>
      <c r="F6" t="s">
        <v>7</v>
      </c>
      <c r="G6" t="s">
        <v>694</v>
      </c>
      <c r="H6"/>
    </row>
    <row r="7" spans="1:8" x14ac:dyDescent="0.2">
      <c r="A7" t="s">
        <v>699</v>
      </c>
      <c r="B7" s="50">
        <v>44929.383506944447</v>
      </c>
      <c r="C7" t="s">
        <v>699</v>
      </c>
      <c r="D7" s="50">
        <v>44930.403009259258</v>
      </c>
      <c r="E7" t="s">
        <v>693</v>
      </c>
      <c r="F7" t="s">
        <v>7</v>
      </c>
      <c r="G7" t="s">
        <v>700</v>
      </c>
      <c r="H7"/>
    </row>
    <row r="8" spans="1:8" x14ac:dyDescent="0.2">
      <c r="A8" t="s">
        <v>701</v>
      </c>
      <c r="B8" s="50">
        <v>44929.383553240739</v>
      </c>
      <c r="C8" t="s">
        <v>701</v>
      </c>
      <c r="D8" s="50">
        <v>44930.716631944444</v>
      </c>
      <c r="E8" t="s">
        <v>693</v>
      </c>
      <c r="F8" t="s">
        <v>7</v>
      </c>
      <c r="G8" t="s">
        <v>696</v>
      </c>
      <c r="H8"/>
    </row>
    <row r="9" spans="1:8" x14ac:dyDescent="0.2">
      <c r="A9" t="s">
        <v>702</v>
      </c>
      <c r="B9" s="50">
        <v>44929.383599537039</v>
      </c>
      <c r="C9" t="s">
        <v>702</v>
      </c>
      <c r="D9" s="50">
        <v>44929.723715277774</v>
      </c>
      <c r="E9" t="s">
        <v>693</v>
      </c>
      <c r="F9" t="s">
        <v>703</v>
      </c>
      <c r="G9" t="s">
        <v>704</v>
      </c>
      <c r="H9"/>
    </row>
    <row r="10" spans="1:8" x14ac:dyDescent="0.2">
      <c r="A10" t="s">
        <v>705</v>
      </c>
      <c r="B10" s="50">
        <v>44929.383657407408</v>
      </c>
      <c r="C10" t="s">
        <v>705</v>
      </c>
      <c r="D10" s="50">
        <v>44929.72384259259</v>
      </c>
      <c r="E10" t="s">
        <v>693</v>
      </c>
      <c r="F10" t="s">
        <v>703</v>
      </c>
      <c r="G10" t="s">
        <v>704</v>
      </c>
      <c r="H10"/>
    </row>
    <row r="11" spans="1:8" x14ac:dyDescent="0.2">
      <c r="A11" t="s">
        <v>706</v>
      </c>
      <c r="B11" s="50">
        <v>44929.383692129632</v>
      </c>
      <c r="C11" t="s">
        <v>706</v>
      </c>
      <c r="D11" s="50">
        <v>44929.723935185182</v>
      </c>
      <c r="E11" t="s">
        <v>693</v>
      </c>
      <c r="F11" t="s">
        <v>707</v>
      </c>
      <c r="G11" t="s">
        <v>704</v>
      </c>
      <c r="H11"/>
    </row>
    <row r="12" spans="1:8" x14ac:dyDescent="0.2">
      <c r="A12" t="s">
        <v>708</v>
      </c>
      <c r="B12" s="50">
        <v>44929.383773148147</v>
      </c>
      <c r="C12" t="s">
        <v>708</v>
      </c>
      <c r="D12" s="50">
        <v>44929.689722222225</v>
      </c>
      <c r="E12" t="s">
        <v>693</v>
      </c>
      <c r="F12" t="s">
        <v>709</v>
      </c>
      <c r="G12" t="s">
        <v>704</v>
      </c>
      <c r="H12"/>
    </row>
    <row r="13" spans="1:8" x14ac:dyDescent="0.2">
      <c r="A13" t="s">
        <v>710</v>
      </c>
      <c r="B13" s="50">
        <v>44929.38380787037</v>
      </c>
      <c r="C13" t="s">
        <v>710</v>
      </c>
      <c r="D13" s="50">
        <v>44929.689849537041</v>
      </c>
      <c r="E13" t="s">
        <v>693</v>
      </c>
      <c r="F13" t="s">
        <v>709</v>
      </c>
      <c r="G13" t="s">
        <v>704</v>
      </c>
      <c r="H13"/>
    </row>
    <row r="14" spans="1:8" x14ac:dyDescent="0.2">
      <c r="A14" t="s">
        <v>711</v>
      </c>
      <c r="B14" s="50">
        <v>44929.383831018517</v>
      </c>
      <c r="C14" t="s">
        <v>711</v>
      </c>
      <c r="D14" s="50">
        <v>44929.689930555556</v>
      </c>
      <c r="E14" t="s">
        <v>693</v>
      </c>
      <c r="F14" t="s">
        <v>7</v>
      </c>
      <c r="G14" t="s">
        <v>704</v>
      </c>
      <c r="H14"/>
    </row>
    <row r="15" spans="1:8" x14ac:dyDescent="0.2">
      <c r="A15" t="s">
        <v>712</v>
      </c>
      <c r="B15" s="50">
        <v>44929.383888888886</v>
      </c>
      <c r="C15" t="s">
        <v>712</v>
      </c>
      <c r="D15" s="50">
        <v>44929.711817129632</v>
      </c>
      <c r="E15" t="s">
        <v>693</v>
      </c>
      <c r="F15" t="s">
        <v>709</v>
      </c>
      <c r="G15" t="s">
        <v>704</v>
      </c>
      <c r="H15"/>
    </row>
    <row r="16" spans="1:8" x14ac:dyDescent="0.2">
      <c r="A16" t="s">
        <v>713</v>
      </c>
      <c r="B16" s="50">
        <v>44929.383946759262</v>
      </c>
      <c r="C16" t="s">
        <v>713</v>
      </c>
      <c r="D16" s="50">
        <v>44929.711921296293</v>
      </c>
      <c r="E16" t="s">
        <v>693</v>
      </c>
      <c r="F16" t="s">
        <v>709</v>
      </c>
      <c r="G16" t="s">
        <v>704</v>
      </c>
      <c r="H16"/>
    </row>
    <row r="17" spans="1:8" x14ac:dyDescent="0.2">
      <c r="A17" t="s">
        <v>714</v>
      </c>
      <c r="B17" s="50">
        <v>44929.383981481478</v>
      </c>
      <c r="C17" t="s">
        <v>714</v>
      </c>
      <c r="D17" s="50">
        <v>44929.71199074074</v>
      </c>
      <c r="E17" t="s">
        <v>693</v>
      </c>
      <c r="F17" t="s">
        <v>7</v>
      </c>
      <c r="G17" t="s">
        <v>704</v>
      </c>
      <c r="H17"/>
    </row>
    <row r="18" spans="1:8" x14ac:dyDescent="0.2">
      <c r="A18" t="s">
        <v>715</v>
      </c>
      <c r="B18" s="50">
        <v>44929.384027777778</v>
      </c>
      <c r="C18" t="s">
        <v>715</v>
      </c>
      <c r="D18" s="50">
        <v>44929.698831018519</v>
      </c>
      <c r="E18" t="s">
        <v>693</v>
      </c>
      <c r="F18" t="s">
        <v>707</v>
      </c>
      <c r="G18" t="s">
        <v>716</v>
      </c>
      <c r="H18"/>
    </row>
    <row r="19" spans="1:8" x14ac:dyDescent="0.2">
      <c r="A19" t="s">
        <v>717</v>
      </c>
      <c r="B19" s="50">
        <v>44929.384074074071</v>
      </c>
      <c r="C19" t="s">
        <v>717</v>
      </c>
      <c r="D19" s="50">
        <v>44929.708229166667</v>
      </c>
      <c r="E19" t="s">
        <v>693</v>
      </c>
      <c r="F19" t="s">
        <v>707</v>
      </c>
      <c r="G19" t="s">
        <v>718</v>
      </c>
      <c r="H19"/>
    </row>
    <row r="20" spans="1:8" x14ac:dyDescent="0.2">
      <c r="A20" t="s">
        <v>719</v>
      </c>
      <c r="B20" s="50">
        <v>44929.384097222224</v>
      </c>
      <c r="C20" t="s">
        <v>719</v>
      </c>
      <c r="D20" s="50">
        <v>44929.704768518517</v>
      </c>
      <c r="E20" t="s">
        <v>693</v>
      </c>
      <c r="F20" t="s">
        <v>7</v>
      </c>
      <c r="G20" t="s">
        <v>694</v>
      </c>
      <c r="H20"/>
    </row>
    <row r="21" spans="1:8" x14ac:dyDescent="0.2">
      <c r="A21" t="s">
        <v>720</v>
      </c>
      <c r="B21" s="50">
        <v>44929.384131944447</v>
      </c>
      <c r="C21" t="s">
        <v>720</v>
      </c>
      <c r="D21" s="50">
        <v>44929.700277777774</v>
      </c>
      <c r="E21" t="s">
        <v>693</v>
      </c>
      <c r="F21" t="s">
        <v>7</v>
      </c>
      <c r="G21" t="s">
        <v>694</v>
      </c>
      <c r="H21"/>
    </row>
    <row r="22" spans="1:8" x14ac:dyDescent="0.2">
      <c r="A22" t="s">
        <v>721</v>
      </c>
      <c r="B22" s="50">
        <v>44929.384166666663</v>
      </c>
      <c r="C22" t="s">
        <v>721</v>
      </c>
      <c r="D22" s="50">
        <v>44929.702951388892</v>
      </c>
      <c r="E22" t="s">
        <v>693</v>
      </c>
      <c r="F22" t="s">
        <v>7</v>
      </c>
      <c r="G22" t="s">
        <v>694</v>
      </c>
      <c r="H22"/>
    </row>
    <row r="23" spans="1:8" x14ac:dyDescent="0.2">
      <c r="A23" t="s">
        <v>722</v>
      </c>
      <c r="B23" s="50">
        <v>44929.384201388886</v>
      </c>
      <c r="C23" t="s">
        <v>722</v>
      </c>
      <c r="D23" s="50">
        <v>44929.702233796299</v>
      </c>
      <c r="E23" t="s">
        <v>693</v>
      </c>
      <c r="F23" t="s">
        <v>707</v>
      </c>
      <c r="G23" t="s">
        <v>723</v>
      </c>
      <c r="H23"/>
    </row>
    <row r="24" spans="1:8" x14ac:dyDescent="0.2">
      <c r="A24" t="s">
        <v>724</v>
      </c>
      <c r="B24" s="50">
        <v>44929.550243055557</v>
      </c>
      <c r="C24" t="s">
        <v>724</v>
      </c>
      <c r="D24" s="50">
        <v>44929.553159722222</v>
      </c>
      <c r="E24" t="s">
        <v>725</v>
      </c>
      <c r="F24" t="s">
        <v>707</v>
      </c>
      <c r="G24" t="s">
        <v>726</v>
      </c>
      <c r="H24" t="s">
        <v>727</v>
      </c>
    </row>
    <row r="25" spans="1:8" x14ac:dyDescent="0.2">
      <c r="A25" t="s">
        <v>728</v>
      </c>
      <c r="B25" s="50">
        <v>44929.615011574075</v>
      </c>
      <c r="C25" t="s">
        <v>728</v>
      </c>
      <c r="D25" s="50">
        <v>44929.692928240744</v>
      </c>
      <c r="E25" t="s">
        <v>693</v>
      </c>
      <c r="F25" t="s">
        <v>707</v>
      </c>
      <c r="G25" t="s">
        <v>729</v>
      </c>
      <c r="H25"/>
    </row>
    <row r="26" spans="1:8" x14ac:dyDescent="0.2">
      <c r="A26" t="s">
        <v>730</v>
      </c>
      <c r="B26" s="50">
        <v>44929.615023148152</v>
      </c>
      <c r="C26" t="s">
        <v>730</v>
      </c>
      <c r="D26" s="50">
        <v>44929.693796296298</v>
      </c>
      <c r="E26" t="s">
        <v>693</v>
      </c>
      <c r="F26" t="s">
        <v>707</v>
      </c>
      <c r="G26" t="s">
        <v>731</v>
      </c>
      <c r="H26"/>
    </row>
    <row r="27" spans="1:8" x14ac:dyDescent="0.2">
      <c r="A27" t="s">
        <v>732</v>
      </c>
      <c r="B27" s="50">
        <v>44929.615046296298</v>
      </c>
      <c r="C27" t="s">
        <v>732</v>
      </c>
      <c r="D27" s="50">
        <v>44929.694108796299</v>
      </c>
      <c r="E27" t="s">
        <v>693</v>
      </c>
      <c r="F27" t="s">
        <v>707</v>
      </c>
      <c r="G27" t="s">
        <v>733</v>
      </c>
      <c r="H27" t="s">
        <v>734</v>
      </c>
    </row>
    <row r="28" spans="1:8" x14ac:dyDescent="0.2">
      <c r="A28" t="s">
        <v>735</v>
      </c>
      <c r="B28" s="50">
        <v>44929.615069444444</v>
      </c>
      <c r="C28" t="s">
        <v>735</v>
      </c>
      <c r="D28" s="50">
        <v>44929.696851851855</v>
      </c>
      <c r="E28" t="s">
        <v>693</v>
      </c>
      <c r="F28" t="s">
        <v>7</v>
      </c>
      <c r="G28" t="s">
        <v>736</v>
      </c>
      <c r="H28" t="s">
        <v>737</v>
      </c>
    </row>
    <row r="29" spans="1:8" x14ac:dyDescent="0.2">
      <c r="A29" t="s">
        <v>738</v>
      </c>
      <c r="B29" s="50">
        <v>44929.676724537036</v>
      </c>
      <c r="C29" t="s">
        <v>738</v>
      </c>
      <c r="D29" s="50">
        <v>44929.677291666667</v>
      </c>
      <c r="E29" t="s">
        <v>693</v>
      </c>
      <c r="F29" t="s">
        <v>739</v>
      </c>
      <c r="G29" t="s">
        <v>740</v>
      </c>
      <c r="H29"/>
    </row>
    <row r="30" spans="1:8" x14ac:dyDescent="0.2">
      <c r="A30" t="s">
        <v>741</v>
      </c>
      <c r="B30" s="50">
        <v>44929.676863425928</v>
      </c>
      <c r="C30" t="s">
        <v>741</v>
      </c>
      <c r="D30" s="50">
        <v>44929.677418981482</v>
      </c>
      <c r="E30" t="s">
        <v>693</v>
      </c>
      <c r="F30" t="s">
        <v>7</v>
      </c>
      <c r="G30" t="s">
        <v>740</v>
      </c>
      <c r="H30"/>
    </row>
    <row r="31" spans="1:8" x14ac:dyDescent="0.2">
      <c r="A31" t="s">
        <v>742</v>
      </c>
      <c r="B31" s="50">
        <v>44929.712557870371</v>
      </c>
      <c r="C31" t="s">
        <v>742</v>
      </c>
      <c r="D31" s="50">
        <v>44932.39329861111</v>
      </c>
      <c r="E31" t="s">
        <v>693</v>
      </c>
      <c r="F31" t="s">
        <v>709</v>
      </c>
      <c r="G31" t="s">
        <v>694</v>
      </c>
      <c r="H31"/>
    </row>
    <row r="32" spans="1:8" x14ac:dyDescent="0.2">
      <c r="A32" t="s">
        <v>743</v>
      </c>
      <c r="B32" s="50">
        <v>44929.712581018517</v>
      </c>
      <c r="C32" t="s">
        <v>743</v>
      </c>
      <c r="D32" s="50">
        <v>44930.670057870368</v>
      </c>
      <c r="E32" t="s">
        <v>693</v>
      </c>
      <c r="F32" t="s">
        <v>707</v>
      </c>
      <c r="G32" t="s">
        <v>694</v>
      </c>
      <c r="H32"/>
    </row>
    <row r="33" spans="1:8" x14ac:dyDescent="0.2">
      <c r="A33" t="s">
        <v>744</v>
      </c>
      <c r="B33" s="50">
        <v>44929.712627314817</v>
      </c>
      <c r="C33" t="s">
        <v>744</v>
      </c>
      <c r="D33" s="50">
        <v>44930.657557870371</v>
      </c>
      <c r="E33" t="s">
        <v>693</v>
      </c>
      <c r="F33" t="s">
        <v>707</v>
      </c>
      <c r="G33" t="s">
        <v>694</v>
      </c>
      <c r="H33"/>
    </row>
    <row r="34" spans="1:8" x14ac:dyDescent="0.2">
      <c r="A34" t="s">
        <v>745</v>
      </c>
      <c r="B34" s="50">
        <v>44929.712673611109</v>
      </c>
      <c r="C34" t="s">
        <v>745</v>
      </c>
      <c r="D34" s="50">
        <v>44929.729525462964</v>
      </c>
      <c r="E34" t="s">
        <v>693</v>
      </c>
      <c r="F34" t="s">
        <v>707</v>
      </c>
      <c r="G34" t="s">
        <v>746</v>
      </c>
      <c r="H34"/>
    </row>
    <row r="35" spans="1:8" x14ac:dyDescent="0.2">
      <c r="A35" t="s">
        <v>747</v>
      </c>
      <c r="B35" s="50">
        <v>44929.712719907409</v>
      </c>
      <c r="C35" t="s">
        <v>747</v>
      </c>
      <c r="D35" s="50">
        <v>44929.72760416667</v>
      </c>
      <c r="E35" t="s">
        <v>693</v>
      </c>
      <c r="F35" t="s">
        <v>707</v>
      </c>
      <c r="G35" t="s">
        <v>729</v>
      </c>
      <c r="H35"/>
    </row>
    <row r="36" spans="1:8" x14ac:dyDescent="0.2">
      <c r="A36" t="s">
        <v>748</v>
      </c>
      <c r="B36" s="50">
        <v>44929.712754629632</v>
      </c>
      <c r="C36" t="s">
        <v>748</v>
      </c>
      <c r="D36" s="50">
        <v>44929.726423611108</v>
      </c>
      <c r="E36" t="s">
        <v>693</v>
      </c>
      <c r="F36" t="s">
        <v>707</v>
      </c>
      <c r="G36" t="s">
        <v>749</v>
      </c>
      <c r="H36"/>
    </row>
    <row r="37" spans="1:8" x14ac:dyDescent="0.2">
      <c r="A37" t="s">
        <v>750</v>
      </c>
      <c r="B37" s="50">
        <v>44929.712800925925</v>
      </c>
      <c r="C37" t="s">
        <v>750</v>
      </c>
      <c r="D37" s="50">
        <v>44929.725092592591</v>
      </c>
      <c r="E37" t="s">
        <v>693</v>
      </c>
      <c r="F37" t="s">
        <v>707</v>
      </c>
      <c r="G37" t="s">
        <v>716</v>
      </c>
      <c r="H37"/>
    </row>
    <row r="38" spans="1:8" x14ac:dyDescent="0.2">
      <c r="A38" t="s">
        <v>751</v>
      </c>
      <c r="B38" s="50">
        <v>44929.718344907407</v>
      </c>
      <c r="C38" t="s">
        <v>751</v>
      </c>
      <c r="D38" s="50">
        <v>44929.718368055554</v>
      </c>
      <c r="E38" t="s">
        <v>693</v>
      </c>
      <c r="F38" t="s">
        <v>752</v>
      </c>
      <c r="G38" t="s">
        <v>694</v>
      </c>
      <c r="H38" t="s">
        <v>737</v>
      </c>
    </row>
    <row r="39" spans="1:8" x14ac:dyDescent="0.2">
      <c r="A39" t="s">
        <v>753</v>
      </c>
      <c r="B39" s="50">
        <v>44929.713055555556</v>
      </c>
      <c r="C39" t="s">
        <v>753</v>
      </c>
      <c r="D39" s="50">
        <v>44929.72011574074</v>
      </c>
      <c r="E39" t="s">
        <v>693</v>
      </c>
      <c r="F39" t="s">
        <v>707</v>
      </c>
      <c r="G39" t="s">
        <v>754</v>
      </c>
      <c r="H39"/>
    </row>
    <row r="40" spans="1:8" x14ac:dyDescent="0.2">
      <c r="A40" t="s">
        <v>755</v>
      </c>
      <c r="B40" s="50">
        <v>44930.380486111113</v>
      </c>
      <c r="C40" t="s">
        <v>755</v>
      </c>
      <c r="D40" s="50">
        <v>45056.421655092592</v>
      </c>
      <c r="E40" t="s">
        <v>755</v>
      </c>
      <c r="F40" t="s">
        <v>755</v>
      </c>
      <c r="G40" t="s">
        <v>755</v>
      </c>
      <c r="H40"/>
    </row>
    <row r="41" spans="1:8" x14ac:dyDescent="0.2">
      <c r="A41" t="s">
        <v>756</v>
      </c>
      <c r="B41" s="50">
        <v>44930.380543981482</v>
      </c>
      <c r="C41" t="s">
        <v>756</v>
      </c>
      <c r="D41" s="50">
        <v>44930.38894675926</v>
      </c>
      <c r="E41" t="s">
        <v>693</v>
      </c>
      <c r="F41" t="s">
        <v>7</v>
      </c>
      <c r="G41" t="s">
        <v>757</v>
      </c>
      <c r="H41" t="s">
        <v>8</v>
      </c>
    </row>
    <row r="42" spans="1:8" x14ac:dyDescent="0.2">
      <c r="A42" t="s">
        <v>758</v>
      </c>
      <c r="B42" s="50">
        <v>44930.380601851852</v>
      </c>
      <c r="C42" t="s">
        <v>758</v>
      </c>
      <c r="D42" s="50">
        <v>44931.483067129629</v>
      </c>
      <c r="E42" t="s">
        <v>693</v>
      </c>
      <c r="F42" t="s">
        <v>707</v>
      </c>
      <c r="G42" t="s">
        <v>694</v>
      </c>
      <c r="H42" t="s">
        <v>759</v>
      </c>
    </row>
    <row r="43" spans="1:8" x14ac:dyDescent="0.2">
      <c r="A43" t="s">
        <v>760</v>
      </c>
      <c r="B43" s="50">
        <v>44930.380636574075</v>
      </c>
      <c r="C43" t="s">
        <v>760</v>
      </c>
      <c r="D43" s="50">
        <v>44930.605173611111</v>
      </c>
      <c r="E43" t="s">
        <v>693</v>
      </c>
      <c r="F43" t="s">
        <v>709</v>
      </c>
      <c r="G43" t="s">
        <v>700</v>
      </c>
      <c r="H43"/>
    </row>
    <row r="44" spans="1:8" x14ac:dyDescent="0.2">
      <c r="A44" t="s">
        <v>761</v>
      </c>
      <c r="B44" s="50">
        <v>44930.380671296298</v>
      </c>
      <c r="C44" t="s">
        <v>761</v>
      </c>
      <c r="D44" s="50">
        <v>44930.387812499997</v>
      </c>
      <c r="E44" t="s">
        <v>693</v>
      </c>
      <c r="F44" t="s">
        <v>7</v>
      </c>
      <c r="G44" t="s">
        <v>757</v>
      </c>
      <c r="H44"/>
    </row>
    <row r="45" spans="1:8" x14ac:dyDescent="0.2">
      <c r="A45" t="s">
        <v>762</v>
      </c>
      <c r="B45" s="50">
        <v>44930.380706018521</v>
      </c>
      <c r="C45" t="s">
        <v>762</v>
      </c>
      <c r="D45" s="50">
        <v>44930.38685185185</v>
      </c>
      <c r="E45" t="s">
        <v>693</v>
      </c>
      <c r="F45" t="s">
        <v>7</v>
      </c>
      <c r="G45" t="s">
        <v>757</v>
      </c>
      <c r="H45"/>
    </row>
    <row r="46" spans="1:8" x14ac:dyDescent="0.2">
      <c r="A46" t="s">
        <v>763</v>
      </c>
      <c r="B46" s="50">
        <v>44930.380752314813</v>
      </c>
      <c r="C46" t="s">
        <v>763</v>
      </c>
      <c r="D46" s="50">
        <v>44930.385451388887</v>
      </c>
      <c r="E46" t="s">
        <v>693</v>
      </c>
      <c r="F46" t="s">
        <v>707</v>
      </c>
      <c r="G46" t="s">
        <v>718</v>
      </c>
      <c r="H46"/>
    </row>
    <row r="47" spans="1:8" x14ac:dyDescent="0.2">
      <c r="A47" t="s">
        <v>764</v>
      </c>
      <c r="B47" s="50">
        <v>44930.38077546296</v>
      </c>
      <c r="C47" t="s">
        <v>764</v>
      </c>
      <c r="D47" s="50">
        <v>45056.422789351855</v>
      </c>
      <c r="E47" t="s">
        <v>764</v>
      </c>
      <c r="F47" t="s">
        <v>764</v>
      </c>
      <c r="G47" t="s">
        <v>764</v>
      </c>
      <c r="H47" t="s">
        <v>764</v>
      </c>
    </row>
    <row r="48" spans="1:8" x14ac:dyDescent="0.2">
      <c r="A48" t="s">
        <v>765</v>
      </c>
      <c r="B48" s="50">
        <v>44930.390729166669</v>
      </c>
      <c r="C48" t="s">
        <v>765</v>
      </c>
      <c r="D48" s="50">
        <v>44930.390787037039</v>
      </c>
      <c r="E48" t="s">
        <v>725</v>
      </c>
      <c r="F48" t="s">
        <v>707</v>
      </c>
      <c r="G48" t="s">
        <v>766</v>
      </c>
      <c r="H48" t="s">
        <v>767</v>
      </c>
    </row>
    <row r="49" spans="1:8" x14ac:dyDescent="0.2">
      <c r="A49" t="s">
        <v>768</v>
      </c>
      <c r="B49" s="50">
        <v>44930.537488425929</v>
      </c>
      <c r="C49" t="s">
        <v>768</v>
      </c>
      <c r="D49" s="50">
        <v>44930.607175925928</v>
      </c>
      <c r="E49" t="s">
        <v>693</v>
      </c>
      <c r="F49" t="s">
        <v>707</v>
      </c>
      <c r="G49" t="s">
        <v>769</v>
      </c>
      <c r="H49"/>
    </row>
    <row r="50" spans="1:8" x14ac:dyDescent="0.2">
      <c r="A50" t="s">
        <v>770</v>
      </c>
      <c r="B50" s="50">
        <v>44930.537662037037</v>
      </c>
      <c r="C50" t="s">
        <v>770</v>
      </c>
      <c r="D50" s="50">
        <v>44930.608900462961</v>
      </c>
      <c r="E50" t="s">
        <v>693</v>
      </c>
      <c r="F50" t="s">
        <v>739</v>
      </c>
      <c r="G50" t="s">
        <v>771</v>
      </c>
      <c r="H50"/>
    </row>
    <row r="51" spans="1:8" x14ac:dyDescent="0.2">
      <c r="A51" t="s">
        <v>772</v>
      </c>
      <c r="B51" s="50">
        <v>44930.53769675926</v>
      </c>
      <c r="C51" t="s">
        <v>772</v>
      </c>
      <c r="D51" s="50">
        <v>44930.608993055554</v>
      </c>
      <c r="E51" t="s">
        <v>693</v>
      </c>
      <c r="F51" t="s">
        <v>7</v>
      </c>
      <c r="G51" t="s">
        <v>771</v>
      </c>
      <c r="H51"/>
    </row>
    <row r="52" spans="1:8" x14ac:dyDescent="0.2">
      <c r="A52" t="s">
        <v>773</v>
      </c>
      <c r="B52" s="50">
        <v>44930.537789351853</v>
      </c>
      <c r="C52" t="s">
        <v>773</v>
      </c>
      <c r="D52" s="50">
        <v>44930.657743055555</v>
      </c>
      <c r="E52" t="s">
        <v>693</v>
      </c>
      <c r="F52" t="s">
        <v>707</v>
      </c>
      <c r="G52" t="s">
        <v>694</v>
      </c>
      <c r="H52" t="s">
        <v>759</v>
      </c>
    </row>
    <row r="53" spans="1:8" x14ac:dyDescent="0.2">
      <c r="A53" t="s">
        <v>774</v>
      </c>
      <c r="B53" s="50">
        <v>44930.537847222222</v>
      </c>
      <c r="C53" t="s">
        <v>774</v>
      </c>
      <c r="D53" s="50">
        <v>44930.605266203704</v>
      </c>
      <c r="E53" t="s">
        <v>693</v>
      </c>
      <c r="F53" t="s">
        <v>7</v>
      </c>
      <c r="G53" t="s">
        <v>700</v>
      </c>
      <c r="H53"/>
    </row>
    <row r="54" spans="1:8" x14ac:dyDescent="0.2">
      <c r="A54" t="s">
        <v>775</v>
      </c>
      <c r="B54" s="50">
        <v>44930.537881944445</v>
      </c>
      <c r="C54" t="s">
        <v>775</v>
      </c>
      <c r="D54" s="50">
        <v>44930.624490740738</v>
      </c>
      <c r="E54" t="s">
        <v>693</v>
      </c>
      <c r="F54" t="s">
        <v>7</v>
      </c>
      <c r="G54" t="s">
        <v>694</v>
      </c>
      <c r="H54"/>
    </row>
    <row r="55" spans="1:8" x14ac:dyDescent="0.2">
      <c r="A55" t="s">
        <v>776</v>
      </c>
      <c r="B55" s="50">
        <v>44930.537916666668</v>
      </c>
      <c r="C55" t="s">
        <v>776</v>
      </c>
      <c r="D55" s="50">
        <v>44931.700509259259</v>
      </c>
      <c r="E55" t="s">
        <v>693</v>
      </c>
      <c r="F55" t="s">
        <v>7</v>
      </c>
      <c r="G55" t="s">
        <v>694</v>
      </c>
      <c r="H55"/>
    </row>
    <row r="56" spans="1:8" x14ac:dyDescent="0.2">
      <c r="A56" t="s">
        <v>777</v>
      </c>
      <c r="B56" s="50">
        <v>44930.537962962961</v>
      </c>
      <c r="C56" t="s">
        <v>777</v>
      </c>
      <c r="D56" s="50">
        <v>44930.613229166665</v>
      </c>
      <c r="E56" t="s">
        <v>693</v>
      </c>
      <c r="F56" t="s">
        <v>725</v>
      </c>
      <c r="G56" t="s">
        <v>766</v>
      </c>
      <c r="H56" t="s">
        <v>778</v>
      </c>
    </row>
    <row r="57" spans="1:8" x14ac:dyDescent="0.2">
      <c r="A57">
        <v>96223600154</v>
      </c>
      <c r="B57" s="50">
        <v>44930.538124999999</v>
      </c>
      <c r="C57">
        <v>96223600154</v>
      </c>
      <c r="D57" s="50">
        <v>44930.538148148145</v>
      </c>
      <c r="E57" t="s">
        <v>693</v>
      </c>
      <c r="F57" t="s">
        <v>779</v>
      </c>
      <c r="G57" t="s">
        <v>771</v>
      </c>
      <c r="H57" t="s">
        <v>780</v>
      </c>
    </row>
    <row r="58" spans="1:8" x14ac:dyDescent="0.2">
      <c r="A58" t="s">
        <v>781</v>
      </c>
      <c r="B58" s="50">
        <v>44930.5937962963</v>
      </c>
      <c r="C58" t="s">
        <v>781</v>
      </c>
      <c r="D58" s="50">
        <v>44930.607997685183</v>
      </c>
      <c r="E58" t="s">
        <v>693</v>
      </c>
      <c r="F58" t="s">
        <v>707</v>
      </c>
      <c r="G58" t="s">
        <v>731</v>
      </c>
      <c r="H58"/>
    </row>
    <row r="59" spans="1:8" x14ac:dyDescent="0.2">
      <c r="A59" t="s">
        <v>782</v>
      </c>
      <c r="B59" s="50">
        <v>44930.593865740739</v>
      </c>
      <c r="C59" t="s">
        <v>782</v>
      </c>
      <c r="D59" s="50">
        <v>44930.595011574071</v>
      </c>
      <c r="E59" t="s">
        <v>693</v>
      </c>
      <c r="F59" t="s">
        <v>7</v>
      </c>
      <c r="G59" t="s">
        <v>723</v>
      </c>
      <c r="H59"/>
    </row>
    <row r="60" spans="1:8" x14ac:dyDescent="0.2">
      <c r="A60" t="s">
        <v>777</v>
      </c>
      <c r="B60" s="50">
        <v>44930.645775462966</v>
      </c>
      <c r="C60" t="s">
        <v>777</v>
      </c>
      <c r="D60" s="50">
        <v>44930.645798611113</v>
      </c>
      <c r="E60" t="s">
        <v>725</v>
      </c>
      <c r="F60" t="s">
        <v>783</v>
      </c>
      <c r="G60" t="s">
        <v>766</v>
      </c>
      <c r="H60"/>
    </row>
    <row r="61" spans="1:8" x14ac:dyDescent="0.2">
      <c r="A61" t="s">
        <v>784</v>
      </c>
      <c r="B61" s="50">
        <v>44930.717858796299</v>
      </c>
      <c r="C61" t="s">
        <v>784</v>
      </c>
      <c r="D61" s="50">
        <v>44931.373206018521</v>
      </c>
      <c r="E61" t="s">
        <v>693</v>
      </c>
      <c r="F61" t="s">
        <v>707</v>
      </c>
      <c r="G61" t="s">
        <v>731</v>
      </c>
      <c r="H61"/>
    </row>
    <row r="62" spans="1:8" x14ac:dyDescent="0.2">
      <c r="A62" t="s">
        <v>785</v>
      </c>
      <c r="B62" s="50">
        <v>44930.717893518522</v>
      </c>
      <c r="C62" t="s">
        <v>785</v>
      </c>
      <c r="D62" s="50">
        <v>44931.372303240743</v>
      </c>
      <c r="E62" t="s">
        <v>693</v>
      </c>
      <c r="F62" t="s">
        <v>707</v>
      </c>
      <c r="G62" t="s">
        <v>718</v>
      </c>
      <c r="H62"/>
    </row>
    <row r="63" spans="1:8" x14ac:dyDescent="0.2">
      <c r="A63" t="s">
        <v>786</v>
      </c>
      <c r="B63" s="50">
        <v>44930.717916666668</v>
      </c>
      <c r="C63" t="s">
        <v>786</v>
      </c>
      <c r="D63" s="50">
        <v>44931.371620370373</v>
      </c>
      <c r="E63" t="s">
        <v>693</v>
      </c>
      <c r="F63" t="s">
        <v>7</v>
      </c>
      <c r="G63" t="s">
        <v>694</v>
      </c>
      <c r="H63"/>
    </row>
    <row r="64" spans="1:8" x14ac:dyDescent="0.2">
      <c r="A64" t="s">
        <v>787</v>
      </c>
      <c r="B64" s="50">
        <v>44930.717939814815</v>
      </c>
      <c r="C64" t="s">
        <v>787</v>
      </c>
      <c r="D64" s="50">
        <v>44931.370381944442</v>
      </c>
      <c r="E64" t="s">
        <v>693</v>
      </c>
      <c r="F64" t="s">
        <v>7</v>
      </c>
      <c r="G64" t="s">
        <v>694</v>
      </c>
      <c r="H64"/>
    </row>
    <row r="65" spans="1:8" x14ac:dyDescent="0.2">
      <c r="A65" t="s">
        <v>788</v>
      </c>
      <c r="B65" s="50">
        <v>44930.717962962961</v>
      </c>
      <c r="C65" t="s">
        <v>788</v>
      </c>
      <c r="D65" s="50">
        <v>44931.36928240741</v>
      </c>
      <c r="E65" t="s">
        <v>693</v>
      </c>
      <c r="F65" t="s">
        <v>707</v>
      </c>
      <c r="G65" t="s">
        <v>716</v>
      </c>
      <c r="H65"/>
    </row>
    <row r="66" spans="1:8" x14ac:dyDescent="0.2">
      <c r="A66" t="s">
        <v>789</v>
      </c>
      <c r="B66" s="50">
        <v>44930.71802083333</v>
      </c>
      <c r="C66" t="s">
        <v>789</v>
      </c>
      <c r="D66" s="50">
        <v>44931.368402777778</v>
      </c>
      <c r="E66" t="s">
        <v>693</v>
      </c>
      <c r="F66" t="s">
        <v>707</v>
      </c>
      <c r="G66" t="s">
        <v>790</v>
      </c>
      <c r="H66"/>
    </row>
    <row r="67" spans="1:8" x14ac:dyDescent="0.2">
      <c r="A67" t="s">
        <v>791</v>
      </c>
      <c r="B67" s="50">
        <v>44930.718298611115</v>
      </c>
      <c r="C67" t="s">
        <v>791</v>
      </c>
      <c r="D67" s="50">
        <v>44932.369097222225</v>
      </c>
      <c r="E67" t="s">
        <v>693</v>
      </c>
      <c r="F67" t="s">
        <v>792</v>
      </c>
      <c r="G67" t="s">
        <v>793</v>
      </c>
      <c r="H67"/>
    </row>
    <row r="68" spans="1:8" x14ac:dyDescent="0.2">
      <c r="A68" t="s">
        <v>794</v>
      </c>
      <c r="B68" s="50">
        <v>44930.718657407408</v>
      </c>
      <c r="C68" t="s">
        <v>794</v>
      </c>
      <c r="D68" s="50">
        <v>44932.461585648147</v>
      </c>
      <c r="E68" t="s">
        <v>693</v>
      </c>
      <c r="F68" t="s">
        <v>707</v>
      </c>
      <c r="G68" t="s">
        <v>795</v>
      </c>
      <c r="H68"/>
    </row>
    <row r="69" spans="1:8" x14ac:dyDescent="0.2">
      <c r="A69" t="s">
        <v>796</v>
      </c>
      <c r="B69" s="50">
        <v>44930.718715277777</v>
      </c>
      <c r="C69" t="s">
        <v>796</v>
      </c>
      <c r="D69" s="50">
        <v>44932.393368055556</v>
      </c>
      <c r="E69" t="s">
        <v>693</v>
      </c>
      <c r="F69" t="s">
        <v>7</v>
      </c>
      <c r="G69" t="s">
        <v>694</v>
      </c>
      <c r="H69"/>
    </row>
    <row r="70" spans="1:8" x14ac:dyDescent="0.2">
      <c r="A70" t="s">
        <v>797</v>
      </c>
      <c r="B70" s="50">
        <v>44930.718738425923</v>
      </c>
      <c r="C70" t="s">
        <v>797</v>
      </c>
      <c r="D70" s="50">
        <v>44932.396886574075</v>
      </c>
      <c r="E70" t="s">
        <v>693</v>
      </c>
      <c r="F70" t="s">
        <v>707</v>
      </c>
      <c r="G70" t="s">
        <v>694</v>
      </c>
      <c r="H70"/>
    </row>
    <row r="71" spans="1:8" x14ac:dyDescent="0.2">
      <c r="A71" t="s">
        <v>798</v>
      </c>
      <c r="B71" s="50">
        <v>44930.718784722223</v>
      </c>
      <c r="C71" t="s">
        <v>798</v>
      </c>
      <c r="D71" s="50">
        <v>44932.441886574074</v>
      </c>
      <c r="E71" t="s">
        <v>693</v>
      </c>
      <c r="F71" t="s">
        <v>739</v>
      </c>
      <c r="G71" t="s">
        <v>694</v>
      </c>
      <c r="H71"/>
    </row>
    <row r="72" spans="1:8" x14ac:dyDescent="0.2">
      <c r="A72" t="s">
        <v>799</v>
      </c>
      <c r="B72" s="50">
        <v>44930.718854166669</v>
      </c>
      <c r="C72" t="s">
        <v>799</v>
      </c>
      <c r="D72" s="50">
        <v>44931.672083333331</v>
      </c>
      <c r="E72" t="s">
        <v>693</v>
      </c>
      <c r="F72" t="s">
        <v>7</v>
      </c>
      <c r="G72" t="s">
        <v>694</v>
      </c>
      <c r="H72" t="s">
        <v>759</v>
      </c>
    </row>
    <row r="73" spans="1:8" x14ac:dyDescent="0.2">
      <c r="A73" t="s">
        <v>800</v>
      </c>
      <c r="B73" s="50">
        <v>44930.718888888892</v>
      </c>
      <c r="C73" t="s">
        <v>800</v>
      </c>
      <c r="D73" s="50">
        <v>44932.393495370372</v>
      </c>
      <c r="E73" t="s">
        <v>693</v>
      </c>
      <c r="F73" t="s">
        <v>709</v>
      </c>
      <c r="G73" t="s">
        <v>694</v>
      </c>
      <c r="H73"/>
    </row>
    <row r="74" spans="1:8" x14ac:dyDescent="0.2">
      <c r="A74" t="s">
        <v>801</v>
      </c>
      <c r="B74" s="50">
        <v>44930.718923611108</v>
      </c>
      <c r="C74" t="s">
        <v>801</v>
      </c>
      <c r="D74" s="50">
        <v>44932.393587962964</v>
      </c>
      <c r="E74" t="s">
        <v>693</v>
      </c>
      <c r="F74" t="s">
        <v>707</v>
      </c>
      <c r="G74" t="s">
        <v>694</v>
      </c>
      <c r="H74"/>
    </row>
    <row r="75" spans="1:8" x14ac:dyDescent="0.2">
      <c r="A75" t="s">
        <v>802</v>
      </c>
      <c r="B75" s="50">
        <v>44930.718958333331</v>
      </c>
      <c r="C75" t="s">
        <v>802</v>
      </c>
      <c r="D75" s="50">
        <v>44930.724178240744</v>
      </c>
      <c r="E75" t="s">
        <v>693</v>
      </c>
      <c r="F75" t="s">
        <v>7</v>
      </c>
      <c r="G75" t="s">
        <v>696</v>
      </c>
      <c r="H75" t="s">
        <v>737</v>
      </c>
    </row>
    <row r="76" spans="1:8" x14ac:dyDescent="0.2">
      <c r="A76" t="s">
        <v>803</v>
      </c>
      <c r="B76" s="50">
        <v>44931.412615740737</v>
      </c>
      <c r="C76" t="s">
        <v>803</v>
      </c>
      <c r="D76" s="50">
        <v>44935.410960648151</v>
      </c>
      <c r="E76" t="s">
        <v>693</v>
      </c>
      <c r="F76" t="s">
        <v>7</v>
      </c>
      <c r="G76" t="s">
        <v>804</v>
      </c>
      <c r="H76"/>
    </row>
    <row r="77" spans="1:8" x14ac:dyDescent="0.2">
      <c r="A77" t="s">
        <v>805</v>
      </c>
      <c r="B77" s="50">
        <v>44931.411979166667</v>
      </c>
      <c r="C77" t="s">
        <v>805</v>
      </c>
      <c r="D77" s="50">
        <v>44931.676840277774</v>
      </c>
      <c r="E77" t="s">
        <v>693</v>
      </c>
      <c r="F77" t="s">
        <v>7</v>
      </c>
      <c r="G77" t="s">
        <v>696</v>
      </c>
      <c r="H77"/>
    </row>
    <row r="78" spans="1:8" x14ac:dyDescent="0.2">
      <c r="A78" t="s">
        <v>806</v>
      </c>
      <c r="B78" s="50">
        <v>44931.41201388889</v>
      </c>
      <c r="C78" t="s">
        <v>806</v>
      </c>
      <c r="D78" s="50">
        <v>44935.593587962961</v>
      </c>
      <c r="E78" t="s">
        <v>693</v>
      </c>
      <c r="F78" t="s">
        <v>739</v>
      </c>
      <c r="G78" t="s">
        <v>807</v>
      </c>
      <c r="H78"/>
    </row>
    <row r="79" spans="1:8" x14ac:dyDescent="0.2">
      <c r="A79" t="s">
        <v>808</v>
      </c>
      <c r="B79" s="50">
        <v>44931.412060185183</v>
      </c>
      <c r="C79" t="s">
        <v>808</v>
      </c>
      <c r="D79" s="50">
        <v>44932.593587962961</v>
      </c>
      <c r="E79" t="s">
        <v>693</v>
      </c>
      <c r="F79" t="s">
        <v>739</v>
      </c>
      <c r="G79" t="s">
        <v>694</v>
      </c>
      <c r="H79"/>
    </row>
    <row r="80" spans="1:8" x14ac:dyDescent="0.2">
      <c r="A80" t="s">
        <v>809</v>
      </c>
      <c r="B80" s="50">
        <v>44931.412094907406</v>
      </c>
      <c r="C80" t="s">
        <v>809</v>
      </c>
      <c r="D80" s="50">
        <v>44932.512754629628</v>
      </c>
      <c r="E80" t="s">
        <v>693</v>
      </c>
      <c r="F80" t="s">
        <v>739</v>
      </c>
      <c r="G80" t="s">
        <v>694</v>
      </c>
      <c r="H80"/>
    </row>
    <row r="81" spans="1:8" x14ac:dyDescent="0.2">
      <c r="A81" t="s">
        <v>810</v>
      </c>
      <c r="B81" s="50">
        <v>44931.412152777775</v>
      </c>
      <c r="C81" t="s">
        <v>810</v>
      </c>
      <c r="D81" s="50">
        <v>44931.616087962961</v>
      </c>
      <c r="E81" t="s">
        <v>693</v>
      </c>
      <c r="F81" t="s">
        <v>707</v>
      </c>
      <c r="G81" t="s">
        <v>716</v>
      </c>
      <c r="H81" t="s">
        <v>734</v>
      </c>
    </row>
    <row r="82" spans="1:8" x14ac:dyDescent="0.2">
      <c r="A82" t="s">
        <v>811</v>
      </c>
      <c r="B82" s="50">
        <v>44931.412187499998</v>
      </c>
      <c r="C82" t="s">
        <v>811</v>
      </c>
      <c r="D82" s="50">
        <v>44931.609097222223</v>
      </c>
      <c r="E82" t="s">
        <v>693</v>
      </c>
      <c r="F82" t="s">
        <v>739</v>
      </c>
      <c r="G82" t="s">
        <v>716</v>
      </c>
      <c r="H82"/>
    </row>
    <row r="83" spans="1:8" x14ac:dyDescent="0.2">
      <c r="A83" t="s">
        <v>812</v>
      </c>
      <c r="B83" s="50">
        <v>44931.412245370368</v>
      </c>
      <c r="C83" t="s">
        <v>812</v>
      </c>
      <c r="D83" s="50">
        <v>44931.615729166668</v>
      </c>
      <c r="E83" t="s">
        <v>693</v>
      </c>
      <c r="F83" t="s">
        <v>707</v>
      </c>
      <c r="G83" t="s">
        <v>754</v>
      </c>
      <c r="H83"/>
    </row>
    <row r="84" spans="1:8" x14ac:dyDescent="0.2">
      <c r="A84" t="s">
        <v>813</v>
      </c>
      <c r="B84" s="50">
        <v>44931.412268518521</v>
      </c>
      <c r="C84" t="s">
        <v>813</v>
      </c>
      <c r="D84" s="50">
        <v>44931.609178240738</v>
      </c>
      <c r="E84" t="s">
        <v>693</v>
      </c>
      <c r="F84" t="s">
        <v>7</v>
      </c>
      <c r="G84" t="s">
        <v>716</v>
      </c>
      <c r="H84"/>
    </row>
    <row r="85" spans="1:8" x14ac:dyDescent="0.2">
      <c r="A85" t="s">
        <v>814</v>
      </c>
      <c r="B85" s="50">
        <v>44931.412303240744</v>
      </c>
      <c r="C85" t="s">
        <v>814</v>
      </c>
      <c r="D85" s="50">
        <v>44931.614305555559</v>
      </c>
      <c r="E85" t="s">
        <v>693</v>
      </c>
      <c r="F85" t="s">
        <v>707</v>
      </c>
      <c r="G85" t="s">
        <v>733</v>
      </c>
      <c r="H85"/>
    </row>
    <row r="86" spans="1:8" x14ac:dyDescent="0.2">
      <c r="A86" t="s">
        <v>815</v>
      </c>
      <c r="B86" s="50">
        <v>44931.412326388891</v>
      </c>
      <c r="C86" t="s">
        <v>815</v>
      </c>
      <c r="D86" s="50">
        <v>44931.613368055558</v>
      </c>
      <c r="E86" t="s">
        <v>693</v>
      </c>
      <c r="F86" t="s">
        <v>707</v>
      </c>
      <c r="G86" t="s">
        <v>718</v>
      </c>
      <c r="H86"/>
    </row>
    <row r="87" spans="1:8" x14ac:dyDescent="0.2">
      <c r="A87" t="s">
        <v>816</v>
      </c>
      <c r="B87" s="50">
        <v>44931.412361111114</v>
      </c>
      <c r="C87" t="s">
        <v>816</v>
      </c>
      <c r="D87" s="50">
        <v>44931.612523148149</v>
      </c>
      <c r="E87" t="s">
        <v>693</v>
      </c>
      <c r="F87" t="s">
        <v>709</v>
      </c>
      <c r="G87" t="s">
        <v>718</v>
      </c>
      <c r="H87"/>
    </row>
    <row r="88" spans="1:8" x14ac:dyDescent="0.2">
      <c r="A88" t="s">
        <v>817</v>
      </c>
      <c r="B88" s="50">
        <v>44931.41238425926</v>
      </c>
      <c r="C88" t="s">
        <v>817</v>
      </c>
      <c r="D88" s="50">
        <v>44931.610902777778</v>
      </c>
      <c r="E88" t="s">
        <v>693</v>
      </c>
      <c r="F88" t="s">
        <v>707</v>
      </c>
      <c r="G88" t="s">
        <v>718</v>
      </c>
      <c r="H88"/>
    </row>
    <row r="89" spans="1:8" x14ac:dyDescent="0.2">
      <c r="A89" t="s">
        <v>818</v>
      </c>
      <c r="B89" s="50">
        <v>44931.558159722219</v>
      </c>
      <c r="C89" t="s">
        <v>818</v>
      </c>
      <c r="D89" s="50">
        <v>44931.612604166665</v>
      </c>
      <c r="E89" t="s">
        <v>693</v>
      </c>
      <c r="F89" t="s">
        <v>707</v>
      </c>
      <c r="G89" t="s">
        <v>718</v>
      </c>
      <c r="H89"/>
    </row>
    <row r="90" spans="1:8" x14ac:dyDescent="0.2">
      <c r="A90" t="s">
        <v>819</v>
      </c>
      <c r="B90" s="50">
        <v>44931.558298611111</v>
      </c>
      <c r="C90" t="s">
        <v>819</v>
      </c>
      <c r="D90" s="50">
        <v>44931.622256944444</v>
      </c>
      <c r="E90" t="s">
        <v>693</v>
      </c>
      <c r="F90" t="s">
        <v>707</v>
      </c>
      <c r="G90" t="s">
        <v>723</v>
      </c>
      <c r="H90"/>
    </row>
    <row r="91" spans="1:8" x14ac:dyDescent="0.2">
      <c r="A91" t="s">
        <v>820</v>
      </c>
      <c r="B91" s="50">
        <v>44931.558333333334</v>
      </c>
      <c r="C91" t="s">
        <v>820</v>
      </c>
      <c r="D91" s="50">
        <v>44931.620370370372</v>
      </c>
      <c r="E91" t="s">
        <v>693</v>
      </c>
      <c r="F91" t="s">
        <v>709</v>
      </c>
      <c r="G91" t="s">
        <v>754</v>
      </c>
      <c r="H91"/>
    </row>
    <row r="92" spans="1:8" x14ac:dyDescent="0.2">
      <c r="A92" t="s">
        <v>821</v>
      </c>
      <c r="B92" s="50">
        <v>44931.558379629627</v>
      </c>
      <c r="C92" t="s">
        <v>821</v>
      </c>
      <c r="D92" s="50">
        <v>44931.620486111111</v>
      </c>
      <c r="E92" t="s">
        <v>693</v>
      </c>
      <c r="F92" t="s">
        <v>707</v>
      </c>
      <c r="G92" t="s">
        <v>754</v>
      </c>
      <c r="H92"/>
    </row>
    <row r="93" spans="1:8" x14ac:dyDescent="0.2">
      <c r="A93" t="s">
        <v>822</v>
      </c>
      <c r="B93" s="50">
        <v>44931.607175925928</v>
      </c>
      <c r="C93" t="s">
        <v>822</v>
      </c>
      <c r="D93" s="50">
        <v>44931.622870370367</v>
      </c>
      <c r="E93" t="s">
        <v>693</v>
      </c>
      <c r="F93" t="s">
        <v>7</v>
      </c>
      <c r="G93" t="s">
        <v>823</v>
      </c>
      <c r="H93" t="s">
        <v>824</v>
      </c>
    </row>
    <row r="94" spans="1:8" x14ac:dyDescent="0.2">
      <c r="A94" t="s">
        <v>825</v>
      </c>
      <c r="B94" s="50">
        <v>44931.607210648152</v>
      </c>
      <c r="C94" t="s">
        <v>825</v>
      </c>
      <c r="D94" s="50">
        <v>44931.624189814815</v>
      </c>
      <c r="E94" t="s">
        <v>693</v>
      </c>
      <c r="F94" t="s">
        <v>707</v>
      </c>
      <c r="G94" t="s">
        <v>754</v>
      </c>
      <c r="H94"/>
    </row>
    <row r="95" spans="1:8" x14ac:dyDescent="0.2">
      <c r="A95" t="s">
        <v>826</v>
      </c>
      <c r="B95" s="50">
        <v>44931.624791666669</v>
      </c>
      <c r="C95" t="s">
        <v>826</v>
      </c>
      <c r="D95" s="50">
        <v>44931.680127314816</v>
      </c>
      <c r="E95" t="s">
        <v>693</v>
      </c>
      <c r="F95" t="s">
        <v>707</v>
      </c>
      <c r="G95" t="s">
        <v>827</v>
      </c>
      <c r="H95"/>
    </row>
    <row r="96" spans="1:8" x14ac:dyDescent="0.2">
      <c r="A96" t="s">
        <v>828</v>
      </c>
      <c r="B96" s="50">
        <v>44931.624826388892</v>
      </c>
      <c r="C96" t="s">
        <v>828</v>
      </c>
      <c r="D96" s="50">
        <v>44932.629016203704</v>
      </c>
      <c r="E96" t="s">
        <v>725</v>
      </c>
      <c r="F96" t="s">
        <v>707</v>
      </c>
      <c r="G96" t="s">
        <v>694</v>
      </c>
      <c r="H96"/>
    </row>
    <row r="97" spans="1:8" x14ac:dyDescent="0.2">
      <c r="A97" t="s">
        <v>829</v>
      </c>
      <c r="B97" s="50">
        <v>44931.624918981484</v>
      </c>
      <c r="C97" t="s">
        <v>829</v>
      </c>
      <c r="D97" s="50">
        <v>44935.450567129628</v>
      </c>
      <c r="E97" t="s">
        <v>693</v>
      </c>
      <c r="F97" t="s">
        <v>707</v>
      </c>
      <c r="G97" t="s">
        <v>700</v>
      </c>
      <c r="H97"/>
    </row>
    <row r="98" spans="1:8" x14ac:dyDescent="0.2">
      <c r="A98" t="s">
        <v>830</v>
      </c>
      <c r="B98" s="50">
        <v>44931.6249537037</v>
      </c>
      <c r="C98" t="s">
        <v>830</v>
      </c>
      <c r="D98" s="50">
        <v>44931.633391203701</v>
      </c>
      <c r="E98" t="s">
        <v>693</v>
      </c>
      <c r="F98" t="s">
        <v>707</v>
      </c>
      <c r="G98" t="s">
        <v>716</v>
      </c>
      <c r="H98" t="s">
        <v>734</v>
      </c>
    </row>
    <row r="99" spans="1:8" x14ac:dyDescent="0.2">
      <c r="A99" t="s">
        <v>831</v>
      </c>
      <c r="B99" s="50">
        <v>44931.624976851854</v>
      </c>
      <c r="C99" t="s">
        <v>831</v>
      </c>
      <c r="D99" s="50">
        <v>44931.632939814815</v>
      </c>
      <c r="E99" t="s">
        <v>693</v>
      </c>
      <c r="F99" t="s">
        <v>707</v>
      </c>
      <c r="G99" t="s">
        <v>832</v>
      </c>
      <c r="H99"/>
    </row>
    <row r="100" spans="1:8" x14ac:dyDescent="0.2">
      <c r="A100" t="s">
        <v>833</v>
      </c>
      <c r="B100" s="50">
        <v>44931.625</v>
      </c>
      <c r="C100" t="s">
        <v>833</v>
      </c>
      <c r="D100" s="50">
        <v>44931.631863425922</v>
      </c>
      <c r="E100" t="s">
        <v>693</v>
      </c>
      <c r="F100" t="s">
        <v>707</v>
      </c>
      <c r="G100" t="s">
        <v>754</v>
      </c>
      <c r="H100"/>
    </row>
    <row r="101" spans="1:8" x14ac:dyDescent="0.2">
      <c r="A101" t="s">
        <v>834</v>
      </c>
      <c r="B101" s="50">
        <v>44931.625034722223</v>
      </c>
      <c r="C101" t="s">
        <v>834</v>
      </c>
      <c r="D101" s="50">
        <v>44931.630474537036</v>
      </c>
      <c r="E101" t="s">
        <v>693</v>
      </c>
      <c r="F101" t="s">
        <v>707</v>
      </c>
      <c r="G101" t="s">
        <v>731</v>
      </c>
      <c r="H101"/>
    </row>
    <row r="102" spans="1:8" x14ac:dyDescent="0.2">
      <c r="A102" t="s">
        <v>835</v>
      </c>
      <c r="B102" s="50">
        <v>44931.625914351855</v>
      </c>
      <c r="C102" t="s">
        <v>835</v>
      </c>
      <c r="D102" s="50">
        <v>44931.627789351849</v>
      </c>
      <c r="E102" t="s">
        <v>693</v>
      </c>
      <c r="F102" t="s">
        <v>836</v>
      </c>
      <c r="G102" t="s">
        <v>754</v>
      </c>
      <c r="H102"/>
    </row>
    <row r="103" spans="1:8" x14ac:dyDescent="0.2">
      <c r="A103" t="s">
        <v>837</v>
      </c>
      <c r="B103" s="50">
        <v>44931.643657407411</v>
      </c>
      <c r="C103" t="s">
        <v>837</v>
      </c>
      <c r="D103" s="50">
        <v>44932.44195601852</v>
      </c>
      <c r="E103" t="s">
        <v>693</v>
      </c>
      <c r="F103" t="s">
        <v>707</v>
      </c>
      <c r="G103" t="s">
        <v>694</v>
      </c>
      <c r="H103" t="s">
        <v>759</v>
      </c>
    </row>
    <row r="104" spans="1:8" x14ac:dyDescent="0.2">
      <c r="A104" t="s">
        <v>838</v>
      </c>
      <c r="B104" s="50">
        <v>44931.645891203705</v>
      </c>
      <c r="C104" t="s">
        <v>838</v>
      </c>
      <c r="D104" s="50">
        <v>44931.645949074074</v>
      </c>
      <c r="E104" t="s">
        <v>693</v>
      </c>
      <c r="F104" t="s">
        <v>836</v>
      </c>
      <c r="G104" t="s">
        <v>736</v>
      </c>
      <c r="H104"/>
    </row>
    <row r="105" spans="1:8" x14ac:dyDescent="0.2">
      <c r="A105" t="s">
        <v>839</v>
      </c>
      <c r="B105" s="50">
        <v>44931.646365740744</v>
      </c>
      <c r="C105" t="s">
        <v>839</v>
      </c>
      <c r="D105" s="50">
        <v>44932.521817129629</v>
      </c>
      <c r="E105" t="s">
        <v>693</v>
      </c>
      <c r="F105" t="s">
        <v>792</v>
      </c>
      <c r="G105" t="s">
        <v>694</v>
      </c>
      <c r="H105"/>
    </row>
    <row r="106" spans="1:8" x14ac:dyDescent="0.2">
      <c r="A106" t="s">
        <v>840</v>
      </c>
      <c r="B106" s="50">
        <v>44931.646597222221</v>
      </c>
      <c r="C106" t="s">
        <v>840</v>
      </c>
      <c r="D106" s="50">
        <v>44932.521898148145</v>
      </c>
      <c r="E106" t="s">
        <v>693</v>
      </c>
      <c r="F106" t="s">
        <v>707</v>
      </c>
      <c r="G106" t="s">
        <v>694</v>
      </c>
      <c r="H106"/>
    </row>
    <row r="107" spans="1:8" x14ac:dyDescent="0.2">
      <c r="A107" t="s">
        <v>841</v>
      </c>
      <c r="B107" s="50">
        <v>44931.646643518521</v>
      </c>
      <c r="C107" t="s">
        <v>841</v>
      </c>
      <c r="D107" s="50">
        <v>44931.683263888888</v>
      </c>
      <c r="E107" t="s">
        <v>693</v>
      </c>
      <c r="F107" t="s">
        <v>7</v>
      </c>
      <c r="G107" t="s">
        <v>716</v>
      </c>
      <c r="H107"/>
    </row>
    <row r="108" spans="1:8" x14ac:dyDescent="0.2">
      <c r="A108" t="s">
        <v>842</v>
      </c>
      <c r="B108" s="50">
        <v>44931.646678240744</v>
      </c>
      <c r="C108" t="s">
        <v>842</v>
      </c>
      <c r="D108" s="50">
        <v>44935.468969907408</v>
      </c>
      <c r="E108" t="s">
        <v>693</v>
      </c>
      <c r="F108" t="s">
        <v>739</v>
      </c>
      <c r="G108" t="s">
        <v>694</v>
      </c>
      <c r="H108"/>
    </row>
    <row r="109" spans="1:8" x14ac:dyDescent="0.2">
      <c r="A109" t="s">
        <v>843</v>
      </c>
      <c r="B109" s="50">
        <v>44931.64671296296</v>
      </c>
      <c r="C109" t="s">
        <v>843</v>
      </c>
      <c r="D109" s="50">
        <v>44931.685578703706</v>
      </c>
      <c r="E109" t="s">
        <v>693</v>
      </c>
      <c r="F109" t="s">
        <v>707</v>
      </c>
      <c r="G109" t="s">
        <v>716</v>
      </c>
      <c r="H109"/>
    </row>
    <row r="110" spans="1:8" x14ac:dyDescent="0.2">
      <c r="A110">
        <v>96220030019</v>
      </c>
      <c r="B110" s="50">
        <v>44931.652696759258</v>
      </c>
      <c r="C110">
        <v>96220030019</v>
      </c>
      <c r="D110" s="50">
        <v>44931.652731481481</v>
      </c>
      <c r="E110" t="s">
        <v>693</v>
      </c>
      <c r="F110" t="s">
        <v>844</v>
      </c>
      <c r="G110" t="s">
        <v>804</v>
      </c>
      <c r="H110"/>
    </row>
    <row r="111" spans="1:8" x14ac:dyDescent="0.2">
      <c r="A111" t="s">
        <v>845</v>
      </c>
      <c r="B111" s="50">
        <v>44931.715208333335</v>
      </c>
      <c r="C111" t="s">
        <v>845</v>
      </c>
      <c r="D111" s="50">
        <v>44932.369201388887</v>
      </c>
      <c r="E111" t="s">
        <v>693</v>
      </c>
      <c r="F111" t="s">
        <v>846</v>
      </c>
      <c r="G111" t="s">
        <v>793</v>
      </c>
      <c r="H111"/>
    </row>
    <row r="112" spans="1:8" x14ac:dyDescent="0.2">
      <c r="A112" t="s">
        <v>847</v>
      </c>
      <c r="B112" s="50">
        <v>44931.715312499997</v>
      </c>
      <c r="C112" t="s">
        <v>847</v>
      </c>
      <c r="D112" s="50">
        <v>44932.469687500001</v>
      </c>
      <c r="E112" t="s">
        <v>693</v>
      </c>
      <c r="F112" t="s">
        <v>7</v>
      </c>
      <c r="G112" t="s">
        <v>694</v>
      </c>
      <c r="H112" t="s">
        <v>8</v>
      </c>
    </row>
    <row r="113" spans="1:8" x14ac:dyDescent="0.2">
      <c r="A113" t="s">
        <v>848</v>
      </c>
      <c r="B113" s="50">
        <v>44931.71533564815</v>
      </c>
      <c r="C113" t="s">
        <v>848</v>
      </c>
      <c r="D113" s="50">
        <v>44935.421840277777</v>
      </c>
      <c r="E113" t="s">
        <v>693</v>
      </c>
      <c r="F113" t="s">
        <v>709</v>
      </c>
      <c r="G113" t="s">
        <v>716</v>
      </c>
      <c r="H113"/>
    </row>
    <row r="114" spans="1:8" x14ac:dyDescent="0.2">
      <c r="A114" t="s">
        <v>849</v>
      </c>
      <c r="B114" s="50">
        <v>44931.715370370373</v>
      </c>
      <c r="C114" t="s">
        <v>849</v>
      </c>
      <c r="D114" s="50">
        <v>44935.469166666669</v>
      </c>
      <c r="E114" t="s">
        <v>693</v>
      </c>
      <c r="F114" t="s">
        <v>707</v>
      </c>
      <c r="G114" t="s">
        <v>694</v>
      </c>
      <c r="H114"/>
    </row>
    <row r="115" spans="1:8" x14ac:dyDescent="0.2">
      <c r="A115" t="s">
        <v>850</v>
      </c>
      <c r="B115" s="50">
        <v>44931.715416666666</v>
      </c>
      <c r="C115" t="s">
        <v>850</v>
      </c>
      <c r="D115" s="50">
        <v>44931.719918981478</v>
      </c>
      <c r="E115" t="s">
        <v>693</v>
      </c>
      <c r="F115" t="s">
        <v>7</v>
      </c>
      <c r="G115" t="s">
        <v>757</v>
      </c>
      <c r="H115"/>
    </row>
    <row r="116" spans="1:8" x14ac:dyDescent="0.2">
      <c r="A116" t="s">
        <v>851</v>
      </c>
      <c r="B116" s="50">
        <v>44931.715439814812</v>
      </c>
      <c r="C116" t="s">
        <v>851</v>
      </c>
      <c r="D116" s="50">
        <v>44931.719155092593</v>
      </c>
      <c r="E116" t="s">
        <v>693</v>
      </c>
      <c r="F116" t="s">
        <v>7</v>
      </c>
      <c r="G116" t="s">
        <v>757</v>
      </c>
      <c r="H116"/>
    </row>
    <row r="117" spans="1:8" x14ac:dyDescent="0.2">
      <c r="A117" t="s">
        <v>852</v>
      </c>
      <c r="B117" s="50">
        <v>44931.715474537035</v>
      </c>
      <c r="C117" t="s">
        <v>852</v>
      </c>
      <c r="D117" s="50">
        <v>44931.718368055554</v>
      </c>
      <c r="E117" t="s">
        <v>693</v>
      </c>
      <c r="F117" t="s">
        <v>7</v>
      </c>
      <c r="G117" t="s">
        <v>757</v>
      </c>
      <c r="H117"/>
    </row>
    <row r="118" spans="1:8" x14ac:dyDescent="0.2">
      <c r="A118" t="s">
        <v>853</v>
      </c>
      <c r="B118" s="50">
        <v>44931.715509259258</v>
      </c>
      <c r="C118" t="s">
        <v>853</v>
      </c>
      <c r="D118" s="50">
        <v>44931.717627314814</v>
      </c>
      <c r="E118" t="s">
        <v>693</v>
      </c>
      <c r="F118" t="s">
        <v>7</v>
      </c>
      <c r="G118" t="s">
        <v>757</v>
      </c>
      <c r="H118"/>
    </row>
    <row r="119" spans="1:8" x14ac:dyDescent="0.2">
      <c r="A119" t="s">
        <v>854</v>
      </c>
      <c r="B119" s="50">
        <v>44931.715532407405</v>
      </c>
      <c r="C119" t="s">
        <v>854</v>
      </c>
      <c r="D119" s="50">
        <v>44931.716550925928</v>
      </c>
      <c r="E119" t="s">
        <v>693</v>
      </c>
      <c r="F119" t="s">
        <v>7</v>
      </c>
      <c r="G119" t="s">
        <v>771</v>
      </c>
      <c r="H119"/>
    </row>
    <row r="120" spans="1:8" x14ac:dyDescent="0.2">
      <c r="A120">
        <v>96220030118</v>
      </c>
      <c r="B120" s="50">
        <v>44931.715694444443</v>
      </c>
      <c r="C120">
        <v>96220030118</v>
      </c>
      <c r="D120" s="50">
        <v>44931.715717592589</v>
      </c>
      <c r="E120" t="s">
        <v>693</v>
      </c>
      <c r="F120" t="s">
        <v>779</v>
      </c>
      <c r="G120" t="s">
        <v>771</v>
      </c>
      <c r="H120"/>
    </row>
    <row r="121" spans="1:8" x14ac:dyDescent="0.2">
      <c r="A121">
        <v>96223630357</v>
      </c>
      <c r="B121" s="50">
        <v>44931.71601851852</v>
      </c>
      <c r="C121">
        <v>96223630357</v>
      </c>
      <c r="D121" s="50">
        <v>44931.716041666667</v>
      </c>
      <c r="E121" t="s">
        <v>693</v>
      </c>
      <c r="F121" t="s">
        <v>779</v>
      </c>
      <c r="G121" t="s">
        <v>771</v>
      </c>
      <c r="H121"/>
    </row>
    <row r="122" spans="1:8" x14ac:dyDescent="0.2">
      <c r="A122" t="s">
        <v>855</v>
      </c>
      <c r="B122" s="50">
        <v>44932.459421296298</v>
      </c>
      <c r="C122" t="s">
        <v>855</v>
      </c>
      <c r="D122" s="50">
        <v>44932.446261574078</v>
      </c>
      <c r="E122" t="s">
        <v>693</v>
      </c>
      <c r="F122" t="s">
        <v>725</v>
      </c>
      <c r="G122" t="s">
        <v>766</v>
      </c>
      <c r="H122" t="s">
        <v>778</v>
      </c>
    </row>
    <row r="123" spans="1:8" x14ac:dyDescent="0.2">
      <c r="A123" t="s">
        <v>856</v>
      </c>
      <c r="B123" s="50">
        <v>44932.376759259256</v>
      </c>
      <c r="C123" t="s">
        <v>856</v>
      </c>
      <c r="D123" s="50">
        <v>44932.565844907411</v>
      </c>
      <c r="E123" t="s">
        <v>693</v>
      </c>
      <c r="F123" t="s">
        <v>857</v>
      </c>
      <c r="G123" t="s">
        <v>827</v>
      </c>
      <c r="H123"/>
    </row>
    <row r="124" spans="1:8" x14ac:dyDescent="0.2">
      <c r="A124" t="s">
        <v>858</v>
      </c>
      <c r="B124" s="50">
        <v>44932.377141203702</v>
      </c>
      <c r="C124" t="s">
        <v>858</v>
      </c>
      <c r="D124" s="50">
        <v>44932.40079861111</v>
      </c>
      <c r="E124" t="s">
        <v>693</v>
      </c>
      <c r="F124" t="s">
        <v>836</v>
      </c>
      <c r="G124" t="s">
        <v>754</v>
      </c>
      <c r="H124"/>
    </row>
    <row r="125" spans="1:8" x14ac:dyDescent="0.2">
      <c r="A125" t="s">
        <v>859</v>
      </c>
      <c r="B125" s="50">
        <v>44932.377476851849</v>
      </c>
      <c r="C125" t="s">
        <v>859</v>
      </c>
      <c r="D125" s="50">
        <v>44935.479317129626</v>
      </c>
      <c r="E125" t="s">
        <v>693</v>
      </c>
      <c r="F125" t="s">
        <v>792</v>
      </c>
      <c r="G125" t="s">
        <v>694</v>
      </c>
      <c r="H125"/>
    </row>
    <row r="126" spans="1:8" x14ac:dyDescent="0.2">
      <c r="A126" t="s">
        <v>860</v>
      </c>
      <c r="B126" s="50">
        <v>44932.377511574072</v>
      </c>
      <c r="C126" t="s">
        <v>860</v>
      </c>
      <c r="D126" s="50">
        <v>44944.57912037037</v>
      </c>
      <c r="E126" t="s">
        <v>693</v>
      </c>
      <c r="F126" s="50" t="s">
        <v>861</v>
      </c>
      <c r="H126"/>
    </row>
    <row r="127" spans="1:8" x14ac:dyDescent="0.2">
      <c r="A127" t="s">
        <v>862</v>
      </c>
      <c r="B127" s="50">
        <v>44932.377546296295</v>
      </c>
      <c r="C127" t="s">
        <v>862</v>
      </c>
      <c r="D127" s="50">
        <v>44932.404641203706</v>
      </c>
      <c r="E127" t="s">
        <v>693</v>
      </c>
      <c r="F127" t="s">
        <v>707</v>
      </c>
      <c r="G127" t="s">
        <v>731</v>
      </c>
      <c r="H127"/>
    </row>
    <row r="128" spans="1:8" x14ac:dyDescent="0.2">
      <c r="A128" t="s">
        <v>863</v>
      </c>
      <c r="B128" s="50">
        <v>44932.377569444441</v>
      </c>
      <c r="C128" t="s">
        <v>863</v>
      </c>
      <c r="D128" s="50">
        <v>44932.403634259259</v>
      </c>
      <c r="E128" t="s">
        <v>693</v>
      </c>
      <c r="F128" t="s">
        <v>703</v>
      </c>
      <c r="G128" t="s">
        <v>723</v>
      </c>
      <c r="H128"/>
    </row>
    <row r="129" spans="1:8" x14ac:dyDescent="0.2">
      <c r="A129" t="s">
        <v>864</v>
      </c>
      <c r="B129" s="50">
        <v>44932.377592592595</v>
      </c>
      <c r="C129" t="s">
        <v>864</v>
      </c>
      <c r="D129" s="50">
        <v>44932.405405092592</v>
      </c>
      <c r="E129" t="s">
        <v>693</v>
      </c>
      <c r="F129" t="s">
        <v>707</v>
      </c>
      <c r="G129" t="s">
        <v>723</v>
      </c>
      <c r="H129"/>
    </row>
    <row r="130" spans="1:8" x14ac:dyDescent="0.2">
      <c r="A130" t="s">
        <v>865</v>
      </c>
      <c r="B130" s="50">
        <v>44932.377615740741</v>
      </c>
      <c r="C130" t="s">
        <v>865</v>
      </c>
      <c r="D130" s="50">
        <v>44932.403738425928</v>
      </c>
      <c r="E130" t="s">
        <v>693</v>
      </c>
      <c r="F130" t="s">
        <v>707</v>
      </c>
      <c r="G130" t="s">
        <v>723</v>
      </c>
      <c r="H130"/>
    </row>
    <row r="131" spans="1:8" x14ac:dyDescent="0.2">
      <c r="A131" t="s">
        <v>866</v>
      </c>
      <c r="B131" s="50">
        <v>44932.377638888887</v>
      </c>
      <c r="C131" t="s">
        <v>866</v>
      </c>
      <c r="D131" s="50">
        <v>44932.454467592594</v>
      </c>
      <c r="E131" t="s">
        <v>693</v>
      </c>
      <c r="F131" t="s">
        <v>752</v>
      </c>
      <c r="G131" t="s">
        <v>867</v>
      </c>
      <c r="H131"/>
    </row>
    <row r="132" spans="1:8" x14ac:dyDescent="0.2">
      <c r="A132" t="s">
        <v>835</v>
      </c>
      <c r="B132" s="50">
        <v>44932.377916666665</v>
      </c>
      <c r="C132" t="s">
        <v>835</v>
      </c>
      <c r="D132" s="50">
        <v>44932.454155092593</v>
      </c>
      <c r="E132" t="s">
        <v>693</v>
      </c>
      <c r="F132" t="s">
        <v>707</v>
      </c>
      <c r="G132" t="s">
        <v>754</v>
      </c>
      <c r="H132"/>
    </row>
    <row r="133" spans="1:8" x14ac:dyDescent="0.2">
      <c r="A133" t="s">
        <v>868</v>
      </c>
      <c r="B133" s="50">
        <v>44932.377962962964</v>
      </c>
      <c r="C133" t="s">
        <v>868</v>
      </c>
      <c r="D133" s="50">
        <v>44935.391527777778</v>
      </c>
      <c r="E133" t="s">
        <v>693</v>
      </c>
      <c r="F133" t="s">
        <v>707</v>
      </c>
      <c r="G133" t="s">
        <v>694</v>
      </c>
      <c r="H133"/>
    </row>
    <row r="134" spans="1:8" x14ac:dyDescent="0.2">
      <c r="A134" t="s">
        <v>869</v>
      </c>
      <c r="B134" s="50">
        <v>44932.378020833334</v>
      </c>
      <c r="C134" t="s">
        <v>869</v>
      </c>
      <c r="D134" s="50">
        <v>44932.512835648151</v>
      </c>
      <c r="E134" t="s">
        <v>693</v>
      </c>
      <c r="F134" t="s">
        <v>707</v>
      </c>
      <c r="G134" t="s">
        <v>694</v>
      </c>
      <c r="H134"/>
    </row>
    <row r="135" spans="1:8" x14ac:dyDescent="0.2">
      <c r="A135" t="s">
        <v>870</v>
      </c>
      <c r="B135" s="50">
        <v>44932.378055555557</v>
      </c>
      <c r="C135" t="s">
        <v>870</v>
      </c>
      <c r="D135" s="50">
        <v>44932.406342592592</v>
      </c>
      <c r="E135" t="s">
        <v>693</v>
      </c>
      <c r="F135" t="s">
        <v>7</v>
      </c>
      <c r="G135" t="s">
        <v>757</v>
      </c>
      <c r="H135"/>
    </row>
    <row r="136" spans="1:8" x14ac:dyDescent="0.2">
      <c r="A136" t="s">
        <v>871</v>
      </c>
      <c r="B136" s="50">
        <v>44932.378078703703</v>
      </c>
      <c r="C136" t="s">
        <v>871</v>
      </c>
      <c r="D136" s="50">
        <v>44932.407430555555</v>
      </c>
      <c r="E136" t="s">
        <v>693</v>
      </c>
      <c r="F136" t="s">
        <v>7</v>
      </c>
      <c r="G136" t="s">
        <v>872</v>
      </c>
      <c r="H136"/>
    </row>
    <row r="137" spans="1:8" x14ac:dyDescent="0.2">
      <c r="A137" t="s">
        <v>873</v>
      </c>
      <c r="B137" s="50">
        <v>44932.378969907404</v>
      </c>
      <c r="C137" t="s">
        <v>873</v>
      </c>
      <c r="D137" s="50">
        <v>44932.565439814818</v>
      </c>
      <c r="E137" t="s">
        <v>693</v>
      </c>
      <c r="F137" t="s">
        <v>703</v>
      </c>
      <c r="G137" t="s">
        <v>704</v>
      </c>
      <c r="H137"/>
    </row>
    <row r="138" spans="1:8" x14ac:dyDescent="0.2">
      <c r="A138" t="s">
        <v>874</v>
      </c>
      <c r="B138" s="50">
        <v>44932.379317129627</v>
      </c>
      <c r="C138" t="s">
        <v>874</v>
      </c>
      <c r="D138" s="50">
        <v>44932.56554398148</v>
      </c>
      <c r="E138" t="s">
        <v>693</v>
      </c>
      <c r="F138" t="s">
        <v>703</v>
      </c>
      <c r="G138" t="s">
        <v>704</v>
      </c>
      <c r="H138"/>
    </row>
    <row r="139" spans="1:8" x14ac:dyDescent="0.2">
      <c r="A139" t="s">
        <v>875</v>
      </c>
      <c r="B139" s="50">
        <v>44932.379340277781</v>
      </c>
      <c r="C139" t="s">
        <v>875</v>
      </c>
      <c r="D139" s="50">
        <v>44932.56559027778</v>
      </c>
      <c r="E139" t="s">
        <v>693</v>
      </c>
      <c r="F139" t="s">
        <v>876</v>
      </c>
      <c r="G139" t="s">
        <v>704</v>
      </c>
      <c r="H139" t="s">
        <v>877</v>
      </c>
    </row>
    <row r="140" spans="1:8" x14ac:dyDescent="0.2">
      <c r="A140" t="s">
        <v>878</v>
      </c>
      <c r="B140" s="50">
        <v>44932.381168981483</v>
      </c>
      <c r="C140" t="s">
        <v>878</v>
      </c>
      <c r="D140" s="50">
        <v>44932.399502314816</v>
      </c>
      <c r="E140" t="s">
        <v>693</v>
      </c>
      <c r="F140" t="s">
        <v>836</v>
      </c>
      <c r="G140" t="s">
        <v>754</v>
      </c>
      <c r="H140"/>
    </row>
    <row r="141" spans="1:8" x14ac:dyDescent="0.2">
      <c r="A141" t="s">
        <v>879</v>
      </c>
      <c r="B141" s="50">
        <v>44932.381226851852</v>
      </c>
      <c r="C141" t="s">
        <v>879</v>
      </c>
      <c r="D141" s="50">
        <v>44932.451793981483</v>
      </c>
      <c r="E141" t="s">
        <v>693</v>
      </c>
      <c r="F141" t="s">
        <v>7</v>
      </c>
      <c r="G141" t="s">
        <v>880</v>
      </c>
      <c r="H141"/>
    </row>
    <row r="142" spans="1:8" x14ac:dyDescent="0.2">
      <c r="A142" t="s">
        <v>881</v>
      </c>
      <c r="B142" s="50">
        <v>44932.381273148145</v>
      </c>
      <c r="C142" t="s">
        <v>881</v>
      </c>
      <c r="D142" s="50">
        <v>44932.44939814815</v>
      </c>
      <c r="E142" t="s">
        <v>693</v>
      </c>
      <c r="F142" t="s">
        <v>7</v>
      </c>
      <c r="G142" t="s">
        <v>880</v>
      </c>
      <c r="H142"/>
    </row>
    <row r="143" spans="1:8" x14ac:dyDescent="0.2">
      <c r="A143" t="s">
        <v>882</v>
      </c>
      <c r="B143" s="50">
        <v>44932.381307870368</v>
      </c>
      <c r="C143" t="s">
        <v>882</v>
      </c>
      <c r="D143" s="50">
        <v>44935.5937037037</v>
      </c>
      <c r="E143" t="s">
        <v>693</v>
      </c>
      <c r="F143" t="s">
        <v>707</v>
      </c>
      <c r="G143" t="s">
        <v>807</v>
      </c>
      <c r="H143" t="s">
        <v>883</v>
      </c>
    </row>
    <row r="144" spans="1:8" x14ac:dyDescent="0.2">
      <c r="A144" t="s">
        <v>884</v>
      </c>
      <c r="B144" s="50">
        <v>44932.381331018521</v>
      </c>
      <c r="C144" t="s">
        <v>884</v>
      </c>
      <c r="D144" s="50">
        <v>44932.412118055552</v>
      </c>
      <c r="E144" t="s">
        <v>693</v>
      </c>
      <c r="F144" t="s">
        <v>707</v>
      </c>
      <c r="G144" t="s">
        <v>723</v>
      </c>
      <c r="H144"/>
    </row>
    <row r="145" spans="1:8" x14ac:dyDescent="0.2">
      <c r="A145" t="s">
        <v>885</v>
      </c>
      <c r="B145" s="50">
        <v>44932.381377314814</v>
      </c>
      <c r="C145" t="s">
        <v>885</v>
      </c>
      <c r="D145" s="50">
        <v>44932.411041666666</v>
      </c>
      <c r="E145" t="s">
        <v>693</v>
      </c>
      <c r="F145" t="s">
        <v>707</v>
      </c>
      <c r="G145" t="s">
        <v>723</v>
      </c>
      <c r="H145"/>
    </row>
    <row r="146" spans="1:8" x14ac:dyDescent="0.2">
      <c r="A146" t="s">
        <v>886</v>
      </c>
      <c r="B146" s="50">
        <v>44932.38140046296</v>
      </c>
      <c r="C146" t="s">
        <v>886</v>
      </c>
      <c r="D146" s="50">
        <v>44932.410011574073</v>
      </c>
      <c r="E146" t="s">
        <v>693</v>
      </c>
      <c r="F146" t="s">
        <v>707</v>
      </c>
      <c r="G146" t="s">
        <v>887</v>
      </c>
      <c r="H146"/>
    </row>
    <row r="147" spans="1:8" x14ac:dyDescent="0.2">
      <c r="A147" t="s">
        <v>888</v>
      </c>
      <c r="B147" s="50">
        <v>44932.381435185183</v>
      </c>
      <c r="C147" t="s">
        <v>888</v>
      </c>
      <c r="D147" s="50">
        <v>44932.409050925926</v>
      </c>
      <c r="E147" t="s">
        <v>693</v>
      </c>
      <c r="F147" t="s">
        <v>707</v>
      </c>
      <c r="G147" t="s">
        <v>889</v>
      </c>
      <c r="H147"/>
    </row>
    <row r="148" spans="1:8" x14ac:dyDescent="0.2">
      <c r="A148" t="s">
        <v>890</v>
      </c>
      <c r="B148" s="50">
        <v>44932.381458333337</v>
      </c>
      <c r="C148" t="s">
        <v>890</v>
      </c>
      <c r="D148" s="50">
        <v>44932.408252314817</v>
      </c>
      <c r="E148" t="s">
        <v>693</v>
      </c>
      <c r="F148" t="s">
        <v>707</v>
      </c>
      <c r="G148" t="s">
        <v>723</v>
      </c>
      <c r="H148"/>
    </row>
    <row r="149" spans="1:8" x14ac:dyDescent="0.2">
      <c r="A149" t="s">
        <v>891</v>
      </c>
      <c r="B149" s="50">
        <v>44932.381504629629</v>
      </c>
      <c r="C149" t="s">
        <v>891</v>
      </c>
      <c r="D149" s="50">
        <v>44932.424618055556</v>
      </c>
      <c r="E149" t="s">
        <v>693</v>
      </c>
      <c r="F149" t="s">
        <v>739</v>
      </c>
      <c r="G149" t="s">
        <v>771</v>
      </c>
      <c r="H149"/>
    </row>
    <row r="150" spans="1:8" x14ac:dyDescent="0.2">
      <c r="A150" t="s">
        <v>892</v>
      </c>
      <c r="B150" s="50">
        <v>44932.381562499999</v>
      </c>
      <c r="C150" t="s">
        <v>892</v>
      </c>
      <c r="D150" s="50">
        <v>44932.424699074072</v>
      </c>
      <c r="E150" t="s">
        <v>693</v>
      </c>
      <c r="F150" t="s">
        <v>7</v>
      </c>
      <c r="G150" t="s">
        <v>771</v>
      </c>
      <c r="H150"/>
    </row>
    <row r="151" spans="1:8" x14ac:dyDescent="0.2">
      <c r="A151" t="s">
        <v>893</v>
      </c>
      <c r="B151" s="50">
        <v>44932.381608796299</v>
      </c>
      <c r="C151" t="s">
        <v>893</v>
      </c>
      <c r="D151" s="50">
        <v>44932.5937037037</v>
      </c>
      <c r="E151" t="s">
        <v>693</v>
      </c>
      <c r="F151" t="s">
        <v>707</v>
      </c>
      <c r="G151" t="s">
        <v>694</v>
      </c>
      <c r="H151"/>
    </row>
    <row r="152" spans="1:8" x14ac:dyDescent="0.2">
      <c r="A152" t="s">
        <v>855</v>
      </c>
      <c r="B152" s="50">
        <v>44932.459432870368</v>
      </c>
      <c r="C152" t="s">
        <v>855</v>
      </c>
      <c r="D152" s="50">
        <v>44932.459444444445</v>
      </c>
      <c r="E152" t="s">
        <v>725</v>
      </c>
      <c r="F152" t="s">
        <v>707</v>
      </c>
      <c r="G152" t="s">
        <v>766</v>
      </c>
      <c r="H152"/>
    </row>
    <row r="153" spans="1:8" x14ac:dyDescent="0.2">
      <c r="A153" t="s">
        <v>894</v>
      </c>
      <c r="B153" s="50">
        <v>44932.567523148151</v>
      </c>
      <c r="C153" t="s">
        <v>894</v>
      </c>
      <c r="D153" s="50">
        <v>44935.479421296295</v>
      </c>
      <c r="E153" t="s">
        <v>693</v>
      </c>
      <c r="F153" t="s">
        <v>707</v>
      </c>
      <c r="G153" t="s">
        <v>694</v>
      </c>
      <c r="H153"/>
    </row>
    <row r="154" spans="1:8" x14ac:dyDescent="0.2">
      <c r="A154" t="s">
        <v>895</v>
      </c>
      <c r="B154" s="50">
        <v>44932.567743055559</v>
      </c>
      <c r="C154" t="s">
        <v>895</v>
      </c>
      <c r="D154" s="50">
        <v>44936.581828703704</v>
      </c>
      <c r="E154" t="s">
        <v>693</v>
      </c>
      <c r="F154" s="50" t="s">
        <v>896</v>
      </c>
      <c r="G154" t="s">
        <v>867</v>
      </c>
      <c r="H154"/>
    </row>
    <row r="155" spans="1:8" x14ac:dyDescent="0.2">
      <c r="A155" t="s">
        <v>897</v>
      </c>
      <c r="B155" s="50">
        <v>44932.567800925928</v>
      </c>
      <c r="C155" t="s">
        <v>897</v>
      </c>
      <c r="D155" s="50">
        <v>44933.362442129626</v>
      </c>
      <c r="E155" t="s">
        <v>693</v>
      </c>
      <c r="F155" t="s">
        <v>7</v>
      </c>
      <c r="G155" t="s">
        <v>723</v>
      </c>
      <c r="H155"/>
    </row>
    <row r="156" spans="1:8" x14ac:dyDescent="0.2">
      <c r="A156" t="s">
        <v>898</v>
      </c>
      <c r="B156" s="50">
        <v>44932.567893518521</v>
      </c>
      <c r="C156" t="s">
        <v>898</v>
      </c>
      <c r="D156" s="50">
        <v>44932.63658564815</v>
      </c>
      <c r="E156" t="s">
        <v>725</v>
      </c>
      <c r="F156" t="s">
        <v>783</v>
      </c>
      <c r="G156" t="s">
        <v>723</v>
      </c>
      <c r="H156"/>
    </row>
    <row r="157" spans="1:8" x14ac:dyDescent="0.2">
      <c r="A157" t="s">
        <v>899</v>
      </c>
      <c r="B157" s="50">
        <v>44932.567974537036</v>
      </c>
      <c r="C157" t="s">
        <v>899</v>
      </c>
      <c r="D157" s="50">
        <v>44932.585046296299</v>
      </c>
      <c r="E157" t="s">
        <v>693</v>
      </c>
      <c r="F157" t="s">
        <v>707</v>
      </c>
      <c r="G157" t="s">
        <v>723</v>
      </c>
      <c r="H157"/>
    </row>
    <row r="158" spans="1:8" x14ac:dyDescent="0.2">
      <c r="A158" t="s">
        <v>900</v>
      </c>
      <c r="B158" s="50">
        <v>44932.568020833336</v>
      </c>
      <c r="C158" t="s">
        <v>900</v>
      </c>
      <c r="D158" s="50">
        <v>44932.582858796297</v>
      </c>
      <c r="E158" t="s">
        <v>693</v>
      </c>
      <c r="F158" t="s">
        <v>7</v>
      </c>
      <c r="G158" t="s">
        <v>723</v>
      </c>
      <c r="H158"/>
    </row>
    <row r="159" spans="1:8" x14ac:dyDescent="0.2">
      <c r="A159" t="s">
        <v>901</v>
      </c>
      <c r="B159" s="50">
        <v>44932.568078703705</v>
      </c>
      <c r="C159" t="s">
        <v>901</v>
      </c>
      <c r="D159" s="50">
        <v>44932.579745370371</v>
      </c>
      <c r="E159" t="s">
        <v>693</v>
      </c>
      <c r="F159" t="s">
        <v>707</v>
      </c>
      <c r="G159" t="s">
        <v>723</v>
      </c>
      <c r="H159"/>
    </row>
    <row r="160" spans="1:8" x14ac:dyDescent="0.2">
      <c r="A160" t="s">
        <v>902</v>
      </c>
      <c r="B160" s="50">
        <v>44932.568124999998</v>
      </c>
      <c r="C160" t="s">
        <v>902</v>
      </c>
      <c r="D160" s="50">
        <v>44932.578796296293</v>
      </c>
      <c r="E160" t="s">
        <v>693</v>
      </c>
      <c r="F160" t="s">
        <v>707</v>
      </c>
      <c r="G160" t="s">
        <v>723</v>
      </c>
      <c r="H160"/>
    </row>
    <row r="161" spans="1:8" x14ac:dyDescent="0.2">
      <c r="A161" t="s">
        <v>903</v>
      </c>
      <c r="B161" s="50">
        <v>44932.568206018521</v>
      </c>
      <c r="C161" t="s">
        <v>903</v>
      </c>
      <c r="D161" s="50">
        <v>44932.576817129629</v>
      </c>
      <c r="E161" t="s">
        <v>693</v>
      </c>
      <c r="F161" t="s">
        <v>707</v>
      </c>
      <c r="G161" t="s">
        <v>723</v>
      </c>
      <c r="H161"/>
    </row>
    <row r="162" spans="1:8" x14ac:dyDescent="0.2">
      <c r="A162" t="s">
        <v>904</v>
      </c>
      <c r="B162" s="50">
        <v>44932.56826388889</v>
      </c>
      <c r="C162" t="s">
        <v>904</v>
      </c>
      <c r="D162" s="50">
        <v>44932.575277777774</v>
      </c>
      <c r="E162" t="s">
        <v>693</v>
      </c>
      <c r="F162" t="s">
        <v>707</v>
      </c>
      <c r="G162" t="s">
        <v>723</v>
      </c>
      <c r="H162"/>
    </row>
    <row r="163" spans="1:8" x14ac:dyDescent="0.2">
      <c r="A163" t="s">
        <v>905</v>
      </c>
      <c r="B163" s="50">
        <v>44932.568298611113</v>
      </c>
      <c r="C163" t="s">
        <v>905</v>
      </c>
      <c r="D163" s="50">
        <v>44932.574305555558</v>
      </c>
      <c r="E163" t="s">
        <v>693</v>
      </c>
      <c r="F163" t="s">
        <v>707</v>
      </c>
      <c r="G163" t="s">
        <v>723</v>
      </c>
      <c r="H163"/>
    </row>
    <row r="164" spans="1:8" x14ac:dyDescent="0.2">
      <c r="A164" t="s">
        <v>906</v>
      </c>
      <c r="B164" s="50">
        <v>44932.568333333336</v>
      </c>
      <c r="C164" t="s">
        <v>906</v>
      </c>
      <c r="D164" s="50">
        <v>44932.57340277778</v>
      </c>
      <c r="E164" t="s">
        <v>693</v>
      </c>
      <c r="F164" t="s">
        <v>707</v>
      </c>
      <c r="G164" t="s">
        <v>723</v>
      </c>
      <c r="H164"/>
    </row>
    <row r="165" spans="1:8" x14ac:dyDescent="0.2">
      <c r="A165" t="s">
        <v>907</v>
      </c>
      <c r="B165" s="50">
        <v>44932.568368055552</v>
      </c>
      <c r="C165" t="s">
        <v>907</v>
      </c>
      <c r="D165" s="50">
        <v>44932.572453703702</v>
      </c>
      <c r="E165" t="s">
        <v>693</v>
      </c>
      <c r="F165" t="s">
        <v>707</v>
      </c>
      <c r="G165" t="s">
        <v>723</v>
      </c>
      <c r="H165"/>
    </row>
    <row r="166" spans="1:8" x14ac:dyDescent="0.2">
      <c r="A166" t="s">
        <v>908</v>
      </c>
      <c r="B166" s="50">
        <v>44932.568391203706</v>
      </c>
      <c r="C166" t="s">
        <v>908</v>
      </c>
      <c r="D166" s="50">
        <v>44932.570219907408</v>
      </c>
      <c r="E166" t="s">
        <v>693</v>
      </c>
      <c r="F166" t="s">
        <v>707</v>
      </c>
      <c r="G166" t="s">
        <v>723</v>
      </c>
      <c r="H166"/>
    </row>
    <row r="167" spans="1:8" x14ac:dyDescent="0.2">
      <c r="A167">
        <v>96220040312</v>
      </c>
      <c r="B167" s="50">
        <v>44932.609097222223</v>
      </c>
      <c r="C167">
        <v>96220040312</v>
      </c>
      <c r="D167" s="50">
        <v>44932.609120370369</v>
      </c>
      <c r="E167" t="s">
        <v>693</v>
      </c>
      <c r="F167" t="s">
        <v>909</v>
      </c>
      <c r="G167" t="s">
        <v>740</v>
      </c>
      <c r="H167" t="s">
        <v>910</v>
      </c>
    </row>
    <row r="168" spans="1:8" x14ac:dyDescent="0.2">
      <c r="A168" t="s">
        <v>911</v>
      </c>
      <c r="B168" s="50">
        <v>44932.678229166668</v>
      </c>
      <c r="C168" t="s">
        <v>911</v>
      </c>
      <c r="D168" s="50">
        <v>44932.679074074076</v>
      </c>
      <c r="E168" t="s">
        <v>725</v>
      </c>
      <c r="F168" t="s">
        <v>783</v>
      </c>
      <c r="G168" t="s">
        <v>723</v>
      </c>
      <c r="H168"/>
    </row>
    <row r="169" spans="1:8" x14ac:dyDescent="0.2">
      <c r="A169" t="s">
        <v>912</v>
      </c>
      <c r="B169" s="50">
        <v>44932.692627314813</v>
      </c>
      <c r="C169" t="s">
        <v>912</v>
      </c>
      <c r="D169" s="50">
        <v>44932.697268518517</v>
      </c>
      <c r="E169" t="s">
        <v>725</v>
      </c>
      <c r="F169" t="s">
        <v>783</v>
      </c>
      <c r="G169" t="s">
        <v>880</v>
      </c>
      <c r="H169"/>
    </row>
    <row r="170" spans="1:8" x14ac:dyDescent="0.2">
      <c r="A170" t="s">
        <v>913</v>
      </c>
      <c r="B170" s="50">
        <v>44932.689189814817</v>
      </c>
      <c r="C170" t="s">
        <v>913</v>
      </c>
      <c r="D170" s="50">
        <v>44935.427673611113</v>
      </c>
      <c r="E170" t="s">
        <v>693</v>
      </c>
      <c r="F170" t="s">
        <v>7</v>
      </c>
      <c r="G170" t="s">
        <v>880</v>
      </c>
      <c r="H170"/>
    </row>
    <row r="171" spans="1:8" x14ac:dyDescent="0.2">
      <c r="A171" t="s">
        <v>914</v>
      </c>
      <c r="B171" s="50">
        <v>44932.68922453704</v>
      </c>
      <c r="C171" t="s">
        <v>914</v>
      </c>
      <c r="D171" s="50">
        <v>44935.460925925923</v>
      </c>
      <c r="E171" t="s">
        <v>693</v>
      </c>
      <c r="F171" t="s">
        <v>707</v>
      </c>
      <c r="G171" t="s">
        <v>694</v>
      </c>
      <c r="H171"/>
    </row>
    <row r="172" spans="1:8" x14ac:dyDescent="0.2">
      <c r="A172" t="s">
        <v>915</v>
      </c>
      <c r="B172" s="50">
        <v>44932.689247685186</v>
      </c>
      <c r="C172" t="s">
        <v>915</v>
      </c>
      <c r="D172" s="50">
        <v>44935.446134259262</v>
      </c>
      <c r="E172" t="s">
        <v>693</v>
      </c>
      <c r="F172" t="s">
        <v>7</v>
      </c>
      <c r="G172" t="s">
        <v>694</v>
      </c>
      <c r="H172"/>
    </row>
    <row r="173" spans="1:8" x14ac:dyDescent="0.2">
      <c r="A173" t="s">
        <v>916</v>
      </c>
      <c r="B173" s="50">
        <v>44932.689259259256</v>
      </c>
      <c r="C173" t="s">
        <v>916</v>
      </c>
      <c r="D173" s="50">
        <v>44935.424837962964</v>
      </c>
      <c r="E173" t="s">
        <v>693</v>
      </c>
      <c r="F173" t="s">
        <v>7</v>
      </c>
      <c r="G173" t="s">
        <v>880</v>
      </c>
      <c r="H173"/>
    </row>
    <row r="174" spans="1:8" x14ac:dyDescent="0.2">
      <c r="A174" t="s">
        <v>917</v>
      </c>
      <c r="B174" s="50">
        <v>44932.689328703702</v>
      </c>
      <c r="C174" t="s">
        <v>917</v>
      </c>
      <c r="D174" s="50">
        <v>44933.441770833335</v>
      </c>
      <c r="E174" t="s">
        <v>693</v>
      </c>
      <c r="F174" t="s">
        <v>725</v>
      </c>
      <c r="G174" t="s">
        <v>766</v>
      </c>
      <c r="H174" t="s">
        <v>778</v>
      </c>
    </row>
    <row r="175" spans="1:8" x14ac:dyDescent="0.2">
      <c r="A175" t="s">
        <v>918</v>
      </c>
      <c r="B175" s="50">
        <v>44932.689351851855</v>
      </c>
      <c r="C175" t="s">
        <v>918</v>
      </c>
      <c r="D175" s="50">
        <v>44933.439016203702</v>
      </c>
      <c r="E175" t="s">
        <v>693</v>
      </c>
      <c r="F175" t="s">
        <v>725</v>
      </c>
      <c r="G175" t="s">
        <v>766</v>
      </c>
      <c r="H175" t="s">
        <v>778</v>
      </c>
    </row>
    <row r="176" spans="1:8" x14ac:dyDescent="0.2">
      <c r="A176" t="s">
        <v>919</v>
      </c>
      <c r="B176" s="50">
        <v>44932.7028125</v>
      </c>
      <c r="C176" t="s">
        <v>919</v>
      </c>
      <c r="D176" s="50">
        <v>44932.705150462964</v>
      </c>
      <c r="E176" t="s">
        <v>725</v>
      </c>
      <c r="F176" t="s">
        <v>783</v>
      </c>
      <c r="G176" t="s">
        <v>920</v>
      </c>
      <c r="H176"/>
    </row>
    <row r="177" spans="1:8" x14ac:dyDescent="0.2">
      <c r="A177" t="s">
        <v>921</v>
      </c>
      <c r="B177" s="50">
        <v>44932.689525462964</v>
      </c>
      <c r="C177" t="s">
        <v>921</v>
      </c>
      <c r="D177" s="50">
        <v>44935.594027777777</v>
      </c>
      <c r="E177" t="s">
        <v>693</v>
      </c>
      <c r="F177" t="s">
        <v>709</v>
      </c>
      <c r="G177" t="s">
        <v>807</v>
      </c>
      <c r="H177"/>
    </row>
    <row r="178" spans="1:8" x14ac:dyDescent="0.2">
      <c r="A178" t="s">
        <v>922</v>
      </c>
      <c r="B178" s="50">
        <v>44932.68959490741</v>
      </c>
      <c r="C178" t="s">
        <v>922</v>
      </c>
      <c r="D178" s="50">
        <v>44932.691817129627</v>
      </c>
      <c r="E178" t="s">
        <v>725</v>
      </c>
      <c r="F178" t="s">
        <v>707</v>
      </c>
      <c r="G178" t="s">
        <v>723</v>
      </c>
      <c r="H178"/>
    </row>
    <row r="179" spans="1:8" x14ac:dyDescent="0.2">
      <c r="A179" t="s">
        <v>923</v>
      </c>
      <c r="B179" s="50">
        <v>44932.690312500003</v>
      </c>
      <c r="C179" t="s">
        <v>923</v>
      </c>
      <c r="D179" s="50">
        <v>44932.699861111112</v>
      </c>
      <c r="E179" t="s">
        <v>725</v>
      </c>
      <c r="F179" t="s">
        <v>707</v>
      </c>
      <c r="G179" t="s">
        <v>924</v>
      </c>
      <c r="H179" t="s">
        <v>759</v>
      </c>
    </row>
    <row r="180" spans="1:8" x14ac:dyDescent="0.2">
      <c r="A180" t="s">
        <v>925</v>
      </c>
      <c r="B180" s="50">
        <v>44932.690011574072</v>
      </c>
      <c r="C180" t="s">
        <v>925</v>
      </c>
      <c r="D180" s="50">
        <v>44933.471053240741</v>
      </c>
      <c r="E180" t="s">
        <v>693</v>
      </c>
      <c r="F180" t="s">
        <v>707</v>
      </c>
      <c r="G180" t="s">
        <v>754</v>
      </c>
      <c r="H180"/>
    </row>
    <row r="181" spans="1:8" x14ac:dyDescent="0.2">
      <c r="A181" t="s">
        <v>926</v>
      </c>
      <c r="B181" s="50">
        <v>44932.717523148145</v>
      </c>
      <c r="C181" t="s">
        <v>926</v>
      </c>
      <c r="D181" s="50">
        <v>44933.572060185186</v>
      </c>
      <c r="E181" t="s">
        <v>693</v>
      </c>
      <c r="F181" t="s">
        <v>792</v>
      </c>
      <c r="G181" t="s">
        <v>694</v>
      </c>
      <c r="H181"/>
    </row>
    <row r="182" spans="1:8" x14ac:dyDescent="0.2">
      <c r="A182" t="s">
        <v>927</v>
      </c>
      <c r="B182" s="50">
        <v>44932.718298611115</v>
      </c>
      <c r="C182" t="s">
        <v>927</v>
      </c>
      <c r="D182" s="50">
        <v>44933.572164351855</v>
      </c>
      <c r="E182" t="s">
        <v>693</v>
      </c>
      <c r="F182" t="s">
        <v>928</v>
      </c>
      <c r="G182" t="s">
        <v>694</v>
      </c>
      <c r="H182"/>
    </row>
    <row r="183" spans="1:8" x14ac:dyDescent="0.2">
      <c r="A183" t="s">
        <v>929</v>
      </c>
      <c r="B183" s="50">
        <v>44932.718460648146</v>
      </c>
      <c r="C183" t="s">
        <v>929</v>
      </c>
      <c r="D183" s="50">
        <v>44935.536296296297</v>
      </c>
      <c r="E183" t="s">
        <v>693</v>
      </c>
      <c r="F183" t="s">
        <v>739</v>
      </c>
      <c r="G183" t="s">
        <v>823</v>
      </c>
      <c r="H183"/>
    </row>
    <row r="184" spans="1:8" x14ac:dyDescent="0.2">
      <c r="A184" t="s">
        <v>930</v>
      </c>
      <c r="B184" s="50">
        <v>44932.7184837963</v>
      </c>
      <c r="C184" t="s">
        <v>930</v>
      </c>
      <c r="D184" s="50">
        <v>44933.361458333333</v>
      </c>
      <c r="E184" t="s">
        <v>693</v>
      </c>
      <c r="F184" t="s">
        <v>7</v>
      </c>
      <c r="G184" t="s">
        <v>723</v>
      </c>
      <c r="H184"/>
    </row>
    <row r="185" spans="1:8" x14ac:dyDescent="0.2">
      <c r="A185" t="s">
        <v>931</v>
      </c>
      <c r="B185" s="50">
        <v>44932.718530092592</v>
      </c>
      <c r="C185" t="s">
        <v>931</v>
      </c>
      <c r="D185" s="50">
        <v>44932.721192129633</v>
      </c>
      <c r="E185" t="s">
        <v>725</v>
      </c>
      <c r="F185" t="s">
        <v>707</v>
      </c>
      <c r="G185" t="s">
        <v>924</v>
      </c>
      <c r="H185" t="s">
        <v>767</v>
      </c>
    </row>
    <row r="186" spans="1:8" x14ac:dyDescent="0.2">
      <c r="A186" t="s">
        <v>932</v>
      </c>
      <c r="B186" s="50">
        <v>44932.718576388892</v>
      </c>
      <c r="C186" t="s">
        <v>932</v>
      </c>
      <c r="D186" s="50">
        <v>44932.722685185188</v>
      </c>
      <c r="E186" t="s">
        <v>725</v>
      </c>
      <c r="F186" t="s">
        <v>783</v>
      </c>
      <c r="G186" t="s">
        <v>736</v>
      </c>
      <c r="H186"/>
    </row>
    <row r="187" spans="1:8" x14ac:dyDescent="0.2">
      <c r="A187" t="s">
        <v>933</v>
      </c>
      <c r="B187" s="50">
        <v>44932.718611111108</v>
      </c>
      <c r="C187" t="s">
        <v>933</v>
      </c>
      <c r="D187" s="50">
        <v>44933.447858796295</v>
      </c>
      <c r="E187" t="s">
        <v>693</v>
      </c>
      <c r="F187" t="s">
        <v>707</v>
      </c>
      <c r="G187" t="s">
        <v>754</v>
      </c>
      <c r="H187"/>
    </row>
    <row r="188" spans="1:8" x14ac:dyDescent="0.2">
      <c r="A188" t="s">
        <v>934</v>
      </c>
      <c r="B188" s="50">
        <v>44932.718634259261</v>
      </c>
      <c r="C188" t="s">
        <v>934</v>
      </c>
      <c r="D188" s="50">
        <v>44935.421932870369</v>
      </c>
      <c r="E188" t="s">
        <v>693</v>
      </c>
      <c r="F188" t="s">
        <v>707</v>
      </c>
      <c r="G188" t="s">
        <v>716</v>
      </c>
      <c r="H188"/>
    </row>
    <row r="189" spans="1:8" x14ac:dyDescent="0.2">
      <c r="A189" t="s">
        <v>935</v>
      </c>
      <c r="B189" s="50">
        <v>44933.369039351855</v>
      </c>
      <c r="C189" t="s">
        <v>935</v>
      </c>
      <c r="D189" s="50">
        <v>44933.482430555552</v>
      </c>
      <c r="E189" t="s">
        <v>693</v>
      </c>
      <c r="F189" t="s">
        <v>7</v>
      </c>
      <c r="G189" t="s">
        <v>757</v>
      </c>
      <c r="H189"/>
    </row>
    <row r="190" spans="1:8" x14ac:dyDescent="0.2">
      <c r="A190" t="s">
        <v>936</v>
      </c>
      <c r="B190" s="50">
        <v>44933.369074074071</v>
      </c>
      <c r="C190" t="s">
        <v>936</v>
      </c>
      <c r="D190" s="50">
        <v>44933.481689814813</v>
      </c>
      <c r="E190" t="s">
        <v>693</v>
      </c>
      <c r="F190" t="s">
        <v>7</v>
      </c>
      <c r="G190" t="s">
        <v>757</v>
      </c>
      <c r="H190"/>
    </row>
    <row r="191" spans="1:8" x14ac:dyDescent="0.2">
      <c r="A191" t="s">
        <v>937</v>
      </c>
      <c r="B191" s="50">
        <v>44933.369108796294</v>
      </c>
      <c r="C191" t="s">
        <v>937</v>
      </c>
      <c r="D191" s="50">
        <v>44933.481030092589</v>
      </c>
      <c r="E191" t="s">
        <v>693</v>
      </c>
      <c r="F191" t="s">
        <v>7</v>
      </c>
      <c r="G191" t="s">
        <v>757</v>
      </c>
      <c r="H191"/>
    </row>
    <row r="192" spans="1:8" x14ac:dyDescent="0.2">
      <c r="A192" t="s">
        <v>938</v>
      </c>
      <c r="B192" s="50">
        <v>44933.369143518517</v>
      </c>
      <c r="C192" t="s">
        <v>938</v>
      </c>
      <c r="D192" s="50">
        <v>44933.48033564815</v>
      </c>
      <c r="E192" t="s">
        <v>693</v>
      </c>
      <c r="F192" t="s">
        <v>7</v>
      </c>
      <c r="G192" t="s">
        <v>716</v>
      </c>
      <c r="H192"/>
    </row>
    <row r="193" spans="1:8" x14ac:dyDescent="0.2">
      <c r="A193" t="s">
        <v>939</v>
      </c>
      <c r="B193" s="50">
        <v>44933.369201388887</v>
      </c>
      <c r="C193" t="s">
        <v>939</v>
      </c>
      <c r="D193" s="50">
        <v>44933.479259259257</v>
      </c>
      <c r="E193" t="s">
        <v>693</v>
      </c>
      <c r="F193" t="s">
        <v>7</v>
      </c>
      <c r="G193" t="s">
        <v>716</v>
      </c>
      <c r="H193"/>
    </row>
    <row r="194" spans="1:8" x14ac:dyDescent="0.2">
      <c r="A194" t="s">
        <v>940</v>
      </c>
      <c r="B194" s="50">
        <v>44933.36923611111</v>
      </c>
      <c r="C194" t="s">
        <v>940</v>
      </c>
      <c r="D194" s="50">
        <v>44933.38722222222</v>
      </c>
      <c r="E194" t="s">
        <v>693</v>
      </c>
      <c r="F194" t="s">
        <v>739</v>
      </c>
      <c r="G194" t="s">
        <v>700</v>
      </c>
      <c r="H194"/>
    </row>
    <row r="195" spans="1:8" x14ac:dyDescent="0.2">
      <c r="A195" t="s">
        <v>941</v>
      </c>
      <c r="B195" s="50">
        <v>44933.36928240741</v>
      </c>
      <c r="C195" t="s">
        <v>941</v>
      </c>
      <c r="D195" s="50">
        <v>44933.387337962966</v>
      </c>
      <c r="E195" t="s">
        <v>693</v>
      </c>
      <c r="F195" t="s">
        <v>7</v>
      </c>
      <c r="G195" t="s">
        <v>700</v>
      </c>
      <c r="H195"/>
    </row>
    <row r="196" spans="1:8" x14ac:dyDescent="0.2">
      <c r="A196" t="s">
        <v>942</v>
      </c>
      <c r="B196" s="50">
        <v>44933.369340277779</v>
      </c>
      <c r="C196" t="s">
        <v>942</v>
      </c>
      <c r="D196" s="50">
        <v>44933.655624999999</v>
      </c>
      <c r="E196" t="s">
        <v>693</v>
      </c>
      <c r="F196" t="s">
        <v>7</v>
      </c>
      <c r="G196" t="s">
        <v>694</v>
      </c>
      <c r="H196"/>
    </row>
    <row r="197" spans="1:8" x14ac:dyDescent="0.2">
      <c r="A197" t="s">
        <v>943</v>
      </c>
      <c r="B197" s="50">
        <v>44933.369375000002</v>
      </c>
      <c r="C197" t="s">
        <v>943</v>
      </c>
      <c r="D197" s="50">
        <v>44933.685578703706</v>
      </c>
      <c r="E197" t="s">
        <v>693</v>
      </c>
      <c r="F197" t="s">
        <v>739</v>
      </c>
      <c r="G197" t="s">
        <v>694</v>
      </c>
      <c r="H197"/>
    </row>
    <row r="198" spans="1:8" x14ac:dyDescent="0.2">
      <c r="A198" t="s">
        <v>944</v>
      </c>
      <c r="B198" s="50">
        <v>44933.369409722225</v>
      </c>
      <c r="C198" t="s">
        <v>944</v>
      </c>
      <c r="D198" s="50">
        <v>44933.685659722221</v>
      </c>
      <c r="E198" t="s">
        <v>693</v>
      </c>
      <c r="F198" t="s">
        <v>7</v>
      </c>
      <c r="G198" t="s">
        <v>694</v>
      </c>
      <c r="H198"/>
    </row>
    <row r="199" spans="1:8" x14ac:dyDescent="0.2">
      <c r="A199" t="s">
        <v>945</v>
      </c>
      <c r="B199" s="50">
        <v>44933.369432870371</v>
      </c>
      <c r="C199" t="s">
        <v>945</v>
      </c>
      <c r="D199" s="50">
        <v>44933.4765162037</v>
      </c>
      <c r="E199" t="s">
        <v>693</v>
      </c>
      <c r="F199" t="s">
        <v>946</v>
      </c>
      <c r="G199" t="s">
        <v>716</v>
      </c>
      <c r="H199" t="s">
        <v>734</v>
      </c>
    </row>
    <row r="200" spans="1:8" x14ac:dyDescent="0.2">
      <c r="A200" t="s">
        <v>947</v>
      </c>
      <c r="B200" s="50">
        <v>44933.369444444441</v>
      </c>
      <c r="C200" t="s">
        <v>947</v>
      </c>
      <c r="D200" s="50">
        <v>44933.4766087963</v>
      </c>
      <c r="E200" t="s">
        <v>693</v>
      </c>
      <c r="F200" t="s">
        <v>707</v>
      </c>
      <c r="G200" t="s">
        <v>716</v>
      </c>
      <c r="H200" t="s">
        <v>734</v>
      </c>
    </row>
    <row r="201" spans="1:8" x14ac:dyDescent="0.2">
      <c r="A201" t="s">
        <v>948</v>
      </c>
      <c r="B201" s="50">
        <v>44933.369479166664</v>
      </c>
      <c r="C201" t="s">
        <v>948</v>
      </c>
      <c r="D201" s="50">
        <v>44933.475925925923</v>
      </c>
      <c r="E201" t="s">
        <v>693</v>
      </c>
      <c r="F201" t="s">
        <v>707</v>
      </c>
      <c r="G201" t="s">
        <v>716</v>
      </c>
      <c r="H201" t="s">
        <v>734</v>
      </c>
    </row>
    <row r="202" spans="1:8" x14ac:dyDescent="0.2">
      <c r="A202" t="s">
        <v>949</v>
      </c>
      <c r="B202" s="50">
        <v>44933.369513888887</v>
      </c>
      <c r="C202" t="s">
        <v>949</v>
      </c>
      <c r="D202" s="50">
        <v>44933.636874999997</v>
      </c>
      <c r="E202" t="s">
        <v>693</v>
      </c>
      <c r="F202" t="s">
        <v>739</v>
      </c>
      <c r="G202" t="s">
        <v>694</v>
      </c>
      <c r="H202"/>
    </row>
    <row r="203" spans="1:8" x14ac:dyDescent="0.2">
      <c r="A203" t="s">
        <v>950</v>
      </c>
      <c r="B203" s="50">
        <v>44933.369571759256</v>
      </c>
      <c r="C203" t="s">
        <v>950</v>
      </c>
      <c r="D203" s="50">
        <v>44933.40697916667</v>
      </c>
      <c r="E203" t="s">
        <v>693</v>
      </c>
      <c r="F203" t="s">
        <v>739</v>
      </c>
      <c r="G203" t="s">
        <v>700</v>
      </c>
      <c r="H203"/>
    </row>
    <row r="204" spans="1:8" x14ac:dyDescent="0.2">
      <c r="A204" t="s">
        <v>951</v>
      </c>
      <c r="B204" s="50">
        <v>44933.369606481479</v>
      </c>
      <c r="C204" t="s">
        <v>951</v>
      </c>
      <c r="D204" s="50">
        <v>44933.447060185186</v>
      </c>
      <c r="E204" t="s">
        <v>693</v>
      </c>
      <c r="F204" t="s">
        <v>707</v>
      </c>
      <c r="G204" t="s">
        <v>754</v>
      </c>
      <c r="H204" t="s">
        <v>759</v>
      </c>
    </row>
    <row r="205" spans="1:8" x14ac:dyDescent="0.2">
      <c r="A205" t="s">
        <v>952</v>
      </c>
      <c r="B205" s="50">
        <v>44933.369641203702</v>
      </c>
      <c r="C205" t="s">
        <v>952</v>
      </c>
      <c r="D205" s="50">
        <v>44933.445740740739</v>
      </c>
      <c r="E205" t="s">
        <v>693</v>
      </c>
      <c r="F205" t="s">
        <v>707</v>
      </c>
      <c r="G205" t="s">
        <v>723</v>
      </c>
      <c r="H205"/>
    </row>
    <row r="206" spans="1:8" x14ac:dyDescent="0.2">
      <c r="A206" t="s">
        <v>953</v>
      </c>
      <c r="B206" s="50">
        <v>44933.371550925927</v>
      </c>
      <c r="C206" t="s">
        <v>953</v>
      </c>
      <c r="D206" s="50">
        <v>44933.442766203705</v>
      </c>
      <c r="E206" t="s">
        <v>693</v>
      </c>
      <c r="F206" t="s">
        <v>707</v>
      </c>
      <c r="G206" t="s">
        <v>769</v>
      </c>
      <c r="H206" t="s">
        <v>734</v>
      </c>
    </row>
    <row r="207" spans="1:8" x14ac:dyDescent="0.2">
      <c r="A207" t="s">
        <v>954</v>
      </c>
      <c r="B207" s="50">
        <v>44933.371793981481</v>
      </c>
      <c r="C207" t="s">
        <v>954</v>
      </c>
      <c r="D207" s="50">
        <v>44943.597013888888</v>
      </c>
      <c r="E207" t="s">
        <v>693</v>
      </c>
      <c r="F207" s="50" t="s">
        <v>861</v>
      </c>
      <c r="G207" t="s">
        <v>804</v>
      </c>
      <c r="H207"/>
    </row>
    <row r="208" spans="1:8" x14ac:dyDescent="0.2">
      <c r="A208" t="s">
        <v>955</v>
      </c>
      <c r="B208" s="50">
        <v>44933.371840277781</v>
      </c>
      <c r="C208" t="s">
        <v>955</v>
      </c>
      <c r="D208" s="50">
        <v>44933.407071759262</v>
      </c>
      <c r="E208" t="s">
        <v>693</v>
      </c>
      <c r="F208" t="s">
        <v>7</v>
      </c>
      <c r="G208" t="s">
        <v>700</v>
      </c>
      <c r="H208"/>
    </row>
    <row r="209" spans="1:8" x14ac:dyDescent="0.2">
      <c r="A209">
        <v>96223610581</v>
      </c>
      <c r="B209" s="50">
        <v>44933.434652777774</v>
      </c>
      <c r="C209">
        <v>96223610581</v>
      </c>
      <c r="D209" s="50">
        <v>44933.434699074074</v>
      </c>
      <c r="E209" t="s">
        <v>693</v>
      </c>
      <c r="F209" t="s">
        <v>956</v>
      </c>
      <c r="G209" t="s">
        <v>957</v>
      </c>
      <c r="H209"/>
    </row>
    <row r="210" spans="1:8" x14ac:dyDescent="0.2">
      <c r="A210" t="s">
        <v>958</v>
      </c>
      <c r="B210" s="50">
        <v>44933.449930555558</v>
      </c>
      <c r="C210" t="s">
        <v>958</v>
      </c>
      <c r="D210" s="50">
        <v>44943.596597222226</v>
      </c>
      <c r="E210" t="s">
        <v>693</v>
      </c>
      <c r="F210" s="50" t="s">
        <v>861</v>
      </c>
      <c r="G210" t="s">
        <v>704</v>
      </c>
      <c r="H210"/>
    </row>
    <row r="211" spans="1:8" x14ac:dyDescent="0.2">
      <c r="A211" t="s">
        <v>917</v>
      </c>
      <c r="B211" s="50">
        <v>44933.463831018518</v>
      </c>
      <c r="C211" t="s">
        <v>917</v>
      </c>
      <c r="D211" s="50">
        <v>44933.463946759257</v>
      </c>
      <c r="E211" t="s">
        <v>725</v>
      </c>
      <c r="F211" t="s">
        <v>783</v>
      </c>
      <c r="G211" t="s">
        <v>766</v>
      </c>
      <c r="H211" t="s">
        <v>759</v>
      </c>
    </row>
    <row r="212" spans="1:8" x14ac:dyDescent="0.2">
      <c r="A212" t="s">
        <v>918</v>
      </c>
      <c r="B212" s="50">
        <v>44933.463750000003</v>
      </c>
      <c r="C212" t="s">
        <v>918</v>
      </c>
      <c r="D212" s="50">
        <v>44933.463958333334</v>
      </c>
      <c r="E212" t="s">
        <v>725</v>
      </c>
      <c r="F212" t="s">
        <v>783</v>
      </c>
      <c r="G212" t="s">
        <v>766</v>
      </c>
      <c r="H212" t="s">
        <v>759</v>
      </c>
    </row>
    <row r="213" spans="1:8" x14ac:dyDescent="0.2">
      <c r="A213" t="s">
        <v>959</v>
      </c>
      <c r="B213" s="50">
        <v>44933.465844907405</v>
      </c>
      <c r="C213" t="s">
        <v>959</v>
      </c>
      <c r="D213" s="50">
        <v>44933.483148148145</v>
      </c>
      <c r="E213" t="s">
        <v>693</v>
      </c>
      <c r="F213" t="s">
        <v>707</v>
      </c>
      <c r="G213" t="s">
        <v>754</v>
      </c>
      <c r="H213"/>
    </row>
    <row r="214" spans="1:8" x14ac:dyDescent="0.2">
      <c r="A214" t="s">
        <v>960</v>
      </c>
      <c r="B214" s="50">
        <v>44933.465914351851</v>
      </c>
      <c r="C214" t="s">
        <v>960</v>
      </c>
      <c r="D214" s="50">
        <v>44935.373842592591</v>
      </c>
      <c r="E214" t="s">
        <v>693</v>
      </c>
      <c r="F214" t="s">
        <v>709</v>
      </c>
      <c r="G214" t="s">
        <v>961</v>
      </c>
      <c r="H214"/>
    </row>
    <row r="215" spans="1:8" x14ac:dyDescent="0.2">
      <c r="A215" t="s">
        <v>962</v>
      </c>
      <c r="B215" s="50">
        <v>44933.465960648151</v>
      </c>
      <c r="C215" t="s">
        <v>962</v>
      </c>
      <c r="D215" s="50">
        <v>44936.374340277776</v>
      </c>
      <c r="E215" t="s">
        <v>693</v>
      </c>
      <c r="F215" t="s">
        <v>725</v>
      </c>
      <c r="G215" t="s">
        <v>766</v>
      </c>
      <c r="H215" t="s">
        <v>778</v>
      </c>
    </row>
    <row r="216" spans="1:8" x14ac:dyDescent="0.2">
      <c r="A216" t="s">
        <v>963</v>
      </c>
      <c r="B216" s="50">
        <v>44933.465983796297</v>
      </c>
      <c r="C216" t="s">
        <v>963</v>
      </c>
      <c r="D216" s="50">
        <v>44936.369814814818</v>
      </c>
      <c r="E216" t="s">
        <v>693</v>
      </c>
      <c r="F216" t="s">
        <v>725</v>
      </c>
      <c r="G216" t="s">
        <v>766</v>
      </c>
      <c r="H216" t="s">
        <v>778</v>
      </c>
    </row>
    <row r="217" spans="1:8" x14ac:dyDescent="0.2">
      <c r="A217" t="s">
        <v>964</v>
      </c>
      <c r="B217" s="50">
        <v>44933.476875</v>
      </c>
      <c r="C217" t="s">
        <v>964</v>
      </c>
      <c r="D217" s="50">
        <v>44933.477743055555</v>
      </c>
      <c r="E217" t="s">
        <v>693</v>
      </c>
      <c r="F217" t="s">
        <v>707</v>
      </c>
      <c r="G217" t="s">
        <v>887</v>
      </c>
      <c r="H217" t="s">
        <v>734</v>
      </c>
    </row>
    <row r="218" spans="1:8" x14ac:dyDescent="0.2">
      <c r="A218" t="s">
        <v>965</v>
      </c>
      <c r="B218" s="50">
        <v>44933.476898148147</v>
      </c>
      <c r="C218" t="s">
        <v>965</v>
      </c>
      <c r="D218" s="50">
        <v>44935.731307870374</v>
      </c>
      <c r="E218" t="s">
        <v>693</v>
      </c>
      <c r="F218" t="s">
        <v>707</v>
      </c>
      <c r="G218" t="s">
        <v>807</v>
      </c>
      <c r="H218" t="s">
        <v>966</v>
      </c>
    </row>
    <row r="219" spans="1:8" x14ac:dyDescent="0.2">
      <c r="A219" t="s">
        <v>967</v>
      </c>
      <c r="B219" s="50">
        <v>44933.579641203702</v>
      </c>
      <c r="C219" t="s">
        <v>967</v>
      </c>
      <c r="D219" s="50">
        <v>44933.636956018519</v>
      </c>
      <c r="E219" t="s">
        <v>693</v>
      </c>
      <c r="F219" t="s">
        <v>7</v>
      </c>
      <c r="G219" t="s">
        <v>694</v>
      </c>
      <c r="H219"/>
    </row>
    <row r="220" spans="1:8" x14ac:dyDescent="0.2">
      <c r="A220" t="s">
        <v>968</v>
      </c>
      <c r="B220" s="50">
        <v>44933.578796296293</v>
      </c>
      <c r="C220" t="s">
        <v>968</v>
      </c>
      <c r="D220" s="50">
        <v>44933.591597222221</v>
      </c>
      <c r="E220" t="s">
        <v>693</v>
      </c>
      <c r="F220" t="s">
        <v>7</v>
      </c>
      <c r="G220" t="s">
        <v>694</v>
      </c>
      <c r="H220"/>
    </row>
    <row r="221" spans="1:8" x14ac:dyDescent="0.2">
      <c r="A221" t="s">
        <v>969</v>
      </c>
      <c r="B221" s="50">
        <v>44933.578831018516</v>
      </c>
      <c r="C221" t="s">
        <v>969</v>
      </c>
      <c r="D221" s="50">
        <v>44933.584409722222</v>
      </c>
      <c r="E221" t="s">
        <v>693</v>
      </c>
      <c r="F221" t="s">
        <v>7</v>
      </c>
      <c r="G221" t="s">
        <v>716</v>
      </c>
      <c r="H221" t="s">
        <v>9</v>
      </c>
    </row>
    <row r="222" spans="1:8" x14ac:dyDescent="0.2">
      <c r="A222" t="s">
        <v>970</v>
      </c>
      <c r="B222" s="50">
        <v>44933.57885416667</v>
      </c>
      <c r="C222" t="s">
        <v>970</v>
      </c>
      <c r="D222" s="50">
        <v>44935.665729166663</v>
      </c>
      <c r="E222" t="s">
        <v>693</v>
      </c>
      <c r="F222" t="s">
        <v>709</v>
      </c>
      <c r="G222" t="s">
        <v>823</v>
      </c>
      <c r="H222"/>
    </row>
    <row r="223" spans="1:8" x14ac:dyDescent="0.2">
      <c r="A223" t="s">
        <v>971</v>
      </c>
      <c r="B223" s="50">
        <v>44933.578877314816</v>
      </c>
      <c r="C223" t="s">
        <v>971</v>
      </c>
      <c r="D223" s="50">
        <v>44935.536365740743</v>
      </c>
      <c r="E223" t="s">
        <v>693</v>
      </c>
      <c r="F223" t="s">
        <v>7</v>
      </c>
      <c r="G223" t="s">
        <v>823</v>
      </c>
      <c r="H223"/>
    </row>
    <row r="224" spans="1:8" x14ac:dyDescent="0.2">
      <c r="A224" t="s">
        <v>972</v>
      </c>
      <c r="B224" s="50">
        <v>44933.578900462962</v>
      </c>
      <c r="C224" t="s">
        <v>972</v>
      </c>
      <c r="D224" s="50">
        <v>44933.584745370368</v>
      </c>
      <c r="E224" t="s">
        <v>693</v>
      </c>
      <c r="F224" t="s">
        <v>707</v>
      </c>
      <c r="G224" t="s">
        <v>716</v>
      </c>
      <c r="H224" t="s">
        <v>734</v>
      </c>
    </row>
    <row r="225" spans="1:8" x14ac:dyDescent="0.2">
      <c r="A225" t="s">
        <v>973</v>
      </c>
      <c r="B225" s="50">
        <v>44933.578946759262</v>
      </c>
      <c r="C225" t="s">
        <v>973</v>
      </c>
      <c r="D225" s="50">
        <v>44935.631296296298</v>
      </c>
      <c r="E225" t="s">
        <v>693</v>
      </c>
      <c r="F225" t="s">
        <v>752</v>
      </c>
      <c r="G225" t="s">
        <v>867</v>
      </c>
      <c r="H225"/>
    </row>
    <row r="226" spans="1:8" x14ac:dyDescent="0.2">
      <c r="A226" t="s">
        <v>974</v>
      </c>
      <c r="B226" s="50">
        <v>44933.578981481478</v>
      </c>
      <c r="C226" t="s">
        <v>974</v>
      </c>
      <c r="D226" s="50">
        <v>44933.585127314815</v>
      </c>
      <c r="E226" t="s">
        <v>693</v>
      </c>
      <c r="F226" t="s">
        <v>739</v>
      </c>
      <c r="G226" t="s">
        <v>733</v>
      </c>
      <c r="H226" t="s">
        <v>734</v>
      </c>
    </row>
    <row r="227" spans="1:8" x14ac:dyDescent="0.2">
      <c r="A227" t="s">
        <v>975</v>
      </c>
      <c r="B227" s="50">
        <v>44933.578993055555</v>
      </c>
      <c r="C227" t="s">
        <v>975</v>
      </c>
      <c r="D227" s="50">
        <v>44933.585300925923</v>
      </c>
      <c r="E227" t="s">
        <v>693</v>
      </c>
      <c r="F227" t="s">
        <v>707</v>
      </c>
      <c r="G227" t="s">
        <v>733</v>
      </c>
      <c r="H227" t="s">
        <v>734</v>
      </c>
    </row>
    <row r="228" spans="1:8" x14ac:dyDescent="0.2">
      <c r="A228" t="s">
        <v>976</v>
      </c>
      <c r="B228" s="50">
        <v>44933.579525462963</v>
      </c>
      <c r="C228" t="s">
        <v>976</v>
      </c>
      <c r="D228" s="50">
        <v>44943.596203703702</v>
      </c>
      <c r="E228" t="s">
        <v>693</v>
      </c>
      <c r="F228" s="50" t="s">
        <v>861</v>
      </c>
      <c r="G228" t="s">
        <v>977</v>
      </c>
      <c r="H228"/>
    </row>
    <row r="229" spans="1:8" x14ac:dyDescent="0.2">
      <c r="A229" t="s">
        <v>978</v>
      </c>
      <c r="B229" s="50">
        <v>44933.579733796294</v>
      </c>
      <c r="C229" t="s">
        <v>978</v>
      </c>
      <c r="D229" s="50">
        <v>44933.585601851853</v>
      </c>
      <c r="E229" t="s">
        <v>693</v>
      </c>
      <c r="F229" t="s">
        <v>752</v>
      </c>
      <c r="G229" t="s">
        <v>694</v>
      </c>
      <c r="H229" t="s">
        <v>734</v>
      </c>
    </row>
    <row r="230" spans="1:8" x14ac:dyDescent="0.2">
      <c r="A230" t="s">
        <v>979</v>
      </c>
      <c r="B230" s="50">
        <v>44933.618958333333</v>
      </c>
      <c r="C230" t="s">
        <v>979</v>
      </c>
      <c r="D230" s="50">
        <v>44935.373935185184</v>
      </c>
      <c r="E230" t="s">
        <v>693</v>
      </c>
      <c r="F230" t="s">
        <v>7</v>
      </c>
      <c r="G230" t="s">
        <v>961</v>
      </c>
      <c r="H230"/>
    </row>
    <row r="231" spans="1:8" x14ac:dyDescent="0.2">
      <c r="A231" t="s">
        <v>980</v>
      </c>
      <c r="B231" s="50">
        <v>44933.618981481479</v>
      </c>
      <c r="C231" t="s">
        <v>980</v>
      </c>
      <c r="D231" s="50">
        <v>44937.585844907408</v>
      </c>
      <c r="E231" t="s">
        <v>693</v>
      </c>
      <c r="F231" s="50" t="s">
        <v>739</v>
      </c>
      <c r="G231" t="s">
        <v>867</v>
      </c>
      <c r="H231"/>
    </row>
    <row r="232" spans="1:8" x14ac:dyDescent="0.2">
      <c r="A232" t="s">
        <v>981</v>
      </c>
      <c r="B232" s="50">
        <v>44933.619062500002</v>
      </c>
      <c r="C232" t="s">
        <v>981</v>
      </c>
      <c r="D232" s="50">
        <v>44936.388206018521</v>
      </c>
      <c r="E232" t="s">
        <v>693</v>
      </c>
      <c r="F232" t="s">
        <v>707</v>
      </c>
      <c r="G232" t="s">
        <v>807</v>
      </c>
      <c r="H232" t="s">
        <v>966</v>
      </c>
    </row>
    <row r="233" spans="1:8" x14ac:dyDescent="0.2">
      <c r="A233" t="s">
        <v>982</v>
      </c>
      <c r="B233" s="50">
        <v>44933.619097222225</v>
      </c>
      <c r="C233" t="s">
        <v>982</v>
      </c>
      <c r="D233" s="50">
        <v>44935.633587962962</v>
      </c>
      <c r="E233" t="s">
        <v>725</v>
      </c>
      <c r="F233" t="s">
        <v>707</v>
      </c>
      <c r="G233" t="s">
        <v>766</v>
      </c>
      <c r="H233"/>
    </row>
    <row r="234" spans="1:8" x14ac:dyDescent="0.2">
      <c r="A234" t="s">
        <v>983</v>
      </c>
      <c r="B234" s="50">
        <v>44933.636354166665</v>
      </c>
      <c r="C234" t="s">
        <v>983</v>
      </c>
      <c r="D234" s="50">
        <v>44933.636388888888</v>
      </c>
      <c r="E234" t="s">
        <v>693</v>
      </c>
      <c r="F234" t="s">
        <v>846</v>
      </c>
      <c r="G234" t="s">
        <v>807</v>
      </c>
      <c r="H234"/>
    </row>
    <row r="235" spans="1:8" x14ac:dyDescent="0.2">
      <c r="A235" t="s">
        <v>984</v>
      </c>
      <c r="B235" s="50">
        <v>44933.656643518516</v>
      </c>
      <c r="C235" t="s">
        <v>984</v>
      </c>
      <c r="D235" s="50">
        <v>44933.662430555552</v>
      </c>
      <c r="E235" t="s">
        <v>693</v>
      </c>
      <c r="F235" t="s">
        <v>707</v>
      </c>
      <c r="G235" t="s">
        <v>769</v>
      </c>
      <c r="H235"/>
    </row>
    <row r="236" spans="1:8" x14ac:dyDescent="0.2">
      <c r="A236" t="s">
        <v>985</v>
      </c>
      <c r="B236" s="50">
        <v>44933.656689814816</v>
      </c>
      <c r="C236" t="s">
        <v>985</v>
      </c>
      <c r="D236" s="50">
        <v>44933.661423611113</v>
      </c>
      <c r="E236" t="s">
        <v>693</v>
      </c>
      <c r="F236" t="s">
        <v>707</v>
      </c>
      <c r="G236" t="s">
        <v>754</v>
      </c>
      <c r="H236"/>
    </row>
    <row r="237" spans="1:8" x14ac:dyDescent="0.2">
      <c r="A237" t="s">
        <v>986</v>
      </c>
      <c r="B237" s="50">
        <v>44933.656724537039</v>
      </c>
      <c r="C237" t="s">
        <v>986</v>
      </c>
      <c r="D237" s="50">
        <v>44933.658784722225</v>
      </c>
      <c r="E237" t="s">
        <v>693</v>
      </c>
      <c r="F237" t="s">
        <v>707</v>
      </c>
      <c r="G237" t="s">
        <v>769</v>
      </c>
      <c r="H237"/>
    </row>
    <row r="238" spans="1:8" x14ac:dyDescent="0.2">
      <c r="A238" t="s">
        <v>987</v>
      </c>
      <c r="B238" s="50">
        <v>44933.656782407408</v>
      </c>
      <c r="C238" t="s">
        <v>987</v>
      </c>
      <c r="D238" s="50">
        <v>44933.657962962963</v>
      </c>
      <c r="E238" t="s">
        <v>693</v>
      </c>
      <c r="F238" t="s">
        <v>707</v>
      </c>
      <c r="G238" t="s">
        <v>769</v>
      </c>
      <c r="H238"/>
    </row>
    <row r="239" spans="1:8" x14ac:dyDescent="0.2">
      <c r="A239" t="s">
        <v>988</v>
      </c>
      <c r="B239" s="50">
        <v>44933.688113425924</v>
      </c>
      <c r="C239" t="s">
        <v>988</v>
      </c>
      <c r="D239" s="50">
        <v>44935.396307870367</v>
      </c>
      <c r="E239" t="s">
        <v>693</v>
      </c>
      <c r="F239" t="s">
        <v>707</v>
      </c>
      <c r="G239" t="s">
        <v>889</v>
      </c>
      <c r="H239" t="s">
        <v>737</v>
      </c>
    </row>
    <row r="240" spans="1:8" x14ac:dyDescent="0.2">
      <c r="A240" t="s">
        <v>989</v>
      </c>
      <c r="B240" s="50">
        <v>44933.688171296293</v>
      </c>
      <c r="C240" t="s">
        <v>989</v>
      </c>
      <c r="D240" s="50">
        <v>44935.594108796293</v>
      </c>
      <c r="E240" t="s">
        <v>693</v>
      </c>
      <c r="F240" t="s">
        <v>703</v>
      </c>
      <c r="G240" t="s">
        <v>807</v>
      </c>
      <c r="H240" t="s">
        <v>966</v>
      </c>
    </row>
    <row r="241" spans="1:8" x14ac:dyDescent="0.2">
      <c r="A241" t="s">
        <v>990</v>
      </c>
      <c r="B241" s="50">
        <v>44933.68822916667</v>
      </c>
      <c r="C241" t="s">
        <v>990</v>
      </c>
      <c r="D241" s="50">
        <v>44935.393067129633</v>
      </c>
      <c r="E241" t="s">
        <v>693</v>
      </c>
      <c r="F241" t="s">
        <v>739</v>
      </c>
      <c r="G241" t="s">
        <v>716</v>
      </c>
      <c r="H241"/>
    </row>
    <row r="242" spans="1:8" x14ac:dyDescent="0.2">
      <c r="A242" t="s">
        <v>991</v>
      </c>
      <c r="B242" s="50">
        <v>44933.688275462962</v>
      </c>
      <c r="C242" t="s">
        <v>991</v>
      </c>
      <c r="D242" s="50">
        <v>44936.379583333335</v>
      </c>
      <c r="E242" t="s">
        <v>693</v>
      </c>
      <c r="F242" t="s">
        <v>707</v>
      </c>
      <c r="G242" t="s">
        <v>694</v>
      </c>
      <c r="H242"/>
    </row>
    <row r="243" spans="1:8" x14ac:dyDescent="0.2">
      <c r="A243" t="s">
        <v>992</v>
      </c>
      <c r="B243" s="50">
        <v>44933.722222222219</v>
      </c>
      <c r="C243" t="s">
        <v>992</v>
      </c>
      <c r="D243" s="50">
        <v>44935.393182870372</v>
      </c>
      <c r="E243" t="s">
        <v>693</v>
      </c>
      <c r="F243" t="s">
        <v>836</v>
      </c>
      <c r="G243" t="s">
        <v>716</v>
      </c>
      <c r="H243"/>
    </row>
    <row r="244" spans="1:8" x14ac:dyDescent="0.2">
      <c r="A244" t="s">
        <v>993</v>
      </c>
      <c r="B244" s="50">
        <v>44935.383125</v>
      </c>
      <c r="C244" t="s">
        <v>993</v>
      </c>
      <c r="D244" s="50">
        <v>44935.395069444443</v>
      </c>
      <c r="E244" t="s">
        <v>693</v>
      </c>
      <c r="F244" t="s">
        <v>707</v>
      </c>
      <c r="G244" t="s">
        <v>716</v>
      </c>
      <c r="H244"/>
    </row>
    <row r="245" spans="1:8" x14ac:dyDescent="0.2">
      <c r="A245" t="s">
        <v>994</v>
      </c>
      <c r="B245" s="50">
        <v>44935.382777777777</v>
      </c>
      <c r="C245" t="s">
        <v>994</v>
      </c>
      <c r="D245" s="50">
        <v>44935.399583333332</v>
      </c>
      <c r="E245" t="s">
        <v>693</v>
      </c>
      <c r="F245" t="s">
        <v>707</v>
      </c>
      <c r="G245" t="s">
        <v>716</v>
      </c>
      <c r="H245"/>
    </row>
    <row r="246" spans="1:8" x14ac:dyDescent="0.2">
      <c r="A246" t="s">
        <v>995</v>
      </c>
      <c r="B246" s="50">
        <v>44935.382789351854</v>
      </c>
      <c r="C246" t="s">
        <v>995</v>
      </c>
      <c r="D246" s="50">
        <v>44935.398784722223</v>
      </c>
      <c r="E246" t="s">
        <v>693</v>
      </c>
      <c r="F246" t="s">
        <v>707</v>
      </c>
      <c r="G246" t="s">
        <v>769</v>
      </c>
      <c r="H246"/>
    </row>
    <row r="247" spans="1:8" x14ac:dyDescent="0.2">
      <c r="A247" t="s">
        <v>996</v>
      </c>
      <c r="B247" s="50">
        <v>44935.382824074077</v>
      </c>
      <c r="C247" t="s">
        <v>996</v>
      </c>
      <c r="D247" s="50">
        <v>44935.396874999999</v>
      </c>
      <c r="E247" t="s">
        <v>693</v>
      </c>
      <c r="F247" t="s">
        <v>739</v>
      </c>
      <c r="G247" t="s">
        <v>997</v>
      </c>
      <c r="H247" t="s">
        <v>734</v>
      </c>
    </row>
    <row r="248" spans="1:8" x14ac:dyDescent="0.2">
      <c r="A248" t="s">
        <v>998</v>
      </c>
      <c r="B248" s="50">
        <v>44935.382835648146</v>
      </c>
      <c r="C248" t="s">
        <v>998</v>
      </c>
      <c r="D248" s="50">
        <v>44935.39702546296</v>
      </c>
      <c r="E248" t="s">
        <v>693</v>
      </c>
      <c r="F248" t="s">
        <v>707</v>
      </c>
      <c r="G248" t="s">
        <v>997</v>
      </c>
      <c r="H248" t="s">
        <v>734</v>
      </c>
    </row>
    <row r="249" spans="1:8" x14ac:dyDescent="0.2">
      <c r="A249" t="s">
        <v>999</v>
      </c>
      <c r="B249" s="50">
        <v>44935.382847222223</v>
      </c>
      <c r="C249" t="s">
        <v>999</v>
      </c>
      <c r="D249" s="50">
        <v>44935.397592592592</v>
      </c>
      <c r="E249" t="s">
        <v>693</v>
      </c>
      <c r="F249" t="s">
        <v>703</v>
      </c>
      <c r="G249" t="s">
        <v>997</v>
      </c>
      <c r="H249" t="s">
        <v>734</v>
      </c>
    </row>
    <row r="250" spans="1:8" x14ac:dyDescent="0.2">
      <c r="A250" t="s">
        <v>1000</v>
      </c>
      <c r="B250" s="50">
        <v>44935.382870370369</v>
      </c>
      <c r="C250" t="s">
        <v>1000</v>
      </c>
      <c r="D250" s="50">
        <v>44935.397719907407</v>
      </c>
      <c r="E250" t="s">
        <v>693</v>
      </c>
      <c r="F250" t="s">
        <v>707</v>
      </c>
      <c r="G250" t="s">
        <v>997</v>
      </c>
      <c r="H250" t="s">
        <v>734</v>
      </c>
    </row>
    <row r="251" spans="1:8" x14ac:dyDescent="0.2">
      <c r="A251" t="s">
        <v>990</v>
      </c>
      <c r="B251" s="50">
        <v>44935.480196759258</v>
      </c>
      <c r="C251" t="s">
        <v>990</v>
      </c>
      <c r="D251" s="50">
        <v>44935.528240740743</v>
      </c>
      <c r="E251" t="s">
        <v>693</v>
      </c>
      <c r="F251" t="s">
        <v>739</v>
      </c>
      <c r="G251" t="s">
        <v>716</v>
      </c>
      <c r="H251"/>
    </row>
    <row r="252" spans="1:8" x14ac:dyDescent="0.2">
      <c r="A252" t="s">
        <v>992</v>
      </c>
      <c r="B252" s="50">
        <v>44935.480219907404</v>
      </c>
      <c r="C252" t="s">
        <v>992</v>
      </c>
      <c r="D252" s="50">
        <v>44935.528310185182</v>
      </c>
      <c r="E252" t="s">
        <v>693</v>
      </c>
      <c r="F252" t="s">
        <v>707</v>
      </c>
      <c r="G252" t="s">
        <v>716</v>
      </c>
      <c r="H252"/>
    </row>
    <row r="253" spans="1:8" x14ac:dyDescent="0.2">
      <c r="A253" t="s">
        <v>1001</v>
      </c>
      <c r="B253" s="50">
        <v>44935.480266203704</v>
      </c>
      <c r="C253" t="s">
        <v>1001</v>
      </c>
      <c r="D253" s="50">
        <v>44935.526041666664</v>
      </c>
      <c r="E253" t="s">
        <v>693</v>
      </c>
      <c r="F253" t="s">
        <v>707</v>
      </c>
      <c r="G253" t="s">
        <v>1002</v>
      </c>
      <c r="H253" t="s">
        <v>734</v>
      </c>
    </row>
    <row r="254" spans="1:8" x14ac:dyDescent="0.2">
      <c r="A254" t="s">
        <v>1003</v>
      </c>
      <c r="B254" s="50">
        <v>44935.48027777778</v>
      </c>
      <c r="C254" t="s">
        <v>1003</v>
      </c>
      <c r="D254" s="50">
        <v>44935.526747685188</v>
      </c>
      <c r="E254" t="s">
        <v>693</v>
      </c>
      <c r="F254" t="s">
        <v>836</v>
      </c>
      <c r="G254" t="s">
        <v>887</v>
      </c>
      <c r="H254"/>
    </row>
    <row r="255" spans="1:8" x14ac:dyDescent="0.2">
      <c r="A255" t="s">
        <v>1004</v>
      </c>
      <c r="B255" s="50">
        <v>44935.595057870371</v>
      </c>
      <c r="C255" t="s">
        <v>1004</v>
      </c>
      <c r="D255" s="50">
        <v>44936.4765625</v>
      </c>
      <c r="E255" t="s">
        <v>693</v>
      </c>
      <c r="F255" t="s">
        <v>707</v>
      </c>
      <c r="G255" t="s">
        <v>700</v>
      </c>
      <c r="H255"/>
    </row>
    <row r="256" spans="1:8" x14ac:dyDescent="0.2">
      <c r="A256" t="s">
        <v>1005</v>
      </c>
      <c r="B256" s="50">
        <v>44935.595000000001</v>
      </c>
      <c r="C256" t="s">
        <v>1005</v>
      </c>
      <c r="D256" s="50">
        <v>44935.665810185186</v>
      </c>
      <c r="E256" t="s">
        <v>693</v>
      </c>
      <c r="F256" t="s">
        <v>7</v>
      </c>
      <c r="G256" t="s">
        <v>823</v>
      </c>
      <c r="H256"/>
    </row>
    <row r="257" spans="1:8" x14ac:dyDescent="0.2">
      <c r="A257" t="s">
        <v>1006</v>
      </c>
      <c r="B257" s="50">
        <v>44935.595150462963</v>
      </c>
      <c r="C257" t="s">
        <v>1006</v>
      </c>
      <c r="D257" s="50">
        <v>44935.611284722225</v>
      </c>
      <c r="E257" t="s">
        <v>693</v>
      </c>
      <c r="F257" t="s">
        <v>707</v>
      </c>
      <c r="G257" t="s">
        <v>716</v>
      </c>
      <c r="H257"/>
    </row>
    <row r="258" spans="1:8" x14ac:dyDescent="0.2">
      <c r="A258" t="s">
        <v>1007</v>
      </c>
      <c r="B258" s="50">
        <v>44935.595173611109</v>
      </c>
      <c r="C258" t="s">
        <v>1007</v>
      </c>
      <c r="D258" s="50">
        <v>44935.598425925928</v>
      </c>
      <c r="E258" t="s">
        <v>693</v>
      </c>
      <c r="F258" t="s">
        <v>7</v>
      </c>
      <c r="G258" t="s">
        <v>736</v>
      </c>
      <c r="H258"/>
    </row>
    <row r="259" spans="1:8" x14ac:dyDescent="0.2">
      <c r="A259" t="s">
        <v>1008</v>
      </c>
      <c r="B259" s="50">
        <v>44935.612951388888</v>
      </c>
      <c r="C259" t="s">
        <v>1008</v>
      </c>
      <c r="D259" s="50">
        <v>44935.613113425927</v>
      </c>
      <c r="E259" t="s">
        <v>693</v>
      </c>
      <c r="F259" t="s">
        <v>7</v>
      </c>
      <c r="G259" t="s">
        <v>880</v>
      </c>
      <c r="H259" t="s">
        <v>1009</v>
      </c>
    </row>
    <row r="260" spans="1:8" x14ac:dyDescent="0.2">
      <c r="A260" t="s">
        <v>828</v>
      </c>
      <c r="B260" s="50">
        <v>44935.634618055556</v>
      </c>
      <c r="C260" t="s">
        <v>828</v>
      </c>
      <c r="D260" s="50">
        <v>44935.620937500003</v>
      </c>
      <c r="E260" t="s">
        <v>693</v>
      </c>
      <c r="F260" t="s">
        <v>1010</v>
      </c>
      <c r="G260" t="s">
        <v>694</v>
      </c>
      <c r="H260" t="s">
        <v>1011</v>
      </c>
    </row>
    <row r="261" spans="1:8" x14ac:dyDescent="0.2">
      <c r="A261" t="s">
        <v>1012</v>
      </c>
      <c r="B261" s="50">
        <v>44935.632488425923</v>
      </c>
      <c r="C261" t="s">
        <v>1012</v>
      </c>
      <c r="D261" s="50">
        <v>44935.651238425926</v>
      </c>
      <c r="E261" t="s">
        <v>693</v>
      </c>
      <c r="F261" t="s">
        <v>707</v>
      </c>
      <c r="G261" t="s">
        <v>807</v>
      </c>
      <c r="H261" t="s">
        <v>1013</v>
      </c>
    </row>
    <row r="262" spans="1:8" x14ac:dyDescent="0.2">
      <c r="A262" t="s">
        <v>982</v>
      </c>
      <c r="B262" s="50">
        <v>44935.633564814816</v>
      </c>
      <c r="C262" t="s">
        <v>982</v>
      </c>
      <c r="D262" s="50">
        <v>44935.633587962962</v>
      </c>
      <c r="E262" t="s">
        <v>725</v>
      </c>
      <c r="F262" t="s">
        <v>707</v>
      </c>
      <c r="G262" t="s">
        <v>766</v>
      </c>
      <c r="H262"/>
    </row>
    <row r="263" spans="1:8" x14ac:dyDescent="0.2">
      <c r="A263">
        <v>96223620248</v>
      </c>
      <c r="B263" s="50">
        <v>44935.656770833331</v>
      </c>
      <c r="C263">
        <v>96223620248</v>
      </c>
      <c r="D263" s="50">
        <v>44935.656793981485</v>
      </c>
      <c r="E263" t="s">
        <v>693</v>
      </c>
      <c r="F263" t="s">
        <v>1014</v>
      </c>
      <c r="G263" t="s">
        <v>754</v>
      </c>
      <c r="H263" t="s">
        <v>1015</v>
      </c>
    </row>
    <row r="264" spans="1:8" x14ac:dyDescent="0.2">
      <c r="A264" t="s">
        <v>1003</v>
      </c>
      <c r="B264" s="50">
        <v>44935.657361111109</v>
      </c>
      <c r="C264" t="s">
        <v>1003</v>
      </c>
      <c r="D264" s="50">
        <v>44935.677754629629</v>
      </c>
      <c r="E264" t="s">
        <v>693</v>
      </c>
      <c r="F264" t="s">
        <v>7</v>
      </c>
      <c r="G264" t="s">
        <v>887</v>
      </c>
      <c r="H264"/>
    </row>
    <row r="265" spans="1:8" x14ac:dyDescent="0.2">
      <c r="A265" t="s">
        <v>1016</v>
      </c>
      <c r="B265" s="50">
        <v>44935.657442129632</v>
      </c>
      <c r="C265" t="s">
        <v>1016</v>
      </c>
      <c r="D265" s="50">
        <v>44935.679814814815</v>
      </c>
      <c r="E265" t="s">
        <v>693</v>
      </c>
      <c r="F265" t="s">
        <v>7</v>
      </c>
      <c r="G265" t="s">
        <v>736</v>
      </c>
      <c r="H265" t="s">
        <v>737</v>
      </c>
    </row>
    <row r="266" spans="1:8" x14ac:dyDescent="0.2">
      <c r="A266" t="s">
        <v>1017</v>
      </c>
      <c r="B266" s="50">
        <v>44935.657465277778</v>
      </c>
      <c r="C266" t="s">
        <v>1017</v>
      </c>
      <c r="D266" s="50">
        <v>44936.408842592595</v>
      </c>
      <c r="E266" t="s">
        <v>693</v>
      </c>
      <c r="F266" t="s">
        <v>707</v>
      </c>
      <c r="G266" t="s">
        <v>716</v>
      </c>
      <c r="H266"/>
    </row>
    <row r="267" spans="1:8" x14ac:dyDescent="0.2">
      <c r="A267" t="s">
        <v>1018</v>
      </c>
      <c r="B267" s="50">
        <v>44935.657731481479</v>
      </c>
      <c r="C267" t="s">
        <v>1018</v>
      </c>
      <c r="D267" s="50">
        <v>44936.40121527778</v>
      </c>
      <c r="E267" t="s">
        <v>693</v>
      </c>
      <c r="F267" t="s">
        <v>7</v>
      </c>
      <c r="G267" t="s">
        <v>723</v>
      </c>
      <c r="H267"/>
    </row>
    <row r="268" spans="1:8" x14ac:dyDescent="0.2">
      <c r="A268" t="s">
        <v>1019</v>
      </c>
      <c r="B268" s="50">
        <v>44935.657835648148</v>
      </c>
      <c r="C268" t="s">
        <v>1019</v>
      </c>
      <c r="D268" s="50">
        <v>44935.676655092589</v>
      </c>
      <c r="E268" t="s">
        <v>693</v>
      </c>
      <c r="F268" t="s">
        <v>707</v>
      </c>
      <c r="G268" t="s">
        <v>754</v>
      </c>
      <c r="H268"/>
    </row>
    <row r="269" spans="1:8" x14ac:dyDescent="0.2">
      <c r="A269" t="s">
        <v>1020</v>
      </c>
      <c r="B269" s="50">
        <v>44935.657905092594</v>
      </c>
      <c r="C269" t="s">
        <v>1020</v>
      </c>
      <c r="D269" s="50">
        <v>44935.675810185188</v>
      </c>
      <c r="E269" t="s">
        <v>693</v>
      </c>
      <c r="F269" t="s">
        <v>707</v>
      </c>
      <c r="G269" t="s">
        <v>731</v>
      </c>
      <c r="H269"/>
    </row>
    <row r="270" spans="1:8" x14ac:dyDescent="0.2">
      <c r="A270" t="s">
        <v>1021</v>
      </c>
      <c r="B270" s="50">
        <v>44935.657951388886</v>
      </c>
      <c r="C270" t="s">
        <v>1021</v>
      </c>
      <c r="D270" s="50">
        <v>44935.706446759257</v>
      </c>
      <c r="E270" t="s">
        <v>693</v>
      </c>
      <c r="F270" t="s">
        <v>707</v>
      </c>
      <c r="G270" t="s">
        <v>696</v>
      </c>
      <c r="H270"/>
    </row>
    <row r="271" spans="1:8" x14ac:dyDescent="0.2">
      <c r="A271" t="s">
        <v>1022</v>
      </c>
      <c r="B271" s="50">
        <v>44935.65797453704</v>
      </c>
      <c r="C271" t="s">
        <v>1022</v>
      </c>
      <c r="D271" s="50">
        <v>44935.66615740741</v>
      </c>
      <c r="E271" t="s">
        <v>693</v>
      </c>
      <c r="F271" t="s">
        <v>707</v>
      </c>
      <c r="G271" t="s">
        <v>694</v>
      </c>
      <c r="H271" t="s">
        <v>1023</v>
      </c>
    </row>
    <row r="272" spans="1:8" x14ac:dyDescent="0.2">
      <c r="A272" t="s">
        <v>1024</v>
      </c>
      <c r="B272" s="50">
        <v>44935.658020833333</v>
      </c>
      <c r="C272" t="s">
        <v>1024</v>
      </c>
      <c r="D272" s="50">
        <v>44936.459930555553</v>
      </c>
      <c r="E272" t="s">
        <v>693</v>
      </c>
      <c r="F272" t="s">
        <v>739</v>
      </c>
      <c r="G272" t="s">
        <v>694</v>
      </c>
      <c r="H272"/>
    </row>
    <row r="273" spans="1:8" x14ac:dyDescent="0.2">
      <c r="A273" t="s">
        <v>1025</v>
      </c>
      <c r="B273" s="50">
        <v>44935.685416666667</v>
      </c>
      <c r="C273" t="s">
        <v>1025</v>
      </c>
      <c r="D273" s="50">
        <v>44935.721863425926</v>
      </c>
      <c r="E273" t="s">
        <v>693</v>
      </c>
      <c r="F273" t="s">
        <v>7</v>
      </c>
      <c r="G273" t="s">
        <v>754</v>
      </c>
      <c r="H273"/>
    </row>
    <row r="274" spans="1:8" x14ac:dyDescent="0.2">
      <c r="A274" t="s">
        <v>1026</v>
      </c>
      <c r="B274" s="50">
        <v>44935.685486111113</v>
      </c>
      <c r="C274" t="s">
        <v>1026</v>
      </c>
      <c r="D274" s="50">
        <v>44935.720636574071</v>
      </c>
      <c r="E274" t="s">
        <v>693</v>
      </c>
      <c r="F274" t="s">
        <v>707</v>
      </c>
      <c r="G274" t="s">
        <v>716</v>
      </c>
      <c r="H274"/>
    </row>
    <row r="275" spans="1:8" x14ac:dyDescent="0.2">
      <c r="A275" t="s">
        <v>1027</v>
      </c>
      <c r="B275" s="50">
        <v>44935.685520833336</v>
      </c>
      <c r="C275" t="s">
        <v>1027</v>
      </c>
      <c r="D275" s="50">
        <v>44943.595057870371</v>
      </c>
      <c r="E275" t="s">
        <v>693</v>
      </c>
      <c r="F275" s="50" t="s">
        <v>861</v>
      </c>
      <c r="G275" t="s">
        <v>723</v>
      </c>
      <c r="H275"/>
    </row>
    <row r="276" spans="1:8" x14ac:dyDescent="0.2">
      <c r="A276" t="s">
        <v>1028</v>
      </c>
      <c r="B276" s="50">
        <v>44935.685532407406</v>
      </c>
      <c r="C276" t="s">
        <v>1028</v>
      </c>
      <c r="D276" s="50">
        <v>44935.688877314817</v>
      </c>
      <c r="E276" t="s">
        <v>693</v>
      </c>
      <c r="F276" t="s">
        <v>707</v>
      </c>
      <c r="G276" t="s">
        <v>723</v>
      </c>
      <c r="H276"/>
    </row>
    <row r="277" spans="1:8" x14ac:dyDescent="0.2">
      <c r="A277" t="s">
        <v>1029</v>
      </c>
      <c r="B277" s="50">
        <v>44936.380613425928</v>
      </c>
      <c r="C277" t="s">
        <v>1029</v>
      </c>
      <c r="D277" s="50">
        <v>44936.38077546296</v>
      </c>
      <c r="E277" t="s">
        <v>725</v>
      </c>
      <c r="F277" t="s">
        <v>707</v>
      </c>
      <c r="G277" t="s">
        <v>766</v>
      </c>
      <c r="H277"/>
    </row>
    <row r="278" spans="1:8" x14ac:dyDescent="0.2">
      <c r="A278" t="s">
        <v>1030</v>
      </c>
      <c r="B278" s="50">
        <v>44936.380624999998</v>
      </c>
      <c r="C278" t="s">
        <v>1030</v>
      </c>
      <c r="D278" s="50">
        <v>44936.380798611113</v>
      </c>
      <c r="E278" t="s">
        <v>725</v>
      </c>
      <c r="F278" t="s">
        <v>707</v>
      </c>
      <c r="G278" t="s">
        <v>766</v>
      </c>
      <c r="H278"/>
    </row>
    <row r="279" spans="1:8" x14ac:dyDescent="0.2">
      <c r="A279" t="s">
        <v>1031</v>
      </c>
      <c r="B279" s="50">
        <v>44936.389537037037</v>
      </c>
      <c r="C279" t="s">
        <v>1031</v>
      </c>
      <c r="D279" s="50">
        <v>44939.355868055558</v>
      </c>
      <c r="E279" t="s">
        <v>693</v>
      </c>
      <c r="F279" s="50" t="s">
        <v>861</v>
      </c>
      <c r="G279" t="s">
        <v>716</v>
      </c>
      <c r="H279" s="50" t="s">
        <v>734</v>
      </c>
    </row>
    <row r="280" spans="1:8" x14ac:dyDescent="0.2">
      <c r="A280" t="s">
        <v>1032</v>
      </c>
      <c r="B280" s="50">
        <v>44936.38958333333</v>
      </c>
      <c r="C280" t="s">
        <v>1032</v>
      </c>
      <c r="D280" s="50">
        <v>44936.426504629628</v>
      </c>
      <c r="E280" t="s">
        <v>693</v>
      </c>
      <c r="F280" t="s">
        <v>707</v>
      </c>
      <c r="G280" t="s">
        <v>716</v>
      </c>
      <c r="H280"/>
    </row>
    <row r="281" spans="1:8" x14ac:dyDescent="0.2">
      <c r="A281" t="s">
        <v>1033</v>
      </c>
      <c r="B281" s="50">
        <v>44936.389618055553</v>
      </c>
      <c r="C281" t="s">
        <v>1033</v>
      </c>
      <c r="D281" s="50">
        <v>44936.425717592596</v>
      </c>
      <c r="E281" t="s">
        <v>693</v>
      </c>
      <c r="F281" t="s">
        <v>707</v>
      </c>
      <c r="G281" t="s">
        <v>716</v>
      </c>
      <c r="H281"/>
    </row>
    <row r="282" spans="1:8" x14ac:dyDescent="0.2">
      <c r="A282" t="s">
        <v>1034</v>
      </c>
      <c r="B282" s="50">
        <v>44936.390138888892</v>
      </c>
      <c r="C282" t="s">
        <v>1034</v>
      </c>
      <c r="D282" s="50">
        <v>44936.424317129633</v>
      </c>
      <c r="E282" t="s">
        <v>693</v>
      </c>
      <c r="F282" t="s">
        <v>739</v>
      </c>
      <c r="G282" t="s">
        <v>771</v>
      </c>
      <c r="H282"/>
    </row>
    <row r="283" spans="1:8" x14ac:dyDescent="0.2">
      <c r="A283" t="s">
        <v>1035</v>
      </c>
      <c r="B283" s="50">
        <v>44936.390208333331</v>
      </c>
      <c r="C283" t="s">
        <v>1035</v>
      </c>
      <c r="D283" s="50">
        <v>44936.424571759257</v>
      </c>
      <c r="E283" t="s">
        <v>693</v>
      </c>
      <c r="F283" t="s">
        <v>707</v>
      </c>
      <c r="G283" t="s">
        <v>771</v>
      </c>
      <c r="H283"/>
    </row>
    <row r="284" spans="1:8" x14ac:dyDescent="0.2">
      <c r="A284" t="s">
        <v>1036</v>
      </c>
      <c r="B284" s="50">
        <v>44936.390636574077</v>
      </c>
      <c r="C284" t="s">
        <v>1036</v>
      </c>
      <c r="D284" s="50">
        <v>44936.422662037039</v>
      </c>
      <c r="E284" t="s">
        <v>693</v>
      </c>
      <c r="F284" t="s">
        <v>739</v>
      </c>
      <c r="G284" t="s">
        <v>740</v>
      </c>
      <c r="H284"/>
    </row>
    <row r="285" spans="1:8" x14ac:dyDescent="0.2">
      <c r="A285" t="s">
        <v>1037</v>
      </c>
      <c r="B285" s="50">
        <v>44936.390682870369</v>
      </c>
      <c r="C285" t="s">
        <v>1037</v>
      </c>
      <c r="D285" s="50">
        <v>44936.422743055555</v>
      </c>
      <c r="E285" t="s">
        <v>693</v>
      </c>
      <c r="F285" t="s">
        <v>707</v>
      </c>
      <c r="G285" t="s">
        <v>740</v>
      </c>
      <c r="H285"/>
    </row>
    <row r="286" spans="1:8" x14ac:dyDescent="0.2">
      <c r="A286" t="s">
        <v>1038</v>
      </c>
      <c r="B286" s="50">
        <v>44936.390740740739</v>
      </c>
      <c r="C286" t="s">
        <v>1038</v>
      </c>
      <c r="D286" s="50">
        <v>44936.556319444448</v>
      </c>
      <c r="E286" t="s">
        <v>693</v>
      </c>
      <c r="F286" s="2" t="s">
        <v>707</v>
      </c>
      <c r="G286" t="s">
        <v>694</v>
      </c>
      <c r="H286"/>
    </row>
    <row r="287" spans="1:8" x14ac:dyDescent="0.2">
      <c r="A287" t="s">
        <v>1039</v>
      </c>
      <c r="B287" s="50">
        <v>44936.390775462962</v>
      </c>
      <c r="C287" t="s">
        <v>1039</v>
      </c>
      <c r="D287" s="50">
        <v>44936.422175925924</v>
      </c>
      <c r="E287" t="s">
        <v>693</v>
      </c>
      <c r="F287" t="s">
        <v>707</v>
      </c>
      <c r="G287" t="s">
        <v>731</v>
      </c>
      <c r="H287" t="s">
        <v>734</v>
      </c>
    </row>
    <row r="288" spans="1:8" x14ac:dyDescent="0.2">
      <c r="A288" t="s">
        <v>1040</v>
      </c>
      <c r="B288" s="50">
        <v>44936.390798611108</v>
      </c>
      <c r="C288" t="s">
        <v>1040</v>
      </c>
      <c r="D288" s="50">
        <v>44936.421712962961</v>
      </c>
      <c r="E288" t="s">
        <v>693</v>
      </c>
      <c r="F288" t="s">
        <v>707</v>
      </c>
      <c r="G288" t="s">
        <v>736</v>
      </c>
      <c r="H288" t="s">
        <v>734</v>
      </c>
    </row>
    <row r="289" spans="1:8" x14ac:dyDescent="0.2">
      <c r="A289" t="s">
        <v>1041</v>
      </c>
      <c r="B289" s="50">
        <v>44936.390844907408</v>
      </c>
      <c r="C289" t="s">
        <v>1041</v>
      </c>
      <c r="D289" s="50">
        <v>44936.437060185184</v>
      </c>
      <c r="E289" t="s">
        <v>693</v>
      </c>
      <c r="F289" t="s">
        <v>707</v>
      </c>
      <c r="G289" t="s">
        <v>696</v>
      </c>
      <c r="H289"/>
    </row>
    <row r="290" spans="1:8" x14ac:dyDescent="0.2">
      <c r="A290" t="s">
        <v>1042</v>
      </c>
      <c r="B290" s="50">
        <v>44936.391631944447</v>
      </c>
      <c r="C290" t="s">
        <v>1042</v>
      </c>
      <c r="D290" s="50">
        <v>44937.629571759258</v>
      </c>
      <c r="E290" t="s">
        <v>693</v>
      </c>
      <c r="F290" s="50" t="s">
        <v>1043</v>
      </c>
      <c r="G290" t="s">
        <v>704</v>
      </c>
      <c r="H290"/>
    </row>
    <row r="291" spans="1:8" x14ac:dyDescent="0.2">
      <c r="A291" t="s">
        <v>1044</v>
      </c>
      <c r="B291" s="50">
        <v>44936.391736111109</v>
      </c>
      <c r="C291" t="s">
        <v>1044</v>
      </c>
      <c r="D291" s="50">
        <v>44936.420671296299</v>
      </c>
      <c r="E291" t="s">
        <v>693</v>
      </c>
      <c r="F291" t="s">
        <v>707</v>
      </c>
      <c r="G291" t="s">
        <v>716</v>
      </c>
      <c r="H291" t="s">
        <v>1045</v>
      </c>
    </row>
    <row r="292" spans="1:8" x14ac:dyDescent="0.2">
      <c r="A292" t="s">
        <v>1046</v>
      </c>
      <c r="B292" s="50">
        <v>44936.391828703701</v>
      </c>
      <c r="C292" t="s">
        <v>1046</v>
      </c>
      <c r="D292" s="50">
        <v>44936.39875</v>
      </c>
      <c r="E292" t="s">
        <v>693</v>
      </c>
      <c r="F292" t="s">
        <v>7</v>
      </c>
      <c r="G292" t="s">
        <v>694</v>
      </c>
      <c r="H292"/>
    </row>
    <row r="293" spans="1:8" x14ac:dyDescent="0.2">
      <c r="A293" t="s">
        <v>1047</v>
      </c>
      <c r="B293" s="50">
        <v>44936.391886574071</v>
      </c>
      <c r="C293" t="s">
        <v>1047</v>
      </c>
      <c r="D293" s="50">
        <v>44936.398865740739</v>
      </c>
      <c r="E293" t="s">
        <v>693</v>
      </c>
      <c r="F293" t="s">
        <v>7</v>
      </c>
      <c r="G293" t="s">
        <v>694</v>
      </c>
      <c r="H293"/>
    </row>
    <row r="294" spans="1:8" x14ac:dyDescent="0.2">
      <c r="A294" t="s">
        <v>1048</v>
      </c>
      <c r="B294" s="50">
        <v>44936.391932870371</v>
      </c>
      <c r="C294" t="s">
        <v>1048</v>
      </c>
      <c r="D294" s="50">
        <v>44936.460011574076</v>
      </c>
      <c r="E294" t="s">
        <v>693</v>
      </c>
      <c r="F294" t="s">
        <v>707</v>
      </c>
      <c r="G294" t="s">
        <v>694</v>
      </c>
      <c r="H294" t="s">
        <v>759</v>
      </c>
    </row>
    <row r="295" spans="1:8" x14ac:dyDescent="0.2">
      <c r="A295" t="s">
        <v>1017</v>
      </c>
      <c r="B295" s="50">
        <v>44936.392048611109</v>
      </c>
      <c r="C295" t="s">
        <v>1017</v>
      </c>
      <c r="D295" s="50">
        <v>44936.408842592595</v>
      </c>
      <c r="E295" t="s">
        <v>693</v>
      </c>
      <c r="F295" t="s">
        <v>707</v>
      </c>
      <c r="G295" t="s">
        <v>716</v>
      </c>
      <c r="H295"/>
    </row>
    <row r="296" spans="1:8" x14ac:dyDescent="0.2">
      <c r="A296" t="s">
        <v>1018</v>
      </c>
      <c r="B296" s="50">
        <v>44936.392094907409</v>
      </c>
      <c r="C296" t="s">
        <v>1018</v>
      </c>
      <c r="D296" s="50">
        <v>44936.40121527778</v>
      </c>
      <c r="E296" t="s">
        <v>693</v>
      </c>
      <c r="F296" t="s">
        <v>7</v>
      </c>
      <c r="G296" t="s">
        <v>723</v>
      </c>
      <c r="H296"/>
    </row>
    <row r="297" spans="1:8" x14ac:dyDescent="0.2">
      <c r="A297" t="s">
        <v>1049</v>
      </c>
      <c r="B297" s="50">
        <v>44936.392129629632</v>
      </c>
      <c r="C297" t="s">
        <v>1049</v>
      </c>
      <c r="D297" s="50">
        <v>44936.407835648148</v>
      </c>
      <c r="E297" t="s">
        <v>693</v>
      </c>
      <c r="F297" t="s">
        <v>707</v>
      </c>
      <c r="G297" t="s">
        <v>746</v>
      </c>
      <c r="H297" t="s">
        <v>734</v>
      </c>
    </row>
    <row r="298" spans="1:8" x14ac:dyDescent="0.2">
      <c r="A298" t="s">
        <v>1050</v>
      </c>
      <c r="B298" s="50">
        <v>44936.392164351855</v>
      </c>
      <c r="C298" t="s">
        <v>1050</v>
      </c>
      <c r="D298" s="50">
        <v>44936.407384259262</v>
      </c>
      <c r="E298" t="s">
        <v>693</v>
      </c>
      <c r="F298" t="s">
        <v>7</v>
      </c>
      <c r="G298" t="s">
        <v>723</v>
      </c>
      <c r="H298"/>
    </row>
    <row r="299" spans="1:8" x14ac:dyDescent="0.2">
      <c r="A299" t="s">
        <v>1051</v>
      </c>
      <c r="B299" s="50">
        <v>44936.392187500001</v>
      </c>
      <c r="C299" t="s">
        <v>1051</v>
      </c>
      <c r="D299" s="50">
        <v>44936.405543981484</v>
      </c>
      <c r="E299" t="s">
        <v>693</v>
      </c>
      <c r="F299" t="s">
        <v>7</v>
      </c>
      <c r="G299" t="s">
        <v>723</v>
      </c>
      <c r="H299"/>
    </row>
    <row r="300" spans="1:8" x14ac:dyDescent="0.2">
      <c r="A300" t="s">
        <v>1052</v>
      </c>
      <c r="B300" s="50">
        <v>44936.392245370371</v>
      </c>
      <c r="C300" t="s">
        <v>1052</v>
      </c>
      <c r="D300" s="50">
        <v>44936.404618055552</v>
      </c>
      <c r="E300" t="s">
        <v>693</v>
      </c>
      <c r="F300" t="s">
        <v>707</v>
      </c>
      <c r="G300" t="s">
        <v>716</v>
      </c>
      <c r="H300" t="s">
        <v>734</v>
      </c>
    </row>
    <row r="301" spans="1:8" x14ac:dyDescent="0.2">
      <c r="H301"/>
    </row>
    <row r="302" spans="1:8" x14ac:dyDescent="0.2">
      <c r="H302"/>
    </row>
    <row r="303" spans="1:8" x14ac:dyDescent="0.2">
      <c r="F303" s="50"/>
      <c r="H303"/>
    </row>
    <row r="304" spans="1:8" x14ac:dyDescent="0.2">
      <c r="H304"/>
    </row>
    <row r="305" spans="6:8" x14ac:dyDescent="0.2">
      <c r="F305" s="50"/>
      <c r="H305"/>
    </row>
    <row r="306" spans="6:8" x14ac:dyDescent="0.2">
      <c r="F306" s="50"/>
      <c r="H306"/>
    </row>
    <row r="307" spans="6:8" x14ac:dyDescent="0.2">
      <c r="F307" s="50"/>
      <c r="H307"/>
    </row>
    <row r="308" spans="6:8" x14ac:dyDescent="0.2">
      <c r="F308" s="50"/>
      <c r="H308" s="50"/>
    </row>
    <row r="309" spans="6:8" x14ac:dyDescent="0.2">
      <c r="F309" s="50"/>
      <c r="H309" s="50"/>
    </row>
    <row r="310" spans="6:8" x14ac:dyDescent="0.2">
      <c r="F310" s="50"/>
      <c r="H310" s="50"/>
    </row>
    <row r="311" spans="6:8" x14ac:dyDescent="0.2">
      <c r="F311" s="50"/>
      <c r="H311" s="50"/>
    </row>
    <row r="312" spans="6:8" x14ac:dyDescent="0.2">
      <c r="F312" s="50"/>
      <c r="H312" s="50"/>
    </row>
    <row r="313" spans="6:8" x14ac:dyDescent="0.2">
      <c r="F313" s="50"/>
      <c r="H313"/>
    </row>
    <row r="314" spans="6:8" x14ac:dyDescent="0.2">
      <c r="F314" s="50"/>
      <c r="H314"/>
    </row>
    <row r="315" spans="6:8" x14ac:dyDescent="0.2">
      <c r="F315" s="50"/>
      <c r="H315"/>
    </row>
    <row r="316" spans="6:8" x14ac:dyDescent="0.2">
      <c r="F316" s="50"/>
      <c r="H316" s="50"/>
    </row>
    <row r="317" spans="6:8" x14ac:dyDescent="0.2">
      <c r="F317" s="50"/>
      <c r="H317"/>
    </row>
    <row r="318" spans="6:8" x14ac:dyDescent="0.2">
      <c r="F318" s="50"/>
      <c r="H318"/>
    </row>
    <row r="319" spans="6:8" x14ac:dyDescent="0.2">
      <c r="F319" s="50"/>
      <c r="H319"/>
    </row>
    <row r="320" spans="6:8" x14ac:dyDescent="0.2">
      <c r="F320" s="50"/>
      <c r="H320"/>
    </row>
    <row r="321" spans="6:8" x14ac:dyDescent="0.2">
      <c r="F321" s="50"/>
      <c r="H321"/>
    </row>
    <row r="322" spans="6:8" x14ac:dyDescent="0.2">
      <c r="F322" s="50"/>
      <c r="H322"/>
    </row>
    <row r="323" spans="6:8" x14ac:dyDescent="0.2">
      <c r="F323" s="50"/>
      <c r="H323"/>
    </row>
    <row r="324" spans="6:8" x14ac:dyDescent="0.2">
      <c r="F324" s="50"/>
      <c r="H324"/>
    </row>
    <row r="325" spans="6:8" x14ac:dyDescent="0.2">
      <c r="F325" s="50"/>
      <c r="H325"/>
    </row>
    <row r="326" spans="6:8" x14ac:dyDescent="0.2">
      <c r="F326" s="50"/>
      <c r="H326"/>
    </row>
    <row r="327" spans="6:8" x14ac:dyDescent="0.2">
      <c r="F327" s="50"/>
      <c r="H327"/>
    </row>
    <row r="328" spans="6:8" x14ac:dyDescent="0.2">
      <c r="F328" s="50"/>
      <c r="H328" s="50"/>
    </row>
    <row r="329" spans="6:8" x14ac:dyDescent="0.2">
      <c r="F329" s="50"/>
      <c r="H329"/>
    </row>
    <row r="330" spans="6:8" x14ac:dyDescent="0.2">
      <c r="H330"/>
    </row>
    <row r="331" spans="6:8" x14ac:dyDescent="0.2">
      <c r="F331" s="50"/>
      <c r="H331"/>
    </row>
    <row r="332" spans="6:8" x14ac:dyDescent="0.2">
      <c r="F332" s="50"/>
      <c r="H332"/>
    </row>
    <row r="333" spans="6:8" x14ac:dyDescent="0.2">
      <c r="F333" s="50"/>
      <c r="H333"/>
    </row>
    <row r="334" spans="6:8" x14ac:dyDescent="0.2">
      <c r="F334" s="50"/>
      <c r="H334"/>
    </row>
    <row r="335" spans="6:8" x14ac:dyDescent="0.2">
      <c r="F335" s="50"/>
      <c r="H335"/>
    </row>
    <row r="336" spans="6:8" x14ac:dyDescent="0.2">
      <c r="F336" s="50"/>
      <c r="H336"/>
    </row>
    <row r="337" spans="6:8" x14ac:dyDescent="0.2">
      <c r="F337" s="50"/>
      <c r="H337"/>
    </row>
    <row r="338" spans="6:8" x14ac:dyDescent="0.2">
      <c r="F338" s="50"/>
      <c r="H338"/>
    </row>
    <row r="339" spans="6:8" x14ac:dyDescent="0.2">
      <c r="F339" s="50"/>
      <c r="H339" s="50"/>
    </row>
    <row r="340" spans="6:8" x14ac:dyDescent="0.2">
      <c r="F340" s="50"/>
      <c r="H340" s="50"/>
    </row>
    <row r="341" spans="6:8" x14ac:dyDescent="0.2">
      <c r="F341" s="50"/>
      <c r="H341"/>
    </row>
    <row r="342" spans="6:8" x14ac:dyDescent="0.2">
      <c r="F342" s="50"/>
      <c r="H342"/>
    </row>
    <row r="343" spans="6:8" x14ac:dyDescent="0.2">
      <c r="F343" s="50"/>
      <c r="H343" s="50"/>
    </row>
    <row r="344" spans="6:8" x14ac:dyDescent="0.2">
      <c r="F344" s="50"/>
      <c r="H344"/>
    </row>
    <row r="345" spans="6:8" x14ac:dyDescent="0.2">
      <c r="F345" s="50"/>
      <c r="H345" s="50"/>
    </row>
    <row r="346" spans="6:8" x14ac:dyDescent="0.2">
      <c r="H346"/>
    </row>
    <row r="347" spans="6:8" x14ac:dyDescent="0.2">
      <c r="H347"/>
    </row>
    <row r="348" spans="6:8" x14ac:dyDescent="0.2">
      <c r="H348"/>
    </row>
    <row r="349" spans="6:8" x14ac:dyDescent="0.2">
      <c r="F349" s="50"/>
      <c r="H349"/>
    </row>
    <row r="350" spans="6:8" x14ac:dyDescent="0.2">
      <c r="F350" s="50"/>
      <c r="H350"/>
    </row>
    <row r="351" spans="6:8" x14ac:dyDescent="0.2">
      <c r="F351" s="50"/>
      <c r="H351" s="50"/>
    </row>
    <row r="352" spans="6:8" x14ac:dyDescent="0.2">
      <c r="F352" s="50"/>
      <c r="H352" s="50"/>
    </row>
    <row r="353" spans="6:8" x14ac:dyDescent="0.2">
      <c r="F353" s="50"/>
      <c r="H353" s="50"/>
    </row>
    <row r="354" spans="6:8" x14ac:dyDescent="0.2">
      <c r="F354" s="50"/>
      <c r="H354" s="50"/>
    </row>
    <row r="355" spans="6:8" x14ac:dyDescent="0.2">
      <c r="F355" s="50"/>
      <c r="H355"/>
    </row>
    <row r="356" spans="6:8" x14ac:dyDescent="0.2">
      <c r="F356" s="50"/>
      <c r="H356"/>
    </row>
    <row r="357" spans="6:8" x14ac:dyDescent="0.2">
      <c r="F357" s="50"/>
      <c r="H357" s="50"/>
    </row>
    <row r="358" spans="6:8" x14ac:dyDescent="0.2">
      <c r="F358" s="50"/>
      <c r="H358" s="50"/>
    </row>
    <row r="359" spans="6:8" x14ac:dyDescent="0.2">
      <c r="F359" s="50"/>
      <c r="H359" s="50"/>
    </row>
    <row r="360" spans="6:8" x14ac:dyDescent="0.2">
      <c r="F360" s="50"/>
      <c r="H360"/>
    </row>
    <row r="361" spans="6:8" x14ac:dyDescent="0.2">
      <c r="F361" s="50"/>
      <c r="H361"/>
    </row>
    <row r="362" spans="6:8" x14ac:dyDescent="0.2">
      <c r="F362" s="50"/>
      <c r="H362"/>
    </row>
    <row r="363" spans="6:8" x14ac:dyDescent="0.2">
      <c r="F363" s="50"/>
      <c r="H363"/>
    </row>
    <row r="364" spans="6:8" x14ac:dyDescent="0.2">
      <c r="F364" s="50"/>
      <c r="H364"/>
    </row>
    <row r="365" spans="6:8" x14ac:dyDescent="0.2">
      <c r="F365" s="50"/>
      <c r="H365"/>
    </row>
    <row r="366" spans="6:8" x14ac:dyDescent="0.2">
      <c r="F366" s="50"/>
      <c r="H366"/>
    </row>
    <row r="367" spans="6:8" x14ac:dyDescent="0.2">
      <c r="F367" s="50"/>
      <c r="H367"/>
    </row>
    <row r="368" spans="6:8" x14ac:dyDescent="0.2">
      <c r="F368" s="50"/>
      <c r="H368" s="50"/>
    </row>
    <row r="369" spans="6:8" x14ac:dyDescent="0.2">
      <c r="F369" s="50"/>
      <c r="H369"/>
    </row>
    <row r="370" spans="6:8" x14ac:dyDescent="0.2">
      <c r="F370" s="50"/>
      <c r="H370"/>
    </row>
    <row r="371" spans="6:8" x14ac:dyDescent="0.2">
      <c r="F371" s="50"/>
      <c r="H371"/>
    </row>
    <row r="372" spans="6:8" x14ac:dyDescent="0.2">
      <c r="F372" s="50"/>
      <c r="H372"/>
    </row>
    <row r="373" spans="6:8" x14ac:dyDescent="0.2">
      <c r="F373" s="50"/>
      <c r="H373"/>
    </row>
    <row r="374" spans="6:8" x14ac:dyDescent="0.2">
      <c r="F374" s="50"/>
      <c r="H374"/>
    </row>
    <row r="375" spans="6:8" x14ac:dyDescent="0.2">
      <c r="F375" s="50"/>
      <c r="H375"/>
    </row>
    <row r="376" spans="6:8" x14ac:dyDescent="0.2">
      <c r="F376" s="50"/>
      <c r="H376" s="50"/>
    </row>
    <row r="377" spans="6:8" x14ac:dyDescent="0.2">
      <c r="F377" s="50"/>
      <c r="H377" s="50"/>
    </row>
    <row r="378" spans="6:8" x14ac:dyDescent="0.2">
      <c r="F378" s="50"/>
      <c r="H378"/>
    </row>
    <row r="379" spans="6:8" x14ac:dyDescent="0.2">
      <c r="F379" s="50"/>
      <c r="H379"/>
    </row>
    <row r="380" spans="6:8" x14ac:dyDescent="0.2">
      <c r="F380" s="50"/>
      <c r="H380"/>
    </row>
    <row r="381" spans="6:8" x14ac:dyDescent="0.2">
      <c r="F381" s="50"/>
      <c r="H381"/>
    </row>
    <row r="382" spans="6:8" x14ac:dyDescent="0.2">
      <c r="F382" s="50"/>
      <c r="H382"/>
    </row>
    <row r="383" spans="6:8" x14ac:dyDescent="0.2">
      <c r="F383" s="50"/>
      <c r="H383" s="50"/>
    </row>
    <row r="384" spans="6:8" x14ac:dyDescent="0.2">
      <c r="F384" s="50"/>
      <c r="H384"/>
    </row>
    <row r="385" spans="6:8" x14ac:dyDescent="0.2">
      <c r="F385" s="50"/>
      <c r="H385"/>
    </row>
    <row r="386" spans="6:8" x14ac:dyDescent="0.2">
      <c r="F386" s="50"/>
      <c r="H386" s="50"/>
    </row>
    <row r="387" spans="6:8" x14ac:dyDescent="0.2">
      <c r="F387" s="50"/>
      <c r="H387"/>
    </row>
    <row r="388" spans="6:8" x14ac:dyDescent="0.2">
      <c r="F388" s="50"/>
      <c r="H388"/>
    </row>
    <row r="389" spans="6:8" x14ac:dyDescent="0.2">
      <c r="F389" s="50"/>
      <c r="H389"/>
    </row>
    <row r="390" spans="6:8" x14ac:dyDescent="0.2">
      <c r="F390" s="50"/>
      <c r="H390"/>
    </row>
    <row r="391" spans="6:8" x14ac:dyDescent="0.2">
      <c r="F391" s="50"/>
      <c r="H391"/>
    </row>
    <row r="392" spans="6:8" x14ac:dyDescent="0.2">
      <c r="F392" s="50"/>
      <c r="H392"/>
    </row>
    <row r="393" spans="6:8" x14ac:dyDescent="0.2">
      <c r="F393" s="50"/>
      <c r="H393"/>
    </row>
    <row r="394" spans="6:8" x14ac:dyDescent="0.2">
      <c r="F394" s="50"/>
      <c r="H394"/>
    </row>
    <row r="395" spans="6:8" x14ac:dyDescent="0.2">
      <c r="F395" s="50"/>
      <c r="H395"/>
    </row>
    <row r="396" spans="6:8" x14ac:dyDescent="0.2">
      <c r="F396" s="50"/>
      <c r="H396" s="50"/>
    </row>
    <row r="397" spans="6:8" x14ac:dyDescent="0.2">
      <c r="F397" s="50"/>
      <c r="H397"/>
    </row>
    <row r="398" spans="6:8" x14ac:dyDescent="0.2">
      <c r="F398" s="50"/>
      <c r="H398"/>
    </row>
    <row r="399" spans="6:8" x14ac:dyDescent="0.2">
      <c r="F399" s="50"/>
      <c r="H399"/>
    </row>
    <row r="400" spans="6:8" x14ac:dyDescent="0.2">
      <c r="F400" s="50"/>
      <c r="H400"/>
    </row>
    <row r="401" spans="6:8" x14ac:dyDescent="0.2">
      <c r="F401" s="50"/>
      <c r="H401"/>
    </row>
    <row r="402" spans="6:8" x14ac:dyDescent="0.2">
      <c r="F402" s="50"/>
      <c r="H402"/>
    </row>
    <row r="403" spans="6:8" x14ac:dyDescent="0.2">
      <c r="F403" s="50"/>
      <c r="H403"/>
    </row>
    <row r="404" spans="6:8" x14ac:dyDescent="0.2">
      <c r="F404" s="50"/>
      <c r="H404" s="50"/>
    </row>
    <row r="405" spans="6:8" x14ac:dyDescent="0.2">
      <c r="F405" s="50"/>
      <c r="H405" s="50"/>
    </row>
    <row r="406" spans="6:8" x14ac:dyDescent="0.2">
      <c r="F406" s="50"/>
      <c r="H406"/>
    </row>
    <row r="407" spans="6:8" x14ac:dyDescent="0.2">
      <c r="F407" s="50"/>
      <c r="H407"/>
    </row>
    <row r="408" spans="6:8" x14ac:dyDescent="0.2">
      <c r="F408" s="50"/>
      <c r="H408"/>
    </row>
    <row r="409" spans="6:8" x14ac:dyDescent="0.2">
      <c r="F409" s="50"/>
      <c r="H409"/>
    </row>
    <row r="410" spans="6:8" x14ac:dyDescent="0.2">
      <c r="F410" s="50"/>
      <c r="H410"/>
    </row>
    <row r="411" spans="6:8" x14ac:dyDescent="0.2">
      <c r="F411" s="50"/>
      <c r="H411"/>
    </row>
    <row r="412" spans="6:8" x14ac:dyDescent="0.2">
      <c r="F412" s="50"/>
      <c r="H412"/>
    </row>
    <row r="413" spans="6:8" x14ac:dyDescent="0.2">
      <c r="F413" s="50"/>
      <c r="H413"/>
    </row>
    <row r="414" spans="6:8" x14ac:dyDescent="0.2">
      <c r="F414" s="50"/>
      <c r="H414"/>
    </row>
    <row r="415" spans="6:8" x14ac:dyDescent="0.2">
      <c r="F415" s="50"/>
      <c r="H415"/>
    </row>
    <row r="416" spans="6:8" x14ac:dyDescent="0.2">
      <c r="F416" s="50"/>
      <c r="H416"/>
    </row>
    <row r="417" spans="6:8" x14ac:dyDescent="0.2">
      <c r="F417" s="50"/>
      <c r="H417"/>
    </row>
    <row r="418" spans="6:8" x14ac:dyDescent="0.2">
      <c r="F418" s="50"/>
      <c r="H418"/>
    </row>
    <row r="419" spans="6:8" x14ac:dyDescent="0.2">
      <c r="F419" s="50"/>
      <c r="H419"/>
    </row>
    <row r="420" spans="6:8" x14ac:dyDescent="0.2">
      <c r="F420" s="50"/>
      <c r="H420"/>
    </row>
    <row r="421" spans="6:8" x14ac:dyDescent="0.2">
      <c r="F421" s="50"/>
      <c r="H421"/>
    </row>
    <row r="422" spans="6:8" x14ac:dyDescent="0.2">
      <c r="F422" s="50"/>
      <c r="H422"/>
    </row>
    <row r="423" spans="6:8" x14ac:dyDescent="0.2">
      <c r="F423" s="50"/>
      <c r="H423"/>
    </row>
    <row r="424" spans="6:8" x14ac:dyDescent="0.2">
      <c r="F424" s="50"/>
      <c r="H424"/>
    </row>
    <row r="425" spans="6:8" x14ac:dyDescent="0.2">
      <c r="F425" s="50"/>
      <c r="H425"/>
    </row>
    <row r="426" spans="6:8" x14ac:dyDescent="0.2">
      <c r="F426" s="50"/>
      <c r="H426"/>
    </row>
    <row r="427" spans="6:8" x14ac:dyDescent="0.2">
      <c r="F427" s="50"/>
      <c r="H427" s="50"/>
    </row>
    <row r="428" spans="6:8" x14ac:dyDescent="0.2">
      <c r="F428" s="50"/>
      <c r="H428"/>
    </row>
    <row r="429" spans="6:8" x14ac:dyDescent="0.2">
      <c r="F429" s="50"/>
      <c r="H429"/>
    </row>
    <row r="430" spans="6:8" x14ac:dyDescent="0.2">
      <c r="F430" s="50"/>
      <c r="H430"/>
    </row>
    <row r="431" spans="6:8" x14ac:dyDescent="0.2">
      <c r="F431" s="50"/>
      <c r="H431"/>
    </row>
    <row r="432" spans="6:8" x14ac:dyDescent="0.2">
      <c r="F432" s="50"/>
      <c r="H432"/>
    </row>
    <row r="433" spans="6:8" x14ac:dyDescent="0.2">
      <c r="F433" s="50"/>
      <c r="H433"/>
    </row>
    <row r="434" spans="6:8" x14ac:dyDescent="0.2">
      <c r="F434" s="50"/>
      <c r="H434"/>
    </row>
    <row r="435" spans="6:8" x14ac:dyDescent="0.2">
      <c r="F435" s="50"/>
      <c r="H435"/>
    </row>
    <row r="436" spans="6:8" x14ac:dyDescent="0.2">
      <c r="F436" s="50"/>
      <c r="H436"/>
    </row>
    <row r="437" spans="6:8" x14ac:dyDescent="0.2">
      <c r="F437" s="50"/>
      <c r="H437" s="50"/>
    </row>
    <row r="438" spans="6:8" x14ac:dyDescent="0.2">
      <c r="F438" s="50"/>
      <c r="H438"/>
    </row>
    <row r="439" spans="6:8" x14ac:dyDescent="0.2">
      <c r="F439" s="50"/>
      <c r="H439"/>
    </row>
    <row r="440" spans="6:8" x14ac:dyDescent="0.2">
      <c r="F440" s="50"/>
      <c r="H440"/>
    </row>
    <row r="441" spans="6:8" x14ac:dyDescent="0.2">
      <c r="F441" s="50"/>
      <c r="H441" s="50"/>
    </row>
    <row r="442" spans="6:8" x14ac:dyDescent="0.2">
      <c r="F442" s="50"/>
      <c r="H442"/>
    </row>
    <row r="443" spans="6:8" x14ac:dyDescent="0.2">
      <c r="F443" s="50"/>
      <c r="H443"/>
    </row>
    <row r="444" spans="6:8" x14ac:dyDescent="0.2">
      <c r="F444" s="50"/>
      <c r="H444"/>
    </row>
    <row r="445" spans="6:8" x14ac:dyDescent="0.2">
      <c r="F445" s="50"/>
      <c r="H445"/>
    </row>
    <row r="446" spans="6:8" x14ac:dyDescent="0.2">
      <c r="F446" s="50"/>
      <c r="H446" s="50"/>
    </row>
    <row r="447" spans="6:8" x14ac:dyDescent="0.2">
      <c r="F447" s="50"/>
      <c r="H447"/>
    </row>
    <row r="448" spans="6:8" x14ac:dyDescent="0.2">
      <c r="F448" s="50"/>
      <c r="H448"/>
    </row>
    <row r="449" spans="6:8" x14ac:dyDescent="0.2">
      <c r="F449" s="50"/>
      <c r="H449"/>
    </row>
    <row r="450" spans="6:8" x14ac:dyDescent="0.2">
      <c r="F450" s="50"/>
      <c r="H450"/>
    </row>
    <row r="451" spans="6:8" x14ac:dyDescent="0.2">
      <c r="F451" s="50"/>
      <c r="H451"/>
    </row>
    <row r="452" spans="6:8" x14ac:dyDescent="0.2">
      <c r="F452" s="50"/>
      <c r="H452" s="50"/>
    </row>
    <row r="453" spans="6:8" x14ac:dyDescent="0.2">
      <c r="F453" s="50"/>
      <c r="H453" s="50"/>
    </row>
    <row r="454" spans="6:8" x14ac:dyDescent="0.2">
      <c r="F454" s="50"/>
      <c r="H454" s="50"/>
    </row>
    <row r="455" spans="6:8" x14ac:dyDescent="0.2">
      <c r="F455" s="50"/>
      <c r="H455"/>
    </row>
    <row r="456" spans="6:8" x14ac:dyDescent="0.2">
      <c r="F456" s="50"/>
      <c r="H456"/>
    </row>
    <row r="457" spans="6:8" x14ac:dyDescent="0.2">
      <c r="F457" s="50"/>
      <c r="H457" s="50"/>
    </row>
    <row r="458" spans="6:8" x14ac:dyDescent="0.2">
      <c r="F458" s="50"/>
      <c r="H458" s="50"/>
    </row>
    <row r="459" spans="6:8" x14ac:dyDescent="0.2">
      <c r="F459" s="50"/>
      <c r="H459"/>
    </row>
    <row r="460" spans="6:8" x14ac:dyDescent="0.2">
      <c r="F460" s="50"/>
      <c r="H460" s="50"/>
    </row>
    <row r="461" spans="6:8" x14ac:dyDescent="0.2">
      <c r="F461" s="50"/>
      <c r="H461"/>
    </row>
    <row r="462" spans="6:8" x14ac:dyDescent="0.2">
      <c r="F462" s="50"/>
      <c r="H462"/>
    </row>
    <row r="463" spans="6:8" x14ac:dyDescent="0.2">
      <c r="F463" s="50"/>
      <c r="H463"/>
    </row>
    <row r="464" spans="6:8" x14ac:dyDescent="0.2">
      <c r="F464" s="50"/>
      <c r="H464"/>
    </row>
    <row r="465" spans="6:8" x14ac:dyDescent="0.2">
      <c r="F465" s="50"/>
      <c r="H465"/>
    </row>
    <row r="466" spans="6:8" x14ac:dyDescent="0.2">
      <c r="F466" s="50"/>
      <c r="H466"/>
    </row>
    <row r="467" spans="6:8" x14ac:dyDescent="0.2">
      <c r="F467" s="50"/>
      <c r="H467"/>
    </row>
    <row r="468" spans="6:8" x14ac:dyDescent="0.2">
      <c r="F468" s="50"/>
      <c r="H468"/>
    </row>
    <row r="469" spans="6:8" x14ac:dyDescent="0.2">
      <c r="F469" s="50"/>
      <c r="H469"/>
    </row>
    <row r="470" spans="6:8" x14ac:dyDescent="0.2">
      <c r="F470" s="50"/>
      <c r="H470"/>
    </row>
    <row r="471" spans="6:8" x14ac:dyDescent="0.2">
      <c r="F471" s="50"/>
      <c r="H471"/>
    </row>
    <row r="472" spans="6:8" x14ac:dyDescent="0.2">
      <c r="F472" s="50"/>
      <c r="H472"/>
    </row>
    <row r="473" spans="6:8" x14ac:dyDescent="0.2">
      <c r="F473" s="50"/>
      <c r="H473"/>
    </row>
    <row r="474" spans="6:8" x14ac:dyDescent="0.2">
      <c r="F474" s="50"/>
      <c r="H474"/>
    </row>
    <row r="475" spans="6:8" x14ac:dyDescent="0.2">
      <c r="F475" s="50"/>
      <c r="H475"/>
    </row>
    <row r="476" spans="6:8" x14ac:dyDescent="0.2">
      <c r="F476" s="50"/>
      <c r="H476"/>
    </row>
    <row r="477" spans="6:8" x14ac:dyDescent="0.2">
      <c r="F477" s="50"/>
      <c r="H477"/>
    </row>
    <row r="478" spans="6:8" x14ac:dyDescent="0.2">
      <c r="F478" s="50"/>
      <c r="H478"/>
    </row>
    <row r="479" spans="6:8" x14ac:dyDescent="0.2">
      <c r="F479" s="50"/>
      <c r="H479"/>
    </row>
    <row r="480" spans="6:8" x14ac:dyDescent="0.2">
      <c r="F480" s="50"/>
      <c r="H480" s="50"/>
    </row>
    <row r="481" spans="6:8" x14ac:dyDescent="0.2">
      <c r="F481" s="50"/>
      <c r="H481" s="50"/>
    </row>
    <row r="482" spans="6:8" x14ac:dyDescent="0.2">
      <c r="F482" s="50"/>
      <c r="H482"/>
    </row>
    <row r="483" spans="6:8" x14ac:dyDescent="0.2">
      <c r="F483" s="50"/>
      <c r="H483"/>
    </row>
    <row r="484" spans="6:8" x14ac:dyDescent="0.2">
      <c r="F484" s="50"/>
      <c r="H484"/>
    </row>
    <row r="485" spans="6:8" x14ac:dyDescent="0.2">
      <c r="F485" s="50"/>
      <c r="H485"/>
    </row>
    <row r="486" spans="6:8" x14ac:dyDescent="0.2">
      <c r="F486" s="50"/>
      <c r="H486"/>
    </row>
    <row r="487" spans="6:8" x14ac:dyDescent="0.2">
      <c r="F487" s="50"/>
      <c r="H487"/>
    </row>
    <row r="488" spans="6:8" x14ac:dyDescent="0.2">
      <c r="F488" s="50"/>
      <c r="H488" s="50"/>
    </row>
    <row r="489" spans="6:8" x14ac:dyDescent="0.2">
      <c r="F489" s="50"/>
      <c r="H489"/>
    </row>
    <row r="490" spans="6:8" x14ac:dyDescent="0.2">
      <c r="F490" s="50"/>
      <c r="H490"/>
    </row>
    <row r="491" spans="6:8" x14ac:dyDescent="0.2">
      <c r="F491" s="50"/>
      <c r="H491"/>
    </row>
    <row r="492" spans="6:8" x14ac:dyDescent="0.2">
      <c r="H492"/>
    </row>
    <row r="493" spans="6:8" x14ac:dyDescent="0.2">
      <c r="F493" s="50"/>
      <c r="H493"/>
    </row>
    <row r="494" spans="6:8" x14ac:dyDescent="0.2">
      <c r="F494" s="50"/>
      <c r="H494"/>
    </row>
    <row r="495" spans="6:8" x14ac:dyDescent="0.2">
      <c r="F495" s="50"/>
      <c r="H495"/>
    </row>
    <row r="496" spans="6:8" x14ac:dyDescent="0.2">
      <c r="F496" s="50"/>
      <c r="H496"/>
    </row>
    <row r="497" spans="6:8" x14ac:dyDescent="0.2">
      <c r="F497" s="50"/>
      <c r="H497"/>
    </row>
    <row r="498" spans="6:8" x14ac:dyDescent="0.2">
      <c r="F498" s="50"/>
      <c r="H498"/>
    </row>
    <row r="499" spans="6:8" x14ac:dyDescent="0.2">
      <c r="F499" s="50"/>
      <c r="H499"/>
    </row>
    <row r="500" spans="6:8" x14ac:dyDescent="0.2">
      <c r="F500" s="50"/>
      <c r="H500" s="50"/>
    </row>
    <row r="501" spans="6:8" x14ac:dyDescent="0.2">
      <c r="F501" s="50"/>
      <c r="H501" s="50"/>
    </row>
    <row r="502" spans="6:8" x14ac:dyDescent="0.2">
      <c r="F502" s="50"/>
      <c r="H502"/>
    </row>
    <row r="503" spans="6:8" x14ac:dyDescent="0.2">
      <c r="F503" s="50"/>
      <c r="H503"/>
    </row>
    <row r="504" spans="6:8" x14ac:dyDescent="0.2">
      <c r="F504" s="50"/>
      <c r="H504" s="50"/>
    </row>
    <row r="505" spans="6:8" x14ac:dyDescent="0.2">
      <c r="F505" s="50"/>
      <c r="H505"/>
    </row>
    <row r="506" spans="6:8" x14ac:dyDescent="0.2">
      <c r="F506" s="50"/>
      <c r="H506"/>
    </row>
    <row r="507" spans="6:8" x14ac:dyDescent="0.2">
      <c r="F507" s="50"/>
      <c r="H507" s="50"/>
    </row>
    <row r="508" spans="6:8" x14ac:dyDescent="0.2">
      <c r="F508" s="50"/>
      <c r="H508"/>
    </row>
    <row r="509" spans="6:8" x14ac:dyDescent="0.2">
      <c r="F509" s="50"/>
      <c r="H509"/>
    </row>
    <row r="510" spans="6:8" x14ac:dyDescent="0.2">
      <c r="F510" s="50"/>
      <c r="H510"/>
    </row>
    <row r="511" spans="6:8" x14ac:dyDescent="0.2">
      <c r="F511" s="50"/>
      <c r="H511"/>
    </row>
    <row r="512" spans="6:8" x14ac:dyDescent="0.2">
      <c r="F512" s="50"/>
      <c r="H512"/>
    </row>
    <row r="513" spans="6:8" x14ac:dyDescent="0.2">
      <c r="F513" s="50"/>
      <c r="H513" s="50"/>
    </row>
    <row r="514" spans="6:8" x14ac:dyDescent="0.2">
      <c r="F514" s="50"/>
      <c r="H514" s="50"/>
    </row>
    <row r="515" spans="6:8" x14ac:dyDescent="0.2">
      <c r="F515" s="50"/>
      <c r="H515"/>
    </row>
    <row r="516" spans="6:8" x14ac:dyDescent="0.2">
      <c r="F516" s="50"/>
      <c r="H516" s="50"/>
    </row>
    <row r="517" spans="6:8" x14ac:dyDescent="0.2">
      <c r="F517" s="50"/>
      <c r="H517"/>
    </row>
    <row r="518" spans="6:8" x14ac:dyDescent="0.2">
      <c r="F518" s="50"/>
      <c r="H518"/>
    </row>
    <row r="519" spans="6:8" x14ac:dyDescent="0.2">
      <c r="F519" s="50"/>
      <c r="H519"/>
    </row>
    <row r="520" spans="6:8" x14ac:dyDescent="0.2">
      <c r="F520" s="50"/>
      <c r="H520" s="50"/>
    </row>
    <row r="521" spans="6:8" x14ac:dyDescent="0.2">
      <c r="F521" s="50"/>
      <c r="H521"/>
    </row>
    <row r="522" spans="6:8" x14ac:dyDescent="0.2">
      <c r="F522" s="50"/>
      <c r="H522" s="50"/>
    </row>
    <row r="523" spans="6:8" x14ac:dyDescent="0.2">
      <c r="F523" s="50"/>
      <c r="H523"/>
    </row>
    <row r="524" spans="6:8" x14ac:dyDescent="0.2">
      <c r="F524" s="50"/>
      <c r="H524" s="50"/>
    </row>
    <row r="525" spans="6:8" x14ac:dyDescent="0.2">
      <c r="F525" s="50"/>
      <c r="H525"/>
    </row>
    <row r="526" spans="6:8" x14ac:dyDescent="0.2">
      <c r="F526" s="50"/>
      <c r="H526"/>
    </row>
    <row r="527" spans="6:8" x14ac:dyDescent="0.2">
      <c r="F527" s="50"/>
      <c r="H527"/>
    </row>
    <row r="528" spans="6:8" x14ac:dyDescent="0.2">
      <c r="F528" s="50"/>
      <c r="H528"/>
    </row>
    <row r="529" spans="6:8" x14ac:dyDescent="0.2">
      <c r="F529" s="50"/>
      <c r="H529"/>
    </row>
    <row r="530" spans="6:8" x14ac:dyDescent="0.2">
      <c r="F530" s="50"/>
      <c r="H530"/>
    </row>
    <row r="531" spans="6:8" x14ac:dyDescent="0.2">
      <c r="F531" s="50"/>
      <c r="H531"/>
    </row>
    <row r="532" spans="6:8" x14ac:dyDescent="0.2">
      <c r="F532" s="50"/>
      <c r="H532"/>
    </row>
    <row r="533" spans="6:8" x14ac:dyDescent="0.2">
      <c r="F533" s="50"/>
      <c r="H533"/>
    </row>
    <row r="534" spans="6:8" x14ac:dyDescent="0.2">
      <c r="F534" s="50"/>
      <c r="H534"/>
    </row>
    <row r="535" spans="6:8" x14ac:dyDescent="0.2">
      <c r="F535" s="50"/>
      <c r="H535"/>
    </row>
    <row r="536" spans="6:8" x14ac:dyDescent="0.2">
      <c r="F536" s="50"/>
      <c r="H536"/>
    </row>
    <row r="537" spans="6:8" x14ac:dyDescent="0.2">
      <c r="F537" s="50"/>
      <c r="H537"/>
    </row>
    <row r="538" spans="6:8" x14ac:dyDescent="0.2">
      <c r="F538" s="50"/>
      <c r="H538" s="50"/>
    </row>
    <row r="539" spans="6:8" x14ac:dyDescent="0.2">
      <c r="F539" s="50"/>
      <c r="H539" s="50"/>
    </row>
    <row r="540" spans="6:8" x14ac:dyDescent="0.2">
      <c r="F540" s="50"/>
      <c r="H540" s="50"/>
    </row>
    <row r="541" spans="6:8" x14ac:dyDescent="0.2">
      <c r="F541" s="50"/>
      <c r="H541"/>
    </row>
    <row r="542" spans="6:8" x14ac:dyDescent="0.2">
      <c r="F542" s="50"/>
      <c r="H542"/>
    </row>
    <row r="543" spans="6:8" x14ac:dyDescent="0.2">
      <c r="F543" s="50"/>
      <c r="H543" s="50"/>
    </row>
    <row r="544" spans="6:8" x14ac:dyDescent="0.2">
      <c r="F544" s="50"/>
      <c r="H544"/>
    </row>
    <row r="545" spans="6:8" x14ac:dyDescent="0.2">
      <c r="F545" s="50"/>
      <c r="H545" s="50"/>
    </row>
    <row r="546" spans="6:8" x14ac:dyDescent="0.2">
      <c r="F546" s="50"/>
      <c r="H546"/>
    </row>
    <row r="547" spans="6:8" x14ac:dyDescent="0.2">
      <c r="H547"/>
    </row>
    <row r="548" spans="6:8" x14ac:dyDescent="0.2">
      <c r="H548"/>
    </row>
    <row r="549" spans="6:8" x14ac:dyDescent="0.2">
      <c r="F549" s="50"/>
      <c r="H549" s="50"/>
    </row>
    <row r="550" spans="6:8" x14ac:dyDescent="0.2">
      <c r="F550" s="50"/>
      <c r="H550" s="50"/>
    </row>
    <row r="551" spans="6:8" x14ac:dyDescent="0.2">
      <c r="F551" s="50"/>
      <c r="H551"/>
    </row>
    <row r="552" spans="6:8" x14ac:dyDescent="0.2">
      <c r="F552" s="50"/>
      <c r="H552" s="50"/>
    </row>
    <row r="553" spans="6:8" x14ac:dyDescent="0.2">
      <c r="F553" s="50"/>
      <c r="H553" s="50"/>
    </row>
    <row r="554" spans="6:8" x14ac:dyDescent="0.2">
      <c r="F554" s="50"/>
      <c r="H554"/>
    </row>
    <row r="555" spans="6:8" x14ac:dyDescent="0.2">
      <c r="F555" s="50"/>
      <c r="H555"/>
    </row>
    <row r="556" spans="6:8" x14ac:dyDescent="0.2">
      <c r="F556" s="50"/>
      <c r="H556"/>
    </row>
    <row r="557" spans="6:8" x14ac:dyDescent="0.2">
      <c r="F557" s="50"/>
      <c r="H557"/>
    </row>
    <row r="558" spans="6:8" x14ac:dyDescent="0.2">
      <c r="F558" s="50"/>
      <c r="H558"/>
    </row>
    <row r="559" spans="6:8" x14ac:dyDescent="0.2">
      <c r="F559" s="50"/>
      <c r="H559"/>
    </row>
    <row r="560" spans="6:8" x14ac:dyDescent="0.2">
      <c r="F560" s="50"/>
      <c r="H560"/>
    </row>
    <row r="561" spans="6:8" x14ac:dyDescent="0.2">
      <c r="F561" s="50"/>
      <c r="H561"/>
    </row>
    <row r="562" spans="6:8" x14ac:dyDescent="0.2">
      <c r="F562" s="50"/>
      <c r="H562"/>
    </row>
    <row r="563" spans="6:8" x14ac:dyDescent="0.2">
      <c r="F563" s="50"/>
      <c r="H563"/>
    </row>
    <row r="564" spans="6:8" x14ac:dyDescent="0.2">
      <c r="F564" s="50"/>
      <c r="H564"/>
    </row>
    <row r="565" spans="6:8" x14ac:dyDescent="0.2">
      <c r="F565" s="50"/>
      <c r="H565"/>
    </row>
    <row r="566" spans="6:8" x14ac:dyDescent="0.2">
      <c r="F566" s="50"/>
      <c r="H566"/>
    </row>
    <row r="567" spans="6:8" x14ac:dyDescent="0.2">
      <c r="F567" s="50"/>
      <c r="H567"/>
    </row>
    <row r="568" spans="6:8" x14ac:dyDescent="0.2">
      <c r="F568" s="50"/>
      <c r="H568"/>
    </row>
    <row r="569" spans="6:8" x14ac:dyDescent="0.2">
      <c r="F569" s="50"/>
      <c r="H569"/>
    </row>
    <row r="570" spans="6:8" x14ac:dyDescent="0.2">
      <c r="F570" s="50"/>
      <c r="H570"/>
    </row>
    <row r="571" spans="6:8" x14ac:dyDescent="0.2">
      <c r="F571" s="50"/>
      <c r="H571"/>
    </row>
    <row r="572" spans="6:8" x14ac:dyDescent="0.2">
      <c r="F572" s="50"/>
      <c r="H572"/>
    </row>
    <row r="573" spans="6:8" x14ac:dyDescent="0.2">
      <c r="F573" s="50"/>
      <c r="H573"/>
    </row>
    <row r="574" spans="6:8" x14ac:dyDescent="0.2">
      <c r="F574" s="50"/>
      <c r="H574"/>
    </row>
    <row r="575" spans="6:8" x14ac:dyDescent="0.2">
      <c r="F575" s="50"/>
      <c r="H575"/>
    </row>
    <row r="576" spans="6:8" x14ac:dyDescent="0.2">
      <c r="F576" s="50"/>
      <c r="H576"/>
    </row>
    <row r="577" spans="6:8" x14ac:dyDescent="0.2">
      <c r="F577" s="50"/>
      <c r="H577"/>
    </row>
    <row r="578" spans="6:8" x14ac:dyDescent="0.2">
      <c r="F578" s="50"/>
      <c r="H578"/>
    </row>
    <row r="579" spans="6:8" x14ac:dyDescent="0.2">
      <c r="F579" s="50"/>
      <c r="H579"/>
    </row>
    <row r="580" spans="6:8" x14ac:dyDescent="0.2">
      <c r="F580" s="50"/>
      <c r="H580"/>
    </row>
    <row r="581" spans="6:8" x14ac:dyDescent="0.2">
      <c r="F581" s="50"/>
      <c r="H581"/>
    </row>
    <row r="582" spans="6:8" x14ac:dyDescent="0.2">
      <c r="F582" s="50"/>
      <c r="H582"/>
    </row>
    <row r="583" spans="6:8" x14ac:dyDescent="0.2">
      <c r="F583" s="50"/>
      <c r="H583"/>
    </row>
    <row r="584" spans="6:8" x14ac:dyDescent="0.2">
      <c r="F584" s="50"/>
      <c r="H584" s="50"/>
    </row>
    <row r="585" spans="6:8" x14ac:dyDescent="0.2">
      <c r="F585" s="50"/>
      <c r="H585"/>
    </row>
    <row r="586" spans="6:8" x14ac:dyDescent="0.2">
      <c r="F586" s="50"/>
      <c r="H586"/>
    </row>
    <row r="587" spans="6:8" x14ac:dyDescent="0.2">
      <c r="F587" s="50"/>
      <c r="H587" s="50"/>
    </row>
    <row r="588" spans="6:8" x14ac:dyDescent="0.2">
      <c r="F588" s="50"/>
      <c r="H588"/>
    </row>
    <row r="589" spans="6:8" x14ac:dyDescent="0.2">
      <c r="F589" s="50"/>
      <c r="H589"/>
    </row>
    <row r="590" spans="6:8" x14ac:dyDescent="0.2">
      <c r="F590" s="50"/>
      <c r="H590" s="50"/>
    </row>
    <row r="591" spans="6:8" x14ac:dyDescent="0.2">
      <c r="F591" s="50"/>
      <c r="H591"/>
    </row>
    <row r="592" spans="6:8" x14ac:dyDescent="0.2">
      <c r="F592" s="50"/>
      <c r="H592"/>
    </row>
    <row r="593" spans="6:8" x14ac:dyDescent="0.2">
      <c r="F593" s="50"/>
      <c r="H593"/>
    </row>
    <row r="594" spans="6:8" x14ac:dyDescent="0.2">
      <c r="F594" s="50"/>
      <c r="H594"/>
    </row>
    <row r="595" spans="6:8" x14ac:dyDescent="0.2">
      <c r="F595" s="50"/>
      <c r="H595"/>
    </row>
    <row r="596" spans="6:8" x14ac:dyDescent="0.2">
      <c r="F596" s="50"/>
      <c r="H596"/>
    </row>
    <row r="597" spans="6:8" x14ac:dyDescent="0.2">
      <c r="F597" s="50"/>
      <c r="H597"/>
    </row>
    <row r="598" spans="6:8" x14ac:dyDescent="0.2">
      <c r="F598" s="50"/>
      <c r="H598"/>
    </row>
    <row r="599" spans="6:8" x14ac:dyDescent="0.2">
      <c r="F599" s="50"/>
      <c r="H599"/>
    </row>
    <row r="600" spans="6:8" x14ac:dyDescent="0.2">
      <c r="F600" s="50"/>
      <c r="H600"/>
    </row>
    <row r="601" spans="6:8" x14ac:dyDescent="0.2">
      <c r="F601" s="50"/>
      <c r="H601"/>
    </row>
    <row r="602" spans="6:8" x14ac:dyDescent="0.2">
      <c r="F602" s="50"/>
      <c r="H602" s="50"/>
    </row>
    <row r="603" spans="6:8" x14ac:dyDescent="0.2">
      <c r="F603" s="50"/>
      <c r="H603"/>
    </row>
    <row r="604" spans="6:8" x14ac:dyDescent="0.2">
      <c r="F604" s="50"/>
      <c r="H604"/>
    </row>
    <row r="605" spans="6:8" x14ac:dyDescent="0.2">
      <c r="F605" s="50"/>
      <c r="H605"/>
    </row>
    <row r="606" spans="6:8" x14ac:dyDescent="0.2">
      <c r="F606" s="50"/>
      <c r="H606"/>
    </row>
    <row r="607" spans="6:8" x14ac:dyDescent="0.2">
      <c r="F607" s="50"/>
      <c r="H607"/>
    </row>
    <row r="608" spans="6:8" x14ac:dyDescent="0.2">
      <c r="F608" s="50"/>
      <c r="H608"/>
    </row>
    <row r="609" spans="6:8" x14ac:dyDescent="0.2">
      <c r="F609" s="50"/>
      <c r="H609"/>
    </row>
    <row r="610" spans="6:8" x14ac:dyDescent="0.2">
      <c r="F610" s="50"/>
      <c r="H610"/>
    </row>
    <row r="611" spans="6:8" x14ac:dyDescent="0.2">
      <c r="F611" s="50"/>
      <c r="H611"/>
    </row>
    <row r="612" spans="6:8" x14ac:dyDescent="0.2">
      <c r="F612" s="50"/>
      <c r="H612" s="50"/>
    </row>
    <row r="613" spans="6:8" x14ac:dyDescent="0.2">
      <c r="F613" s="50"/>
      <c r="H613"/>
    </row>
    <row r="614" spans="6:8" x14ac:dyDescent="0.2">
      <c r="F614" s="50"/>
      <c r="H614"/>
    </row>
    <row r="615" spans="6:8" x14ac:dyDescent="0.2">
      <c r="F615" s="50"/>
      <c r="H615"/>
    </row>
    <row r="616" spans="6:8" x14ac:dyDescent="0.2">
      <c r="F616" s="50"/>
      <c r="H616"/>
    </row>
    <row r="617" spans="6:8" x14ac:dyDescent="0.2">
      <c r="F617" s="50"/>
      <c r="H617"/>
    </row>
    <row r="618" spans="6:8" x14ac:dyDescent="0.2">
      <c r="F618" s="50"/>
      <c r="H618" s="50"/>
    </row>
    <row r="619" spans="6:8" x14ac:dyDescent="0.2">
      <c r="F619" s="50"/>
      <c r="H619"/>
    </row>
    <row r="620" spans="6:8" x14ac:dyDescent="0.2">
      <c r="F620" s="50"/>
      <c r="H620"/>
    </row>
    <row r="621" spans="6:8" x14ac:dyDescent="0.2">
      <c r="F621" s="50"/>
      <c r="H621"/>
    </row>
    <row r="622" spans="6:8" x14ac:dyDescent="0.2">
      <c r="F622" s="50"/>
      <c r="H622" s="50"/>
    </row>
    <row r="623" spans="6:8" x14ac:dyDescent="0.2">
      <c r="F623" s="50"/>
      <c r="H623"/>
    </row>
    <row r="624" spans="6:8" x14ac:dyDescent="0.2">
      <c r="F624" s="50"/>
      <c r="H624"/>
    </row>
    <row r="625" spans="6:8" x14ac:dyDescent="0.2">
      <c r="F625" s="50"/>
      <c r="H625" s="50"/>
    </row>
    <row r="626" spans="6:8" x14ac:dyDescent="0.2">
      <c r="F626" s="50"/>
      <c r="H626" s="50"/>
    </row>
    <row r="627" spans="6:8" x14ac:dyDescent="0.2">
      <c r="F627" s="50"/>
      <c r="H627" s="50"/>
    </row>
    <row r="628" spans="6:8" x14ac:dyDescent="0.2">
      <c r="F628" s="50"/>
      <c r="H628" s="50"/>
    </row>
    <row r="629" spans="6:8" x14ac:dyDescent="0.2">
      <c r="F629" s="50"/>
      <c r="H629" s="50"/>
    </row>
    <row r="630" spans="6:8" x14ac:dyDescent="0.2">
      <c r="F630" s="50"/>
      <c r="H630" s="50"/>
    </row>
    <row r="631" spans="6:8" x14ac:dyDescent="0.2">
      <c r="F631" s="50"/>
      <c r="H631"/>
    </row>
    <row r="632" spans="6:8" x14ac:dyDescent="0.2">
      <c r="F632" s="50"/>
      <c r="H632" s="50"/>
    </row>
    <row r="633" spans="6:8" x14ac:dyDescent="0.2">
      <c r="F633" s="50"/>
      <c r="H633"/>
    </row>
    <row r="634" spans="6:8" x14ac:dyDescent="0.2">
      <c r="F634" s="50"/>
      <c r="H634" s="50"/>
    </row>
    <row r="635" spans="6:8" x14ac:dyDescent="0.2">
      <c r="F635" s="50"/>
      <c r="H635"/>
    </row>
    <row r="636" spans="6:8" x14ac:dyDescent="0.2">
      <c r="F636" s="50"/>
      <c r="H636" s="50"/>
    </row>
    <row r="637" spans="6:8" x14ac:dyDescent="0.2">
      <c r="F637" s="50"/>
      <c r="H637"/>
    </row>
    <row r="638" spans="6:8" x14ac:dyDescent="0.2">
      <c r="F638" s="50"/>
      <c r="H638"/>
    </row>
    <row r="639" spans="6:8" x14ac:dyDescent="0.2">
      <c r="F639" s="50"/>
      <c r="H639"/>
    </row>
    <row r="640" spans="6:8" x14ac:dyDescent="0.2">
      <c r="F640" s="50"/>
      <c r="H640"/>
    </row>
    <row r="641" spans="6:8" x14ac:dyDescent="0.2">
      <c r="F641" s="50"/>
      <c r="H641"/>
    </row>
    <row r="642" spans="6:8" x14ac:dyDescent="0.2">
      <c r="F642" s="50"/>
      <c r="H642"/>
    </row>
    <row r="643" spans="6:8" x14ac:dyDescent="0.2">
      <c r="F643" s="50"/>
      <c r="H643"/>
    </row>
    <row r="644" spans="6:8" x14ac:dyDescent="0.2">
      <c r="F644" s="50"/>
      <c r="H644"/>
    </row>
    <row r="645" spans="6:8" x14ac:dyDescent="0.2">
      <c r="H645"/>
    </row>
    <row r="646" spans="6:8" x14ac:dyDescent="0.2">
      <c r="H646"/>
    </row>
    <row r="647" spans="6:8" x14ac:dyDescent="0.2">
      <c r="F647" s="50"/>
      <c r="H647"/>
    </row>
    <row r="648" spans="6:8" x14ac:dyDescent="0.2">
      <c r="F648" s="50"/>
      <c r="H648" s="50"/>
    </row>
    <row r="649" spans="6:8" x14ac:dyDescent="0.2">
      <c r="F649" s="50"/>
      <c r="H649"/>
    </row>
    <row r="650" spans="6:8" x14ac:dyDescent="0.2">
      <c r="F650" s="50"/>
      <c r="H650"/>
    </row>
    <row r="651" spans="6:8" x14ac:dyDescent="0.2">
      <c r="F651" s="50"/>
      <c r="H651"/>
    </row>
    <row r="652" spans="6:8" x14ac:dyDescent="0.2">
      <c r="F652" s="50"/>
      <c r="H652"/>
    </row>
    <row r="653" spans="6:8" x14ac:dyDescent="0.2">
      <c r="F653" s="50"/>
      <c r="H653"/>
    </row>
    <row r="654" spans="6:8" x14ac:dyDescent="0.2">
      <c r="F654" s="50"/>
      <c r="H654" s="50"/>
    </row>
    <row r="655" spans="6:8" x14ac:dyDescent="0.2">
      <c r="F655" s="50"/>
      <c r="H655"/>
    </row>
    <row r="656" spans="6:8" x14ac:dyDescent="0.2">
      <c r="F656" s="50"/>
      <c r="H656"/>
    </row>
    <row r="657" spans="6:8" x14ac:dyDescent="0.2">
      <c r="F657" s="50"/>
      <c r="H657"/>
    </row>
    <row r="658" spans="6:8" x14ac:dyDescent="0.2">
      <c r="F658" s="50"/>
      <c r="H658" s="50"/>
    </row>
    <row r="659" spans="6:8" x14ac:dyDescent="0.2">
      <c r="H659"/>
    </row>
    <row r="660" spans="6:8" x14ac:dyDescent="0.2">
      <c r="F660" s="50"/>
      <c r="H660"/>
    </row>
    <row r="661" spans="6:8" x14ac:dyDescent="0.2">
      <c r="F661" s="50"/>
      <c r="H661"/>
    </row>
    <row r="662" spans="6:8" x14ac:dyDescent="0.2">
      <c r="F662" s="50"/>
      <c r="H662"/>
    </row>
    <row r="663" spans="6:8" x14ac:dyDescent="0.2">
      <c r="F663" s="50"/>
      <c r="H663" s="50"/>
    </row>
    <row r="664" spans="6:8" x14ac:dyDescent="0.2">
      <c r="F664" s="50"/>
      <c r="H664"/>
    </row>
    <row r="665" spans="6:8" x14ac:dyDescent="0.2">
      <c r="F665" s="50"/>
      <c r="H665"/>
    </row>
    <row r="666" spans="6:8" x14ac:dyDescent="0.2">
      <c r="F666" s="50"/>
      <c r="H666" s="50"/>
    </row>
    <row r="667" spans="6:8" x14ac:dyDescent="0.2">
      <c r="F667" s="50"/>
      <c r="H667"/>
    </row>
    <row r="668" spans="6:8" x14ac:dyDescent="0.2">
      <c r="F668" s="50"/>
      <c r="H668"/>
    </row>
    <row r="669" spans="6:8" x14ac:dyDescent="0.2">
      <c r="F669" s="50"/>
      <c r="H669" s="50"/>
    </row>
    <row r="670" spans="6:8" x14ac:dyDescent="0.2">
      <c r="F670" s="50"/>
      <c r="H670"/>
    </row>
    <row r="671" spans="6:8" x14ac:dyDescent="0.2">
      <c r="F671" s="50"/>
      <c r="H671"/>
    </row>
    <row r="672" spans="6:8" x14ac:dyDescent="0.2">
      <c r="F672" s="50"/>
      <c r="H672" s="50"/>
    </row>
    <row r="673" spans="6:8" x14ac:dyDescent="0.2">
      <c r="F673" s="50"/>
      <c r="H673"/>
    </row>
    <row r="674" spans="6:8" x14ac:dyDescent="0.2">
      <c r="F674" s="50"/>
      <c r="H674" s="50"/>
    </row>
    <row r="675" spans="6:8" x14ac:dyDescent="0.2">
      <c r="F675" s="50"/>
      <c r="H675" s="50"/>
    </row>
    <row r="676" spans="6:8" x14ac:dyDescent="0.2">
      <c r="F676" s="50"/>
      <c r="H676"/>
    </row>
    <row r="677" spans="6:8" x14ac:dyDescent="0.2">
      <c r="F677" s="50"/>
      <c r="H677"/>
    </row>
    <row r="678" spans="6:8" x14ac:dyDescent="0.2">
      <c r="F678" s="50"/>
      <c r="H678"/>
    </row>
    <row r="679" spans="6:8" x14ac:dyDescent="0.2">
      <c r="F679" s="50"/>
      <c r="H679" s="50"/>
    </row>
    <row r="680" spans="6:8" x14ac:dyDescent="0.2">
      <c r="F680" s="50"/>
      <c r="H680" s="50"/>
    </row>
    <row r="681" spans="6:8" x14ac:dyDescent="0.2">
      <c r="F681" s="50"/>
      <c r="H681"/>
    </row>
    <row r="682" spans="6:8" x14ac:dyDescent="0.2">
      <c r="F682" s="50"/>
      <c r="H682"/>
    </row>
    <row r="683" spans="6:8" x14ac:dyDescent="0.2">
      <c r="F683" s="50"/>
      <c r="H683" s="50"/>
    </row>
    <row r="684" spans="6:8" x14ac:dyDescent="0.2">
      <c r="F684" s="50"/>
      <c r="H684"/>
    </row>
    <row r="685" spans="6:8" x14ac:dyDescent="0.2">
      <c r="F685" s="50"/>
      <c r="H685"/>
    </row>
    <row r="686" spans="6:8" x14ac:dyDescent="0.2">
      <c r="F686" s="50"/>
      <c r="H686"/>
    </row>
    <row r="687" spans="6:8" x14ac:dyDescent="0.2">
      <c r="F687" s="50"/>
      <c r="H687"/>
    </row>
    <row r="688" spans="6:8" x14ac:dyDescent="0.2">
      <c r="F688" s="50"/>
      <c r="H688"/>
    </row>
    <row r="689" spans="6:8" x14ac:dyDescent="0.2">
      <c r="F689" s="50"/>
      <c r="H689"/>
    </row>
    <row r="690" spans="6:8" x14ac:dyDescent="0.2">
      <c r="F690" s="50"/>
      <c r="H690" s="50"/>
    </row>
    <row r="691" spans="6:8" x14ac:dyDescent="0.2">
      <c r="F691" s="50"/>
      <c r="H691"/>
    </row>
    <row r="692" spans="6:8" x14ac:dyDescent="0.2">
      <c r="F692" s="50"/>
      <c r="H692"/>
    </row>
    <row r="693" spans="6:8" x14ac:dyDescent="0.2">
      <c r="F693" s="50"/>
      <c r="H693"/>
    </row>
    <row r="694" spans="6:8" x14ac:dyDescent="0.2">
      <c r="F694" s="50"/>
      <c r="H694" s="50"/>
    </row>
    <row r="695" spans="6:8" x14ac:dyDescent="0.2">
      <c r="F695" s="50"/>
      <c r="H695" s="50"/>
    </row>
    <row r="696" spans="6:8" x14ac:dyDescent="0.2">
      <c r="F696" s="50"/>
      <c r="H696"/>
    </row>
    <row r="697" spans="6:8" x14ac:dyDescent="0.2">
      <c r="F697" s="50"/>
      <c r="H697"/>
    </row>
    <row r="698" spans="6:8" x14ac:dyDescent="0.2">
      <c r="F698" s="50"/>
      <c r="H698"/>
    </row>
    <row r="699" spans="6:8" x14ac:dyDescent="0.2">
      <c r="F699" s="50"/>
      <c r="H699" s="50"/>
    </row>
    <row r="700" spans="6:8" x14ac:dyDescent="0.2">
      <c r="F700" s="50"/>
      <c r="H700"/>
    </row>
    <row r="701" spans="6:8" x14ac:dyDescent="0.2">
      <c r="F701" s="50"/>
      <c r="H701" s="50"/>
    </row>
    <row r="702" spans="6:8" x14ac:dyDescent="0.2">
      <c r="F702" s="50"/>
      <c r="H702" s="50"/>
    </row>
    <row r="703" spans="6:8" x14ac:dyDescent="0.2">
      <c r="F703" s="50"/>
      <c r="H703" s="50"/>
    </row>
    <row r="704" spans="6:8" x14ac:dyDescent="0.2">
      <c r="F704" s="50"/>
      <c r="H704"/>
    </row>
    <row r="705" spans="6:8" x14ac:dyDescent="0.2">
      <c r="F705" s="50"/>
      <c r="H705" s="50"/>
    </row>
    <row r="706" spans="6:8" x14ac:dyDescent="0.2">
      <c r="F706" s="50"/>
      <c r="H706" s="50"/>
    </row>
    <row r="707" spans="6:8" x14ac:dyDescent="0.2">
      <c r="F707" s="50"/>
      <c r="H707" s="50"/>
    </row>
    <row r="708" spans="6:8" x14ac:dyDescent="0.2">
      <c r="F708" s="50"/>
      <c r="H708" s="50"/>
    </row>
    <row r="709" spans="6:8" x14ac:dyDescent="0.2">
      <c r="F709" s="50"/>
      <c r="H709"/>
    </row>
    <row r="710" spans="6:8" x14ac:dyDescent="0.2">
      <c r="F710" s="50"/>
      <c r="H710"/>
    </row>
    <row r="711" spans="6:8" x14ac:dyDescent="0.2">
      <c r="F711" s="50"/>
      <c r="H711"/>
    </row>
    <row r="712" spans="6:8" x14ac:dyDescent="0.2">
      <c r="F712" s="50"/>
      <c r="H712"/>
    </row>
    <row r="713" spans="6:8" x14ac:dyDescent="0.2">
      <c r="F713" s="50"/>
      <c r="H713"/>
    </row>
    <row r="714" spans="6:8" x14ac:dyDescent="0.2">
      <c r="F714" s="50"/>
      <c r="H714"/>
    </row>
    <row r="715" spans="6:8" x14ac:dyDescent="0.2">
      <c r="F715" s="50"/>
      <c r="H715"/>
    </row>
    <row r="716" spans="6:8" x14ac:dyDescent="0.2">
      <c r="F716" s="50"/>
      <c r="H716"/>
    </row>
    <row r="717" spans="6:8" x14ac:dyDescent="0.2">
      <c r="F717" s="50"/>
      <c r="H717"/>
    </row>
    <row r="718" spans="6:8" x14ac:dyDescent="0.2">
      <c r="F718" s="50"/>
      <c r="H718" s="50"/>
    </row>
    <row r="719" spans="6:8" x14ac:dyDescent="0.2">
      <c r="F719" s="50"/>
      <c r="H719" s="50"/>
    </row>
    <row r="720" spans="6:8" x14ac:dyDescent="0.2">
      <c r="F720" s="50"/>
      <c r="H720"/>
    </row>
    <row r="721" spans="6:8" x14ac:dyDescent="0.2">
      <c r="F721" s="50"/>
      <c r="H721"/>
    </row>
    <row r="722" spans="6:8" x14ac:dyDescent="0.2">
      <c r="F722" s="50"/>
      <c r="H722"/>
    </row>
    <row r="723" spans="6:8" x14ac:dyDescent="0.2">
      <c r="F723" s="50"/>
      <c r="H723"/>
    </row>
    <row r="724" spans="6:8" x14ac:dyDescent="0.2">
      <c r="F724" s="50"/>
      <c r="H724"/>
    </row>
    <row r="725" spans="6:8" x14ac:dyDescent="0.2">
      <c r="F725" s="50"/>
      <c r="H725" s="50"/>
    </row>
    <row r="726" spans="6:8" x14ac:dyDescent="0.2">
      <c r="F726" s="50"/>
      <c r="H726"/>
    </row>
    <row r="727" spans="6:8" x14ac:dyDescent="0.2">
      <c r="H727"/>
    </row>
    <row r="728" spans="6:8" x14ac:dyDescent="0.2">
      <c r="F728" s="50"/>
      <c r="H728"/>
    </row>
    <row r="729" spans="6:8" x14ac:dyDescent="0.2">
      <c r="H729"/>
    </row>
    <row r="730" spans="6:8" x14ac:dyDescent="0.2">
      <c r="F730" s="50"/>
      <c r="H730" s="50"/>
    </row>
    <row r="731" spans="6:8" x14ac:dyDescent="0.2">
      <c r="F731" s="50"/>
      <c r="H731" s="50"/>
    </row>
    <row r="732" spans="6:8" x14ac:dyDescent="0.2">
      <c r="F732" s="50"/>
      <c r="H732" s="50"/>
    </row>
    <row r="733" spans="6:8" x14ac:dyDescent="0.2">
      <c r="F733" s="50"/>
      <c r="H733" s="50"/>
    </row>
    <row r="734" spans="6:8" x14ac:dyDescent="0.2">
      <c r="F734" s="50"/>
      <c r="H734"/>
    </row>
    <row r="735" spans="6:8" x14ac:dyDescent="0.2">
      <c r="F735" s="50"/>
      <c r="H735"/>
    </row>
    <row r="736" spans="6:8" x14ac:dyDescent="0.2">
      <c r="F736" s="50"/>
      <c r="H736"/>
    </row>
    <row r="737" spans="6:8" x14ac:dyDescent="0.2">
      <c r="F737" s="50"/>
      <c r="H737"/>
    </row>
    <row r="738" spans="6:8" x14ac:dyDescent="0.2">
      <c r="F738" s="50"/>
      <c r="H738" s="50"/>
    </row>
    <row r="739" spans="6:8" x14ac:dyDescent="0.2">
      <c r="F739" s="50"/>
      <c r="H739"/>
    </row>
    <row r="740" spans="6:8" x14ac:dyDescent="0.2">
      <c r="F740" s="50"/>
      <c r="H740" s="50"/>
    </row>
    <row r="741" spans="6:8" x14ac:dyDescent="0.2">
      <c r="F741" s="50"/>
      <c r="H741" s="50"/>
    </row>
    <row r="742" spans="6:8" x14ac:dyDescent="0.2">
      <c r="F742" s="50"/>
      <c r="H742"/>
    </row>
    <row r="743" spans="6:8" x14ac:dyDescent="0.2">
      <c r="F743" s="50"/>
      <c r="H743"/>
    </row>
    <row r="744" spans="6:8" x14ac:dyDescent="0.2">
      <c r="F744" s="50"/>
      <c r="H744"/>
    </row>
    <row r="745" spans="6:8" x14ac:dyDescent="0.2">
      <c r="F745" s="50"/>
      <c r="H745"/>
    </row>
    <row r="746" spans="6:8" x14ac:dyDescent="0.2">
      <c r="F746" s="50"/>
      <c r="H746"/>
    </row>
    <row r="747" spans="6:8" x14ac:dyDescent="0.2">
      <c r="F747" s="50"/>
      <c r="H747"/>
    </row>
    <row r="748" spans="6:8" x14ac:dyDescent="0.2">
      <c r="F748" s="50"/>
      <c r="H748"/>
    </row>
    <row r="749" spans="6:8" ht="15" x14ac:dyDescent="0.25">
      <c r="F749" s="50"/>
      <c r="H749" s="61"/>
    </row>
    <row r="750" spans="6:8" x14ac:dyDescent="0.2">
      <c r="F750" s="50"/>
      <c r="H750"/>
    </row>
    <row r="751" spans="6:8" x14ac:dyDescent="0.2">
      <c r="F751" s="50"/>
      <c r="H751"/>
    </row>
    <row r="752" spans="6:8" x14ac:dyDescent="0.2">
      <c r="F752" s="50"/>
      <c r="H752"/>
    </row>
    <row r="753" spans="6:8" x14ac:dyDescent="0.2">
      <c r="F753" s="50"/>
      <c r="H753"/>
    </row>
    <row r="754" spans="6:8" x14ac:dyDescent="0.2">
      <c r="F754" s="50"/>
      <c r="H754" s="50"/>
    </row>
    <row r="755" spans="6:8" x14ac:dyDescent="0.2">
      <c r="F755" s="50"/>
      <c r="H755"/>
    </row>
    <row r="756" spans="6:8" x14ac:dyDescent="0.2">
      <c r="F756" s="50"/>
      <c r="H756"/>
    </row>
    <row r="757" spans="6:8" x14ac:dyDescent="0.2">
      <c r="F757" s="50"/>
      <c r="H757" s="50"/>
    </row>
    <row r="758" spans="6:8" x14ac:dyDescent="0.2">
      <c r="F758" s="50"/>
      <c r="H758"/>
    </row>
    <row r="759" spans="6:8" x14ac:dyDescent="0.2">
      <c r="F759" s="50"/>
      <c r="H759"/>
    </row>
    <row r="760" spans="6:8" x14ac:dyDescent="0.2">
      <c r="F760" s="50"/>
      <c r="H760"/>
    </row>
    <row r="761" spans="6:8" x14ac:dyDescent="0.2">
      <c r="F761" s="50"/>
      <c r="H761"/>
    </row>
    <row r="762" spans="6:8" x14ac:dyDescent="0.2">
      <c r="F762" s="50"/>
      <c r="H762"/>
    </row>
    <row r="763" spans="6:8" x14ac:dyDescent="0.2">
      <c r="F763" s="50"/>
      <c r="H763"/>
    </row>
    <row r="764" spans="6:8" x14ac:dyDescent="0.2">
      <c r="F764" s="50"/>
      <c r="H764"/>
    </row>
    <row r="765" spans="6:8" x14ac:dyDescent="0.2">
      <c r="F765" s="50"/>
      <c r="H765" s="50"/>
    </row>
    <row r="766" spans="6:8" x14ac:dyDescent="0.2">
      <c r="F766" s="50"/>
      <c r="H766" s="50"/>
    </row>
    <row r="767" spans="6:8" x14ac:dyDescent="0.2">
      <c r="F767" s="50"/>
      <c r="H767" s="50"/>
    </row>
    <row r="768" spans="6:8" x14ac:dyDescent="0.2">
      <c r="F768" s="50"/>
      <c r="H768"/>
    </row>
    <row r="769" spans="6:8" x14ac:dyDescent="0.2">
      <c r="F769" s="50"/>
      <c r="H769"/>
    </row>
    <row r="770" spans="6:8" x14ac:dyDescent="0.2">
      <c r="F770" s="50"/>
      <c r="H770"/>
    </row>
    <row r="771" spans="6:8" x14ac:dyDescent="0.2">
      <c r="F771" s="50"/>
      <c r="H771"/>
    </row>
    <row r="772" spans="6:8" x14ac:dyDescent="0.2">
      <c r="F772" s="50"/>
      <c r="H772" s="50"/>
    </row>
    <row r="773" spans="6:8" x14ac:dyDescent="0.2">
      <c r="F773" s="50"/>
      <c r="H773" s="50"/>
    </row>
    <row r="774" spans="6:8" x14ac:dyDescent="0.2">
      <c r="F774" s="50"/>
      <c r="H774"/>
    </row>
    <row r="775" spans="6:8" x14ac:dyDescent="0.2">
      <c r="F775" s="50"/>
      <c r="H775"/>
    </row>
    <row r="776" spans="6:8" x14ac:dyDescent="0.2">
      <c r="F776" s="50"/>
      <c r="H776"/>
    </row>
    <row r="777" spans="6:8" x14ac:dyDescent="0.2">
      <c r="F777" s="50"/>
      <c r="H777"/>
    </row>
    <row r="778" spans="6:8" x14ac:dyDescent="0.2">
      <c r="F778" s="50"/>
      <c r="H778"/>
    </row>
    <row r="779" spans="6:8" x14ac:dyDescent="0.2">
      <c r="F779" s="50"/>
      <c r="H779"/>
    </row>
    <row r="780" spans="6:8" x14ac:dyDescent="0.2">
      <c r="F780" s="50"/>
      <c r="H780"/>
    </row>
    <row r="781" spans="6:8" x14ac:dyDescent="0.2">
      <c r="F781" s="50"/>
      <c r="H781"/>
    </row>
    <row r="782" spans="6:8" x14ac:dyDescent="0.2">
      <c r="F782" s="50"/>
      <c r="H782"/>
    </row>
    <row r="783" spans="6:8" x14ac:dyDescent="0.2">
      <c r="F783" s="50"/>
      <c r="H783"/>
    </row>
    <row r="784" spans="6:8" x14ac:dyDescent="0.2">
      <c r="F784" s="50"/>
      <c r="H784"/>
    </row>
    <row r="785" spans="6:8" x14ac:dyDescent="0.2">
      <c r="F785" s="50"/>
      <c r="H785"/>
    </row>
    <row r="786" spans="6:8" x14ac:dyDescent="0.2">
      <c r="F786" s="50"/>
      <c r="H786"/>
    </row>
    <row r="787" spans="6:8" x14ac:dyDescent="0.2">
      <c r="F787" s="50"/>
      <c r="H787"/>
    </row>
    <row r="788" spans="6:8" x14ac:dyDescent="0.2">
      <c r="F788" s="50"/>
      <c r="H788" s="50"/>
    </row>
    <row r="789" spans="6:8" x14ac:dyDescent="0.2">
      <c r="F789" s="50"/>
      <c r="H789"/>
    </row>
    <row r="790" spans="6:8" x14ac:dyDescent="0.2">
      <c r="F790" s="50"/>
      <c r="H790"/>
    </row>
    <row r="791" spans="6:8" x14ac:dyDescent="0.2">
      <c r="F791" s="50"/>
      <c r="H791"/>
    </row>
    <row r="792" spans="6:8" x14ac:dyDescent="0.2">
      <c r="H792"/>
    </row>
    <row r="793" spans="6:8" x14ac:dyDescent="0.2">
      <c r="F793" s="50"/>
      <c r="H793"/>
    </row>
    <row r="794" spans="6:8" x14ac:dyDescent="0.2">
      <c r="F794" s="50"/>
      <c r="H794"/>
    </row>
    <row r="795" spans="6:8" x14ac:dyDescent="0.2">
      <c r="F795" s="50"/>
      <c r="H795" s="50"/>
    </row>
    <row r="796" spans="6:8" x14ac:dyDescent="0.2">
      <c r="F796" s="50"/>
      <c r="H796" s="50"/>
    </row>
    <row r="797" spans="6:8" x14ac:dyDescent="0.2">
      <c r="F797" s="50"/>
      <c r="H797"/>
    </row>
    <row r="798" spans="6:8" x14ac:dyDescent="0.2">
      <c r="F798" s="50"/>
      <c r="H798"/>
    </row>
    <row r="799" spans="6:8" x14ac:dyDescent="0.2">
      <c r="F799" s="50"/>
      <c r="H799"/>
    </row>
    <row r="800" spans="6:8" x14ac:dyDescent="0.2">
      <c r="F800" s="50"/>
      <c r="H800"/>
    </row>
    <row r="801" spans="6:8" x14ac:dyDescent="0.2">
      <c r="F801" s="50"/>
      <c r="H801"/>
    </row>
    <row r="802" spans="6:8" x14ac:dyDescent="0.2">
      <c r="F802" s="50"/>
      <c r="H802" s="50"/>
    </row>
    <row r="803" spans="6:8" x14ac:dyDescent="0.2">
      <c r="F803" s="50"/>
      <c r="H803"/>
    </row>
    <row r="804" spans="6:8" x14ac:dyDescent="0.2">
      <c r="F804" s="50"/>
      <c r="H804"/>
    </row>
    <row r="805" spans="6:8" x14ac:dyDescent="0.2">
      <c r="F805" s="50"/>
      <c r="H805"/>
    </row>
    <row r="806" spans="6:8" x14ac:dyDescent="0.2">
      <c r="F806" s="50"/>
      <c r="H806"/>
    </row>
    <row r="807" spans="6:8" x14ac:dyDescent="0.2">
      <c r="F807" s="50"/>
      <c r="H807" s="50"/>
    </row>
    <row r="808" spans="6:8" x14ac:dyDescent="0.2">
      <c r="F808" s="50"/>
      <c r="H808"/>
    </row>
    <row r="809" spans="6:8" x14ac:dyDescent="0.2">
      <c r="F809" s="50"/>
      <c r="H809"/>
    </row>
    <row r="810" spans="6:8" x14ac:dyDescent="0.2">
      <c r="F810" s="50"/>
      <c r="H810"/>
    </row>
    <row r="811" spans="6:8" x14ac:dyDescent="0.2">
      <c r="F811" s="50"/>
      <c r="H811"/>
    </row>
    <row r="812" spans="6:8" x14ac:dyDescent="0.2">
      <c r="F812" s="50"/>
      <c r="H812"/>
    </row>
    <row r="813" spans="6:8" x14ac:dyDescent="0.2">
      <c r="F813" s="50"/>
      <c r="H813"/>
    </row>
    <row r="814" spans="6:8" x14ac:dyDescent="0.2">
      <c r="H814"/>
    </row>
    <row r="815" spans="6:8" x14ac:dyDescent="0.2">
      <c r="F815" s="50"/>
      <c r="H815"/>
    </row>
    <row r="816" spans="6:8" x14ac:dyDescent="0.2">
      <c r="F816" s="50"/>
      <c r="H816"/>
    </row>
    <row r="817" spans="6:8" x14ac:dyDescent="0.2">
      <c r="F817" s="50"/>
      <c r="H817"/>
    </row>
    <row r="818" spans="6:8" x14ac:dyDescent="0.2">
      <c r="F818" s="50"/>
      <c r="H818"/>
    </row>
    <row r="819" spans="6:8" x14ac:dyDescent="0.2">
      <c r="F819" s="50"/>
      <c r="H819" s="50"/>
    </row>
    <row r="820" spans="6:8" x14ac:dyDescent="0.2">
      <c r="F820" s="50"/>
      <c r="H820"/>
    </row>
    <row r="821" spans="6:8" x14ac:dyDescent="0.2">
      <c r="F821" s="50"/>
      <c r="H821"/>
    </row>
    <row r="822" spans="6:8" x14ac:dyDescent="0.2">
      <c r="F822" s="50"/>
      <c r="H822"/>
    </row>
    <row r="823" spans="6:8" x14ac:dyDescent="0.2">
      <c r="F823" s="50"/>
      <c r="H823"/>
    </row>
    <row r="824" spans="6:8" x14ac:dyDescent="0.2">
      <c r="F824" s="50"/>
      <c r="H824"/>
    </row>
    <row r="825" spans="6:8" x14ac:dyDescent="0.2">
      <c r="F825" s="50"/>
      <c r="H825"/>
    </row>
    <row r="826" spans="6:8" x14ac:dyDescent="0.2">
      <c r="F826" s="50"/>
      <c r="H826"/>
    </row>
    <row r="827" spans="6:8" x14ac:dyDescent="0.2">
      <c r="F827" s="50"/>
      <c r="H827"/>
    </row>
    <row r="828" spans="6:8" x14ac:dyDescent="0.2">
      <c r="F828" s="50"/>
      <c r="H828"/>
    </row>
    <row r="829" spans="6:8" x14ac:dyDescent="0.2">
      <c r="H829"/>
    </row>
    <row r="830" spans="6:8" x14ac:dyDescent="0.2">
      <c r="F830" s="50"/>
      <c r="H830"/>
    </row>
    <row r="831" spans="6:8" x14ac:dyDescent="0.2">
      <c r="F831" s="50"/>
      <c r="H831"/>
    </row>
    <row r="832" spans="6:8" x14ac:dyDescent="0.2">
      <c r="F832" s="50"/>
      <c r="H832"/>
    </row>
    <row r="833" spans="6:8" x14ac:dyDescent="0.2">
      <c r="H833"/>
    </row>
    <row r="834" spans="6:8" x14ac:dyDescent="0.2">
      <c r="H834"/>
    </row>
    <row r="835" spans="6:8" x14ac:dyDescent="0.2">
      <c r="H835"/>
    </row>
    <row r="836" spans="6:8" x14ac:dyDescent="0.2">
      <c r="H836"/>
    </row>
    <row r="837" spans="6:8" x14ac:dyDescent="0.2">
      <c r="H837"/>
    </row>
    <row r="838" spans="6:8" x14ac:dyDescent="0.2">
      <c r="H838"/>
    </row>
    <row r="839" spans="6:8" x14ac:dyDescent="0.2">
      <c r="F839" s="50"/>
      <c r="H839"/>
    </row>
    <row r="840" spans="6:8" x14ac:dyDescent="0.2">
      <c r="F840" s="50"/>
      <c r="H840" s="50"/>
    </row>
    <row r="841" spans="6:8" x14ac:dyDescent="0.2">
      <c r="F841" s="50"/>
      <c r="H841"/>
    </row>
    <row r="842" spans="6:8" x14ac:dyDescent="0.2">
      <c r="F842" s="50"/>
      <c r="H842"/>
    </row>
    <row r="843" spans="6:8" x14ac:dyDescent="0.2">
      <c r="F843" s="50"/>
      <c r="H843"/>
    </row>
    <row r="844" spans="6:8" x14ac:dyDescent="0.2">
      <c r="F844" s="50"/>
      <c r="H844"/>
    </row>
    <row r="845" spans="6:8" x14ac:dyDescent="0.2">
      <c r="F845" s="50"/>
      <c r="H845" s="50"/>
    </row>
    <row r="846" spans="6:8" x14ac:dyDescent="0.2">
      <c r="F846" s="50"/>
      <c r="H846" s="50"/>
    </row>
    <row r="847" spans="6:8" x14ac:dyDescent="0.2">
      <c r="F847" s="50"/>
      <c r="H847"/>
    </row>
    <row r="848" spans="6:8" x14ac:dyDescent="0.2">
      <c r="F848" s="50"/>
      <c r="H848" s="50"/>
    </row>
    <row r="849" spans="6:8" x14ac:dyDescent="0.2">
      <c r="F849" s="50"/>
      <c r="H849"/>
    </row>
    <row r="850" spans="6:8" x14ac:dyDescent="0.2">
      <c r="F850" s="50"/>
      <c r="H850"/>
    </row>
    <row r="851" spans="6:8" x14ac:dyDescent="0.2">
      <c r="F851" s="50"/>
      <c r="H851"/>
    </row>
    <row r="852" spans="6:8" x14ac:dyDescent="0.2">
      <c r="F852" s="50"/>
      <c r="H852" s="50"/>
    </row>
    <row r="853" spans="6:8" x14ac:dyDescent="0.2">
      <c r="F853" s="50"/>
      <c r="H853"/>
    </row>
    <row r="854" spans="6:8" x14ac:dyDescent="0.2">
      <c r="F854" s="50"/>
      <c r="H854"/>
    </row>
    <row r="855" spans="6:8" x14ac:dyDescent="0.2">
      <c r="F855" s="50"/>
      <c r="H855"/>
    </row>
    <row r="856" spans="6:8" x14ac:dyDescent="0.2">
      <c r="F856" s="50"/>
      <c r="H856"/>
    </row>
    <row r="857" spans="6:8" x14ac:dyDescent="0.2">
      <c r="F857" s="50"/>
      <c r="H857"/>
    </row>
    <row r="858" spans="6:8" x14ac:dyDescent="0.2">
      <c r="F858" s="50"/>
      <c r="H858"/>
    </row>
    <row r="859" spans="6:8" x14ac:dyDescent="0.2">
      <c r="F859" s="50"/>
      <c r="H859" s="50"/>
    </row>
    <row r="860" spans="6:8" x14ac:dyDescent="0.2">
      <c r="F860" s="50"/>
      <c r="H860"/>
    </row>
    <row r="861" spans="6:8" x14ac:dyDescent="0.2">
      <c r="F861" s="50"/>
      <c r="H861" s="50"/>
    </row>
    <row r="862" spans="6:8" x14ac:dyDescent="0.2">
      <c r="F862" s="50"/>
      <c r="H862" s="50"/>
    </row>
    <row r="863" spans="6:8" x14ac:dyDescent="0.2">
      <c r="F863" s="50"/>
      <c r="H863"/>
    </row>
    <row r="864" spans="6:8" x14ac:dyDescent="0.2">
      <c r="F864" s="50"/>
      <c r="H864"/>
    </row>
    <row r="865" spans="6:8" x14ac:dyDescent="0.2">
      <c r="F865" s="50"/>
      <c r="H865"/>
    </row>
    <row r="866" spans="6:8" x14ac:dyDescent="0.2">
      <c r="F866" s="50"/>
      <c r="H866"/>
    </row>
    <row r="867" spans="6:8" x14ac:dyDescent="0.2">
      <c r="F867" s="50"/>
      <c r="H867"/>
    </row>
    <row r="868" spans="6:8" x14ac:dyDescent="0.2">
      <c r="F868" s="50"/>
      <c r="H868" s="50"/>
    </row>
    <row r="869" spans="6:8" x14ac:dyDescent="0.2">
      <c r="F869" s="50"/>
      <c r="H869" s="50"/>
    </row>
    <row r="870" spans="6:8" x14ac:dyDescent="0.2">
      <c r="F870" s="50"/>
      <c r="H870"/>
    </row>
    <row r="871" spans="6:8" x14ac:dyDescent="0.2">
      <c r="F871" s="50"/>
      <c r="H871"/>
    </row>
    <row r="872" spans="6:8" x14ac:dyDescent="0.2">
      <c r="F872" s="50"/>
      <c r="H872"/>
    </row>
    <row r="873" spans="6:8" x14ac:dyDescent="0.2">
      <c r="F873" s="50"/>
      <c r="H873"/>
    </row>
    <row r="874" spans="6:8" x14ac:dyDescent="0.2">
      <c r="F874" s="50"/>
      <c r="H874" s="50"/>
    </row>
    <row r="875" spans="6:8" x14ac:dyDescent="0.2">
      <c r="F875" s="50"/>
      <c r="H875" s="50"/>
    </row>
    <row r="876" spans="6:8" x14ac:dyDescent="0.2">
      <c r="F876" s="50"/>
      <c r="H876" s="50"/>
    </row>
    <row r="877" spans="6:8" x14ac:dyDescent="0.2">
      <c r="F877" s="50"/>
      <c r="H877"/>
    </row>
    <row r="878" spans="6:8" x14ac:dyDescent="0.2">
      <c r="F878" s="50"/>
      <c r="H878" s="50"/>
    </row>
    <row r="879" spans="6:8" x14ac:dyDescent="0.2">
      <c r="F879" s="50"/>
      <c r="H879" s="50"/>
    </row>
    <row r="880" spans="6:8" x14ac:dyDescent="0.2">
      <c r="F880" s="50"/>
      <c r="H880" s="50"/>
    </row>
    <row r="881" spans="6:8" x14ac:dyDescent="0.2">
      <c r="F881" s="50"/>
      <c r="H881"/>
    </row>
    <row r="882" spans="6:8" x14ac:dyDescent="0.2">
      <c r="F882" s="50"/>
      <c r="H882"/>
    </row>
    <row r="883" spans="6:8" x14ac:dyDescent="0.2">
      <c r="F883" s="50"/>
      <c r="H883"/>
    </row>
    <row r="884" spans="6:8" x14ac:dyDescent="0.2">
      <c r="F884" s="50"/>
      <c r="H884"/>
    </row>
    <row r="885" spans="6:8" x14ac:dyDescent="0.2">
      <c r="F885" s="50"/>
      <c r="H885"/>
    </row>
    <row r="886" spans="6:8" x14ac:dyDescent="0.2">
      <c r="F886" s="50"/>
      <c r="H886"/>
    </row>
    <row r="887" spans="6:8" x14ac:dyDescent="0.2">
      <c r="F887" s="50"/>
      <c r="H887"/>
    </row>
    <row r="888" spans="6:8" x14ac:dyDescent="0.2">
      <c r="F888" s="50"/>
      <c r="H888"/>
    </row>
    <row r="889" spans="6:8" x14ac:dyDescent="0.2">
      <c r="F889" s="50"/>
      <c r="H889" s="50"/>
    </row>
    <row r="890" spans="6:8" x14ac:dyDescent="0.2">
      <c r="F890" s="50"/>
      <c r="H890" s="50"/>
    </row>
    <row r="891" spans="6:8" x14ac:dyDescent="0.2">
      <c r="F891" s="50"/>
      <c r="H891" s="50"/>
    </row>
    <row r="892" spans="6:8" x14ac:dyDescent="0.2">
      <c r="F892" s="50"/>
      <c r="H892" s="50"/>
    </row>
    <row r="893" spans="6:8" x14ac:dyDescent="0.2">
      <c r="F893" s="50"/>
      <c r="H893"/>
    </row>
    <row r="894" spans="6:8" x14ac:dyDescent="0.2">
      <c r="F894" s="50"/>
      <c r="H894"/>
    </row>
    <row r="895" spans="6:8" x14ac:dyDescent="0.2">
      <c r="F895" s="50"/>
      <c r="H895"/>
    </row>
    <row r="896" spans="6:8" x14ac:dyDescent="0.2">
      <c r="F896" s="50"/>
      <c r="H896" s="50"/>
    </row>
    <row r="897" spans="6:8" x14ac:dyDescent="0.2">
      <c r="F897" s="50"/>
      <c r="H897" s="50"/>
    </row>
    <row r="898" spans="6:8" x14ac:dyDescent="0.2">
      <c r="F898" s="50"/>
      <c r="H898" s="50"/>
    </row>
    <row r="899" spans="6:8" x14ac:dyDescent="0.2">
      <c r="F899" s="50"/>
      <c r="H899" s="50"/>
    </row>
    <row r="900" spans="6:8" x14ac:dyDescent="0.2">
      <c r="F900" s="50"/>
      <c r="H900"/>
    </row>
    <row r="901" spans="6:8" x14ac:dyDescent="0.2">
      <c r="F901" s="50"/>
      <c r="H901" s="50"/>
    </row>
    <row r="902" spans="6:8" x14ac:dyDescent="0.2">
      <c r="F902" s="50"/>
      <c r="H902" s="50"/>
    </row>
    <row r="903" spans="6:8" x14ac:dyDescent="0.2">
      <c r="F903" s="50"/>
      <c r="H903"/>
    </row>
    <row r="904" spans="6:8" x14ac:dyDescent="0.2">
      <c r="H904"/>
    </row>
    <row r="905" spans="6:8" x14ac:dyDescent="0.2">
      <c r="F905" s="50"/>
      <c r="H905"/>
    </row>
    <row r="906" spans="6:8" x14ac:dyDescent="0.2">
      <c r="F906" s="50"/>
      <c r="H906" s="50"/>
    </row>
    <row r="907" spans="6:8" x14ac:dyDescent="0.2">
      <c r="F907" s="50"/>
      <c r="H907"/>
    </row>
    <row r="908" spans="6:8" x14ac:dyDescent="0.2">
      <c r="F908" s="50"/>
      <c r="H908"/>
    </row>
    <row r="909" spans="6:8" x14ac:dyDescent="0.2">
      <c r="F909" s="50"/>
      <c r="H909"/>
    </row>
    <row r="910" spans="6:8" x14ac:dyDescent="0.2">
      <c r="F910" s="50"/>
      <c r="H910"/>
    </row>
    <row r="911" spans="6:8" x14ac:dyDescent="0.2">
      <c r="F911" s="50"/>
      <c r="H911"/>
    </row>
    <row r="912" spans="6:8" x14ac:dyDescent="0.2">
      <c r="F912" s="50"/>
      <c r="H912"/>
    </row>
    <row r="913" spans="6:8" x14ac:dyDescent="0.2">
      <c r="F913" s="50"/>
      <c r="H913"/>
    </row>
    <row r="914" spans="6:8" x14ac:dyDescent="0.2">
      <c r="F914" s="50"/>
      <c r="H914" s="50"/>
    </row>
    <row r="915" spans="6:8" x14ac:dyDescent="0.2">
      <c r="F915" s="50"/>
      <c r="H915" s="50"/>
    </row>
    <row r="916" spans="6:8" x14ac:dyDescent="0.2">
      <c r="F916" s="50"/>
      <c r="H916"/>
    </row>
    <row r="917" spans="6:8" x14ac:dyDescent="0.2">
      <c r="F917" s="50"/>
      <c r="H917" s="50"/>
    </row>
    <row r="918" spans="6:8" x14ac:dyDescent="0.2">
      <c r="F918" s="50"/>
      <c r="H918"/>
    </row>
    <row r="919" spans="6:8" x14ac:dyDescent="0.2">
      <c r="F919" s="50"/>
      <c r="H919"/>
    </row>
    <row r="920" spans="6:8" x14ac:dyDescent="0.2">
      <c r="F920" s="50"/>
      <c r="H920"/>
    </row>
    <row r="921" spans="6:8" x14ac:dyDescent="0.2">
      <c r="F921" s="50"/>
      <c r="H921" s="50"/>
    </row>
    <row r="922" spans="6:8" x14ac:dyDescent="0.2">
      <c r="F922" s="50"/>
      <c r="H922"/>
    </row>
    <row r="923" spans="6:8" x14ac:dyDescent="0.2">
      <c r="F923" s="50"/>
      <c r="H923"/>
    </row>
    <row r="924" spans="6:8" x14ac:dyDescent="0.2">
      <c r="F924" s="50"/>
      <c r="H924"/>
    </row>
    <row r="925" spans="6:8" x14ac:dyDescent="0.2">
      <c r="F925" s="50"/>
      <c r="H925"/>
    </row>
    <row r="926" spans="6:8" x14ac:dyDescent="0.2">
      <c r="F926" s="50"/>
      <c r="H926" s="50"/>
    </row>
    <row r="927" spans="6:8" x14ac:dyDescent="0.2">
      <c r="F927" s="50"/>
      <c r="H927"/>
    </row>
    <row r="928" spans="6:8" x14ac:dyDescent="0.2">
      <c r="F928" s="50"/>
      <c r="H928"/>
    </row>
    <row r="929" spans="6:8" x14ac:dyDescent="0.2">
      <c r="F929" s="50"/>
      <c r="H929"/>
    </row>
    <row r="930" spans="6:8" x14ac:dyDescent="0.2">
      <c r="F930" s="50"/>
      <c r="H930"/>
    </row>
    <row r="931" spans="6:8" x14ac:dyDescent="0.2">
      <c r="F931" s="50"/>
      <c r="H931"/>
    </row>
    <row r="932" spans="6:8" x14ac:dyDescent="0.2">
      <c r="F932" s="50"/>
      <c r="H932"/>
    </row>
    <row r="933" spans="6:8" x14ac:dyDescent="0.2">
      <c r="F933" s="50"/>
      <c r="H933"/>
    </row>
    <row r="934" spans="6:8" x14ac:dyDescent="0.2">
      <c r="F934" s="50"/>
      <c r="H934"/>
    </row>
    <row r="935" spans="6:8" x14ac:dyDescent="0.2">
      <c r="F935" s="50"/>
      <c r="H935"/>
    </row>
    <row r="936" spans="6:8" x14ac:dyDescent="0.2">
      <c r="F936" s="50"/>
      <c r="H936" s="50"/>
    </row>
    <row r="937" spans="6:8" x14ac:dyDescent="0.2">
      <c r="F937" s="50"/>
      <c r="H937"/>
    </row>
    <row r="938" spans="6:8" x14ac:dyDescent="0.2">
      <c r="F938" s="50"/>
      <c r="H938"/>
    </row>
    <row r="939" spans="6:8" x14ac:dyDescent="0.2">
      <c r="F939" s="50"/>
      <c r="H939" s="50"/>
    </row>
    <row r="940" spans="6:8" x14ac:dyDescent="0.2">
      <c r="F940" s="50"/>
      <c r="H940"/>
    </row>
    <row r="941" spans="6:8" x14ac:dyDescent="0.2">
      <c r="F941" s="50"/>
      <c r="H941"/>
    </row>
    <row r="942" spans="6:8" x14ac:dyDescent="0.2">
      <c r="F942" s="50"/>
      <c r="H942"/>
    </row>
    <row r="943" spans="6:8" x14ac:dyDescent="0.2">
      <c r="F943" s="50"/>
      <c r="H943"/>
    </row>
    <row r="944" spans="6:8" x14ac:dyDescent="0.2">
      <c r="F944" s="50"/>
      <c r="H944"/>
    </row>
    <row r="945" spans="6:8" x14ac:dyDescent="0.2">
      <c r="F945" s="50"/>
      <c r="H945"/>
    </row>
    <row r="946" spans="6:8" x14ac:dyDescent="0.2">
      <c r="F946" s="50"/>
      <c r="H946"/>
    </row>
    <row r="947" spans="6:8" x14ac:dyDescent="0.2">
      <c r="F947" s="50"/>
      <c r="H947" s="50"/>
    </row>
    <row r="948" spans="6:8" x14ac:dyDescent="0.2">
      <c r="F948" s="50"/>
      <c r="H948"/>
    </row>
    <row r="949" spans="6:8" x14ac:dyDescent="0.2">
      <c r="F949" s="50"/>
      <c r="H949"/>
    </row>
    <row r="950" spans="6:8" x14ac:dyDescent="0.2">
      <c r="F950" s="50"/>
      <c r="H950"/>
    </row>
    <row r="951" spans="6:8" x14ac:dyDescent="0.2">
      <c r="F951" s="50"/>
      <c r="H951"/>
    </row>
    <row r="952" spans="6:8" x14ac:dyDescent="0.2">
      <c r="F952" s="50"/>
      <c r="H952"/>
    </row>
    <row r="953" spans="6:8" x14ac:dyDescent="0.2">
      <c r="F953" s="50"/>
      <c r="H953"/>
    </row>
    <row r="954" spans="6:8" x14ac:dyDescent="0.2">
      <c r="F954" s="50"/>
      <c r="H954"/>
    </row>
    <row r="955" spans="6:8" x14ac:dyDescent="0.2">
      <c r="F955" s="50"/>
      <c r="H955"/>
    </row>
    <row r="956" spans="6:8" x14ac:dyDescent="0.2">
      <c r="F956" s="50"/>
      <c r="H956"/>
    </row>
    <row r="957" spans="6:8" x14ac:dyDescent="0.2">
      <c r="F957" s="50"/>
      <c r="H957"/>
    </row>
    <row r="958" spans="6:8" x14ac:dyDescent="0.2">
      <c r="F958" s="50"/>
      <c r="H958"/>
    </row>
    <row r="959" spans="6:8" x14ac:dyDescent="0.2">
      <c r="F959" s="50"/>
      <c r="H959"/>
    </row>
    <row r="960" spans="6:8" x14ac:dyDescent="0.2">
      <c r="F960" s="50"/>
      <c r="H960" s="50"/>
    </row>
    <row r="961" spans="6:8" x14ac:dyDescent="0.2">
      <c r="F961" s="50"/>
      <c r="H961" s="50"/>
    </row>
    <row r="962" spans="6:8" x14ac:dyDescent="0.2">
      <c r="F962" s="50"/>
      <c r="H962"/>
    </row>
    <row r="963" spans="6:8" x14ac:dyDescent="0.2">
      <c r="F963" s="50"/>
      <c r="H963"/>
    </row>
    <row r="964" spans="6:8" x14ac:dyDescent="0.2">
      <c r="F964" s="50"/>
      <c r="H964"/>
    </row>
    <row r="965" spans="6:8" x14ac:dyDescent="0.2">
      <c r="F965" s="50"/>
      <c r="H965"/>
    </row>
    <row r="966" spans="6:8" x14ac:dyDescent="0.2">
      <c r="F966" s="50"/>
      <c r="H966"/>
    </row>
    <row r="967" spans="6:8" x14ac:dyDescent="0.2">
      <c r="F967" s="50"/>
      <c r="H967"/>
    </row>
    <row r="968" spans="6:8" x14ac:dyDescent="0.2">
      <c r="F968" s="50"/>
      <c r="H968"/>
    </row>
    <row r="969" spans="6:8" x14ac:dyDescent="0.2">
      <c r="F969" s="50"/>
      <c r="H969"/>
    </row>
    <row r="970" spans="6:8" x14ac:dyDescent="0.2">
      <c r="F970" s="50"/>
      <c r="H970"/>
    </row>
    <row r="971" spans="6:8" x14ac:dyDescent="0.2">
      <c r="F971" s="50"/>
      <c r="H971"/>
    </row>
    <row r="972" spans="6:8" x14ac:dyDescent="0.2">
      <c r="F972" s="50"/>
      <c r="H972"/>
    </row>
    <row r="973" spans="6:8" x14ac:dyDescent="0.2">
      <c r="F973" s="50"/>
      <c r="H973"/>
    </row>
    <row r="974" spans="6:8" x14ac:dyDescent="0.2">
      <c r="F974" s="50"/>
      <c r="H974"/>
    </row>
    <row r="975" spans="6:8" x14ac:dyDescent="0.2">
      <c r="F975" s="50"/>
      <c r="H975"/>
    </row>
    <row r="976" spans="6:8" x14ac:dyDescent="0.2">
      <c r="F976" s="50"/>
      <c r="H976"/>
    </row>
    <row r="977" spans="6:8" x14ac:dyDescent="0.2">
      <c r="F977" s="50"/>
      <c r="H977"/>
    </row>
    <row r="978" spans="6:8" x14ac:dyDescent="0.2">
      <c r="F978" s="50"/>
      <c r="H978"/>
    </row>
    <row r="979" spans="6:8" x14ac:dyDescent="0.2">
      <c r="F979" s="50"/>
      <c r="H979"/>
    </row>
    <row r="980" spans="6:8" x14ac:dyDescent="0.2">
      <c r="F980" s="50"/>
      <c r="H980"/>
    </row>
    <row r="981" spans="6:8" x14ac:dyDescent="0.2">
      <c r="F981" s="50"/>
      <c r="H981"/>
    </row>
    <row r="982" spans="6:8" x14ac:dyDescent="0.2">
      <c r="F982" s="50"/>
      <c r="H982"/>
    </row>
    <row r="983" spans="6:8" x14ac:dyDescent="0.2">
      <c r="F983" s="50"/>
      <c r="H983"/>
    </row>
    <row r="984" spans="6:8" x14ac:dyDescent="0.2">
      <c r="F984" s="50"/>
      <c r="H984"/>
    </row>
    <row r="985" spans="6:8" x14ac:dyDescent="0.2">
      <c r="F985" s="50"/>
      <c r="H985"/>
    </row>
    <row r="986" spans="6:8" x14ac:dyDescent="0.2">
      <c r="F986" s="50"/>
      <c r="H986"/>
    </row>
    <row r="987" spans="6:8" x14ac:dyDescent="0.2">
      <c r="F987" s="50"/>
      <c r="H987"/>
    </row>
    <row r="988" spans="6:8" x14ac:dyDescent="0.2">
      <c r="F988" s="50"/>
      <c r="H988"/>
    </row>
    <row r="989" spans="6:8" x14ac:dyDescent="0.2">
      <c r="F989" s="50"/>
      <c r="H989"/>
    </row>
    <row r="990" spans="6:8" x14ac:dyDescent="0.2">
      <c r="F990" s="50"/>
      <c r="H990"/>
    </row>
    <row r="991" spans="6:8" x14ac:dyDescent="0.2">
      <c r="F991" s="50"/>
      <c r="H991" s="50"/>
    </row>
    <row r="992" spans="6:8" x14ac:dyDescent="0.2">
      <c r="F992" s="50"/>
      <c r="H992" s="50"/>
    </row>
    <row r="993" spans="6:8" x14ac:dyDescent="0.2">
      <c r="F993" s="50"/>
      <c r="H993" s="50"/>
    </row>
    <row r="994" spans="6:8" x14ac:dyDescent="0.2">
      <c r="F994" s="50"/>
      <c r="H994"/>
    </row>
    <row r="995" spans="6:8" x14ac:dyDescent="0.2">
      <c r="F995" s="50"/>
      <c r="H995"/>
    </row>
    <row r="996" spans="6:8" x14ac:dyDescent="0.2">
      <c r="F996" s="50"/>
      <c r="H996"/>
    </row>
    <row r="997" spans="6:8" x14ac:dyDescent="0.2">
      <c r="F997" s="50"/>
      <c r="H997"/>
    </row>
    <row r="998" spans="6:8" x14ac:dyDescent="0.2">
      <c r="F998" s="50"/>
      <c r="H998"/>
    </row>
    <row r="999" spans="6:8" x14ac:dyDescent="0.2">
      <c r="F999" s="50"/>
      <c r="H999"/>
    </row>
    <row r="1000" spans="6:8" x14ac:dyDescent="0.2">
      <c r="F1000" s="50"/>
      <c r="H1000"/>
    </row>
    <row r="1001" spans="6:8" x14ac:dyDescent="0.2">
      <c r="F1001" s="50"/>
      <c r="H1001"/>
    </row>
    <row r="1002" spans="6:8" x14ac:dyDescent="0.2">
      <c r="F1002" s="50"/>
      <c r="H1002"/>
    </row>
    <row r="1003" spans="6:8" x14ac:dyDescent="0.2">
      <c r="F1003" s="50"/>
      <c r="H1003"/>
    </row>
    <row r="1004" spans="6:8" x14ac:dyDescent="0.2">
      <c r="F1004" s="50"/>
      <c r="H1004"/>
    </row>
    <row r="1005" spans="6:8" x14ac:dyDescent="0.2">
      <c r="F1005" s="50"/>
      <c r="H1005"/>
    </row>
    <row r="1006" spans="6:8" x14ac:dyDescent="0.2">
      <c r="F1006" s="50"/>
      <c r="H1006"/>
    </row>
    <row r="1007" spans="6:8" x14ac:dyDescent="0.2">
      <c r="F1007" s="50"/>
      <c r="H1007"/>
    </row>
    <row r="1008" spans="6:8" x14ac:dyDescent="0.2">
      <c r="F1008" s="50"/>
      <c r="H1008"/>
    </row>
    <row r="1009" spans="6:8" x14ac:dyDescent="0.2">
      <c r="F1009" s="50"/>
      <c r="H1009"/>
    </row>
    <row r="1010" spans="6:8" x14ac:dyDescent="0.2">
      <c r="F1010" s="50"/>
      <c r="H1010"/>
    </row>
    <row r="1011" spans="6:8" x14ac:dyDescent="0.2">
      <c r="F1011" s="50"/>
      <c r="H1011"/>
    </row>
    <row r="1012" spans="6:8" x14ac:dyDescent="0.2">
      <c r="F1012" s="50"/>
      <c r="H1012"/>
    </row>
    <row r="1013" spans="6:8" x14ac:dyDescent="0.2">
      <c r="F1013" s="50"/>
      <c r="H1013"/>
    </row>
    <row r="1014" spans="6:8" x14ac:dyDescent="0.2">
      <c r="F1014" s="50"/>
      <c r="H1014" s="50"/>
    </row>
    <row r="1015" spans="6:8" x14ac:dyDescent="0.2">
      <c r="F1015" s="50"/>
      <c r="H1015"/>
    </row>
    <row r="1016" spans="6:8" x14ac:dyDescent="0.2">
      <c r="F1016" s="50"/>
      <c r="H1016"/>
    </row>
    <row r="1017" spans="6:8" x14ac:dyDescent="0.2">
      <c r="F1017" s="50"/>
      <c r="H1017"/>
    </row>
    <row r="1018" spans="6:8" x14ac:dyDescent="0.2">
      <c r="F1018" s="50"/>
      <c r="H1018"/>
    </row>
    <row r="1019" spans="6:8" x14ac:dyDescent="0.2">
      <c r="F1019" s="50"/>
      <c r="H1019"/>
    </row>
    <row r="1020" spans="6:8" x14ac:dyDescent="0.2">
      <c r="F1020" s="50"/>
      <c r="H1020"/>
    </row>
    <row r="1021" spans="6:8" x14ac:dyDescent="0.2">
      <c r="F1021" s="50"/>
      <c r="H1021"/>
    </row>
    <row r="1022" spans="6:8" x14ac:dyDescent="0.2">
      <c r="F1022" s="50"/>
      <c r="H1022"/>
    </row>
    <row r="1023" spans="6:8" x14ac:dyDescent="0.2">
      <c r="F1023" s="50"/>
      <c r="H1023"/>
    </row>
    <row r="1024" spans="6:8" x14ac:dyDescent="0.2">
      <c r="F1024" s="50"/>
      <c r="H1024"/>
    </row>
    <row r="1025" spans="6:8" x14ac:dyDescent="0.2">
      <c r="F1025" s="50"/>
      <c r="H1025"/>
    </row>
    <row r="1026" spans="6:8" x14ac:dyDescent="0.2">
      <c r="F1026" s="50"/>
      <c r="H1026"/>
    </row>
    <row r="1027" spans="6:8" x14ac:dyDescent="0.2">
      <c r="F1027" s="50"/>
      <c r="H1027"/>
    </row>
    <row r="1028" spans="6:8" x14ac:dyDescent="0.2">
      <c r="F1028" s="50"/>
      <c r="H1028"/>
    </row>
    <row r="1029" spans="6:8" x14ac:dyDescent="0.2">
      <c r="F1029" s="50"/>
      <c r="H1029" s="50"/>
    </row>
    <row r="1030" spans="6:8" x14ac:dyDescent="0.2">
      <c r="F1030" s="50"/>
      <c r="H1030" s="50"/>
    </row>
    <row r="1031" spans="6:8" x14ac:dyDescent="0.2">
      <c r="F1031" s="50"/>
      <c r="H1031" s="50"/>
    </row>
    <row r="1032" spans="6:8" x14ac:dyDescent="0.2">
      <c r="F1032" s="50"/>
      <c r="H1032" s="50"/>
    </row>
    <row r="1033" spans="6:8" x14ac:dyDescent="0.2">
      <c r="F1033" s="50"/>
      <c r="H1033" s="50"/>
    </row>
    <row r="1034" spans="6:8" x14ac:dyDescent="0.2">
      <c r="F1034" s="50"/>
      <c r="H1034" s="50"/>
    </row>
    <row r="1035" spans="6:8" x14ac:dyDescent="0.2">
      <c r="F1035" s="50"/>
      <c r="H1035" s="50"/>
    </row>
    <row r="1036" spans="6:8" x14ac:dyDescent="0.2">
      <c r="F1036" s="50"/>
      <c r="H1036"/>
    </row>
    <row r="1037" spans="6:8" x14ac:dyDescent="0.2">
      <c r="F1037" s="50"/>
      <c r="H1037"/>
    </row>
    <row r="1038" spans="6:8" x14ac:dyDescent="0.2">
      <c r="F1038" s="50"/>
      <c r="H1038"/>
    </row>
    <row r="1039" spans="6:8" x14ac:dyDescent="0.2">
      <c r="F1039" s="50"/>
      <c r="H1039"/>
    </row>
    <row r="1040" spans="6:8" ht="15" x14ac:dyDescent="0.25">
      <c r="F1040" s="50"/>
      <c r="H1040" s="54"/>
    </row>
    <row r="1041" spans="6:8" ht="15" x14ac:dyDescent="0.25">
      <c r="F1041" s="50"/>
      <c r="H1041" s="54"/>
    </row>
    <row r="1042" spans="6:8" ht="15" x14ac:dyDescent="0.25">
      <c r="F1042" s="50"/>
      <c r="H1042" s="54"/>
    </row>
    <row r="1043" spans="6:8" x14ac:dyDescent="0.2">
      <c r="F1043" s="50"/>
      <c r="H1043" s="50"/>
    </row>
    <row r="1044" spans="6:8" x14ac:dyDescent="0.2">
      <c r="F1044" s="50"/>
      <c r="H1044"/>
    </row>
    <row r="1045" spans="6:8" x14ac:dyDescent="0.2">
      <c r="F1045" s="50"/>
      <c r="H1045" s="50"/>
    </row>
    <row r="1046" spans="6:8" x14ac:dyDescent="0.2">
      <c r="F1046" s="50"/>
      <c r="H1046"/>
    </row>
    <row r="1047" spans="6:8" x14ac:dyDescent="0.2">
      <c r="F1047" s="50"/>
      <c r="H1047"/>
    </row>
    <row r="1048" spans="6:8" x14ac:dyDescent="0.2">
      <c r="F1048" s="50"/>
      <c r="H1048"/>
    </row>
    <row r="1049" spans="6:8" x14ac:dyDescent="0.2">
      <c r="F1049" s="50"/>
      <c r="H1049"/>
    </row>
    <row r="1050" spans="6:8" x14ac:dyDescent="0.2">
      <c r="F1050" s="50"/>
      <c r="H1050"/>
    </row>
    <row r="1051" spans="6:8" x14ac:dyDescent="0.2">
      <c r="F1051" s="50"/>
      <c r="H1051"/>
    </row>
    <row r="1052" spans="6:8" x14ac:dyDescent="0.2">
      <c r="F1052" s="50"/>
      <c r="H1052"/>
    </row>
    <row r="1053" spans="6:8" x14ac:dyDescent="0.2">
      <c r="F1053" s="50"/>
      <c r="H1053"/>
    </row>
    <row r="1054" spans="6:8" x14ac:dyDescent="0.2">
      <c r="F1054" s="50"/>
      <c r="H1054"/>
    </row>
    <row r="1055" spans="6:8" x14ac:dyDescent="0.2">
      <c r="F1055" s="50"/>
      <c r="H1055"/>
    </row>
    <row r="1056" spans="6:8" x14ac:dyDescent="0.2">
      <c r="F1056" s="50"/>
      <c r="H1056" s="50"/>
    </row>
    <row r="1057" spans="1:8" x14ac:dyDescent="0.2">
      <c r="A1057" s="55"/>
      <c r="C1057" s="55"/>
      <c r="H1057"/>
    </row>
    <row r="1058" spans="1:8" x14ac:dyDescent="0.2">
      <c r="A1058" s="55"/>
      <c r="C1058" s="55"/>
      <c r="H1058"/>
    </row>
    <row r="1059" spans="1:8" x14ac:dyDescent="0.2">
      <c r="A1059" s="55"/>
      <c r="C1059" s="55"/>
      <c r="H1059"/>
    </row>
    <row r="1060" spans="1:8" x14ac:dyDescent="0.2">
      <c r="A1060" s="55"/>
      <c r="C1060" s="55"/>
      <c r="H1060"/>
    </row>
    <row r="1061" spans="1:8" x14ac:dyDescent="0.2">
      <c r="A1061" s="55"/>
      <c r="C1061" s="55"/>
      <c r="H1061"/>
    </row>
    <row r="1062" spans="1:8" x14ac:dyDescent="0.2">
      <c r="A1062" s="55"/>
      <c r="C1062" s="55"/>
      <c r="H1062"/>
    </row>
    <row r="1063" spans="1:8" x14ac:dyDescent="0.2">
      <c r="A1063" s="55"/>
      <c r="C1063" s="55"/>
      <c r="H1063"/>
    </row>
    <row r="1064" spans="1:8" x14ac:dyDescent="0.2">
      <c r="A1064" s="55"/>
      <c r="C1064" s="55"/>
      <c r="H1064"/>
    </row>
    <row r="1065" spans="1:8" x14ac:dyDescent="0.2">
      <c r="A1065" s="55"/>
      <c r="C1065" s="55"/>
      <c r="H1065"/>
    </row>
    <row r="1066" spans="1:8" x14ac:dyDescent="0.2">
      <c r="A1066" s="55"/>
      <c r="C1066" s="55"/>
      <c r="H1066"/>
    </row>
    <row r="1067" spans="1:8" x14ac:dyDescent="0.2">
      <c r="A1067" s="55"/>
      <c r="C1067" s="55"/>
      <c r="H1067"/>
    </row>
    <row r="1068" spans="1:8" x14ac:dyDescent="0.2">
      <c r="A1068" s="55"/>
      <c r="C1068" s="55"/>
      <c r="H1068"/>
    </row>
    <row r="1069" spans="1:8" x14ac:dyDescent="0.2">
      <c r="A1069" s="55"/>
      <c r="C1069" s="55"/>
      <c r="H1069"/>
    </row>
    <row r="1070" spans="1:8" x14ac:dyDescent="0.2">
      <c r="A1070" s="55"/>
      <c r="C1070" s="55"/>
      <c r="H1070"/>
    </row>
    <row r="1071" spans="1:8" x14ac:dyDescent="0.2">
      <c r="A1071" s="55"/>
      <c r="C1071" s="55"/>
      <c r="H1071"/>
    </row>
    <row r="1072" spans="1:8" x14ac:dyDescent="0.2">
      <c r="A1072" s="55"/>
      <c r="C1072" s="55"/>
      <c r="H1072"/>
    </row>
    <row r="1073" spans="1:8" x14ac:dyDescent="0.2">
      <c r="A1073" s="55"/>
      <c r="C1073" s="55"/>
      <c r="H1073"/>
    </row>
    <row r="1074" spans="1:8" x14ac:dyDescent="0.2">
      <c r="A1074" s="55"/>
      <c r="C1074" s="55"/>
      <c r="H1074"/>
    </row>
    <row r="1075" spans="1:8" x14ac:dyDescent="0.2">
      <c r="A1075" s="55"/>
      <c r="C1075" s="55"/>
      <c r="H1075"/>
    </row>
    <row r="1076" spans="1:8" x14ac:dyDescent="0.2">
      <c r="A1076" s="55"/>
      <c r="C1076" s="55"/>
      <c r="H1076"/>
    </row>
    <row r="1077" spans="1:8" x14ac:dyDescent="0.2">
      <c r="A1077" s="55"/>
      <c r="C1077" s="55"/>
      <c r="H1077"/>
    </row>
    <row r="1078" spans="1:8" x14ac:dyDescent="0.2">
      <c r="A1078" s="55"/>
      <c r="C1078" s="55"/>
      <c r="F1078" s="50"/>
      <c r="H1078"/>
    </row>
    <row r="1079" spans="1:8" x14ac:dyDescent="0.2">
      <c r="A1079" s="55"/>
      <c r="C1079" s="55"/>
      <c r="H1079"/>
    </row>
    <row r="1080" spans="1:8" x14ac:dyDescent="0.2">
      <c r="A1080" s="55"/>
      <c r="C1080" s="55"/>
      <c r="H1080"/>
    </row>
    <row r="1081" spans="1:8" x14ac:dyDescent="0.2">
      <c r="A1081" s="55"/>
      <c r="C1081" s="55"/>
      <c r="H1081"/>
    </row>
    <row r="1082" spans="1:8" x14ac:dyDescent="0.2">
      <c r="A1082" s="55"/>
      <c r="C1082" s="55"/>
      <c r="H1082"/>
    </row>
    <row r="1083" spans="1:8" x14ac:dyDescent="0.2">
      <c r="A1083" s="55"/>
      <c r="C1083" s="55"/>
      <c r="F1083" s="50"/>
      <c r="H1083"/>
    </row>
    <row r="1084" spans="1:8" x14ac:dyDescent="0.2">
      <c r="A1084" s="55"/>
      <c r="C1084" s="55"/>
      <c r="H1084"/>
    </row>
    <row r="1085" spans="1:8" x14ac:dyDescent="0.2">
      <c r="A1085" s="55"/>
      <c r="C1085" s="55"/>
      <c r="H1085"/>
    </row>
    <row r="1086" spans="1:8" x14ac:dyDescent="0.2">
      <c r="A1086" s="55"/>
      <c r="C1086" s="55"/>
      <c r="H1086"/>
    </row>
    <row r="1087" spans="1:8" x14ac:dyDescent="0.2">
      <c r="A1087" s="55"/>
      <c r="C1087" s="55"/>
      <c r="F1087" s="50"/>
      <c r="H1087"/>
    </row>
    <row r="1088" spans="1:8" x14ac:dyDescent="0.2">
      <c r="A1088" s="55"/>
      <c r="C1088" s="55"/>
      <c r="H1088"/>
    </row>
    <row r="1089" spans="1:8" x14ac:dyDescent="0.2">
      <c r="A1089" s="55"/>
      <c r="C1089" s="55"/>
      <c r="H1089"/>
    </row>
    <row r="1090" spans="1:8" x14ac:dyDescent="0.2">
      <c r="A1090" s="55"/>
      <c r="C1090" s="55"/>
      <c r="H1090"/>
    </row>
    <row r="1091" spans="1:8" x14ac:dyDescent="0.2">
      <c r="A1091" s="55"/>
      <c r="C1091" s="55"/>
      <c r="H1091"/>
    </row>
    <row r="1092" spans="1:8" x14ac:dyDescent="0.2">
      <c r="A1092" s="55"/>
      <c r="C1092" s="55"/>
      <c r="H1092"/>
    </row>
    <row r="1093" spans="1:8" x14ac:dyDescent="0.2">
      <c r="A1093" s="55"/>
      <c r="C1093" s="55"/>
      <c r="H1093"/>
    </row>
    <row r="1094" spans="1:8" x14ac:dyDescent="0.2">
      <c r="A1094" s="55"/>
      <c r="C1094" s="55"/>
      <c r="H1094"/>
    </row>
    <row r="1095" spans="1:8" x14ac:dyDescent="0.2">
      <c r="A1095" s="55"/>
      <c r="C1095" s="55"/>
      <c r="F1095" s="50"/>
      <c r="H1095"/>
    </row>
    <row r="1096" spans="1:8" x14ac:dyDescent="0.2">
      <c r="A1096" s="55"/>
      <c r="C1096" s="55"/>
    </row>
    <row r="1097" spans="1:8" x14ac:dyDescent="0.2">
      <c r="A1097" s="55"/>
      <c r="C1097" s="55"/>
      <c r="H1097"/>
    </row>
    <row r="1098" spans="1:8" x14ac:dyDescent="0.2">
      <c r="A1098" s="55"/>
      <c r="C1098" s="55"/>
      <c r="H1098"/>
    </row>
    <row r="1099" spans="1:8" x14ac:dyDescent="0.2">
      <c r="A1099" s="55"/>
      <c r="C1099" s="55"/>
      <c r="H1099"/>
    </row>
    <row r="1100" spans="1:8" x14ac:dyDescent="0.2">
      <c r="A1100" s="55"/>
      <c r="C1100" s="55"/>
      <c r="H1100"/>
    </row>
    <row r="1101" spans="1:8" x14ac:dyDescent="0.2">
      <c r="A1101" s="55"/>
      <c r="C1101" s="55"/>
      <c r="H1101"/>
    </row>
    <row r="1102" spans="1:8" x14ac:dyDescent="0.2">
      <c r="A1102" s="55"/>
      <c r="C1102" s="55"/>
      <c r="F1102" s="50"/>
      <c r="H1102"/>
    </row>
    <row r="1103" spans="1:8" x14ac:dyDescent="0.2">
      <c r="F1103" s="50"/>
    </row>
    <row r="1104" spans="1:8" x14ac:dyDescent="0.2">
      <c r="A1104" s="55"/>
      <c r="C1104" s="55"/>
    </row>
    <row r="1105" spans="1:8" x14ac:dyDescent="0.2">
      <c r="A1105" s="55"/>
      <c r="C1105" s="55"/>
    </row>
    <row r="1106" spans="1:8" x14ac:dyDescent="0.2">
      <c r="A1106" s="55"/>
      <c r="C1106" s="55"/>
    </row>
    <row r="1107" spans="1:8" x14ac:dyDescent="0.2">
      <c r="A1107" s="55"/>
      <c r="C1107" s="55"/>
    </row>
    <row r="1108" spans="1:8" x14ac:dyDescent="0.2">
      <c r="A1108" s="55"/>
      <c r="C1108" s="55"/>
    </row>
    <row r="1109" spans="1:8" x14ac:dyDescent="0.2">
      <c r="A1109" s="55"/>
      <c r="C1109" s="55"/>
    </row>
    <row r="1110" spans="1:8" x14ac:dyDescent="0.2">
      <c r="A1110" s="55"/>
      <c r="C1110" s="55"/>
      <c r="H1110"/>
    </row>
    <row r="1111" spans="1:8" x14ac:dyDescent="0.2">
      <c r="A1111" s="55"/>
      <c r="C1111" s="55"/>
    </row>
    <row r="1112" spans="1:8" x14ac:dyDescent="0.2">
      <c r="A1112" s="55"/>
      <c r="C1112" s="55"/>
    </row>
    <row r="1113" spans="1:8" x14ac:dyDescent="0.2">
      <c r="A1113" s="55"/>
      <c r="C1113" s="55"/>
    </row>
    <row r="1114" spans="1:8" x14ac:dyDescent="0.2">
      <c r="A1114" s="55"/>
      <c r="C1114" s="55"/>
    </row>
    <row r="1115" spans="1:8" x14ac:dyDescent="0.2">
      <c r="A1115" s="55"/>
      <c r="C1115" s="55"/>
    </row>
    <row r="1116" spans="1:8" x14ac:dyDescent="0.2">
      <c r="A1116" s="55"/>
      <c r="C1116" s="55"/>
    </row>
    <row r="1117" spans="1:8" x14ac:dyDescent="0.2">
      <c r="A1117" s="55"/>
      <c r="C1117" s="55"/>
    </row>
    <row r="1118" spans="1:8" x14ac:dyDescent="0.2">
      <c r="A1118" s="55"/>
      <c r="C1118" s="55"/>
    </row>
    <row r="1119" spans="1:8" x14ac:dyDescent="0.2">
      <c r="A1119" s="55"/>
      <c r="C1119" s="55"/>
    </row>
    <row r="1120" spans="1:8" x14ac:dyDescent="0.2">
      <c r="A1120" s="55"/>
      <c r="C1120" s="55"/>
    </row>
    <row r="1121" spans="1:6" x14ac:dyDescent="0.2">
      <c r="A1121" s="55"/>
      <c r="C1121" s="55"/>
    </row>
    <row r="1122" spans="1:6" x14ac:dyDescent="0.2">
      <c r="A1122" s="55"/>
      <c r="C1122" s="55"/>
      <c r="F1122" s="50"/>
    </row>
    <row r="1123" spans="1:6" x14ac:dyDescent="0.2">
      <c r="A1123" s="55"/>
      <c r="C1123" s="55"/>
      <c r="F1123" s="50"/>
    </row>
    <row r="1124" spans="1:6" x14ac:dyDescent="0.2">
      <c r="A1124" s="55"/>
      <c r="C1124" s="55"/>
    </row>
    <row r="1125" spans="1:6" x14ac:dyDescent="0.2">
      <c r="A1125" s="55"/>
      <c r="C1125" s="55"/>
    </row>
    <row r="1126" spans="1:6" x14ac:dyDescent="0.2">
      <c r="A1126" s="55"/>
      <c r="C1126" s="55"/>
    </row>
    <row r="1127" spans="1:6" x14ac:dyDescent="0.2">
      <c r="A1127" s="55"/>
      <c r="C1127" s="55"/>
    </row>
    <row r="1128" spans="1:6" x14ac:dyDescent="0.2">
      <c r="A1128" s="55"/>
      <c r="C1128" s="55"/>
    </row>
    <row r="1129" spans="1:6" x14ac:dyDescent="0.2">
      <c r="A1129" s="55"/>
      <c r="C1129" s="55"/>
    </row>
    <row r="1130" spans="1:6" x14ac:dyDescent="0.2">
      <c r="A1130" s="55"/>
      <c r="C1130" s="55"/>
    </row>
    <row r="1131" spans="1:6" x14ac:dyDescent="0.2">
      <c r="A1131" s="55"/>
      <c r="C1131" s="55"/>
    </row>
    <row r="1134" spans="1:6" x14ac:dyDescent="0.2">
      <c r="A1134" s="55"/>
      <c r="C1134" s="55"/>
    </row>
    <row r="1135" spans="1:6" x14ac:dyDescent="0.2">
      <c r="A1135" s="55"/>
      <c r="C1135" s="55"/>
    </row>
    <row r="1136" spans="1:6" x14ac:dyDescent="0.2">
      <c r="A1136" s="55"/>
      <c r="C1136" s="55"/>
    </row>
    <row r="1137" spans="1:6" x14ac:dyDescent="0.2">
      <c r="A1137" s="55"/>
      <c r="C1137" s="55"/>
    </row>
    <row r="1138" spans="1:6" x14ac:dyDescent="0.2">
      <c r="A1138" s="55"/>
      <c r="C1138" s="55"/>
    </row>
    <row r="1139" spans="1:6" x14ac:dyDescent="0.2">
      <c r="A1139" s="55"/>
      <c r="C1139" s="55"/>
    </row>
    <row r="1140" spans="1:6" x14ac:dyDescent="0.2">
      <c r="A1140" s="55"/>
      <c r="C1140" s="55"/>
      <c r="F1140" s="50"/>
    </row>
    <row r="1141" spans="1:6" x14ac:dyDescent="0.2">
      <c r="A1141" s="55"/>
      <c r="C1141" s="55"/>
    </row>
    <row r="1142" spans="1:6" x14ac:dyDescent="0.2">
      <c r="F1142" s="50"/>
    </row>
    <row r="1143" spans="1:6" x14ac:dyDescent="0.2">
      <c r="F1143" s="50"/>
    </row>
    <row r="1144" spans="1:6" x14ac:dyDescent="0.2">
      <c r="F1144" s="50"/>
    </row>
    <row r="1145" spans="1:6" x14ac:dyDescent="0.2">
      <c r="F1145" s="50"/>
    </row>
    <row r="1146" spans="1:6" x14ac:dyDescent="0.2">
      <c r="F1146" s="50"/>
    </row>
    <row r="1147" spans="1:6" x14ac:dyDescent="0.2">
      <c r="F1147" s="50"/>
    </row>
    <row r="1148" spans="1:6" x14ac:dyDescent="0.2">
      <c r="F1148" s="50"/>
    </row>
    <row r="1149" spans="1:6" x14ac:dyDescent="0.2">
      <c r="F1149" s="50"/>
    </row>
    <row r="1150" spans="1:6" x14ac:dyDescent="0.2">
      <c r="F1150" s="50"/>
    </row>
    <row r="1151" spans="1:6" x14ac:dyDescent="0.2">
      <c r="F1151" s="50"/>
    </row>
    <row r="1152" spans="1:6" x14ac:dyDescent="0.2">
      <c r="F1152" s="50"/>
    </row>
    <row r="1153" spans="1:6" x14ac:dyDescent="0.2">
      <c r="F1153" s="50"/>
    </row>
    <row r="1154" spans="1:6" x14ac:dyDescent="0.2">
      <c r="F1154" s="50"/>
    </row>
    <row r="1155" spans="1:6" x14ac:dyDescent="0.2">
      <c r="F1155" s="50"/>
    </row>
    <row r="1156" spans="1:6" x14ac:dyDescent="0.2">
      <c r="F1156" s="50"/>
    </row>
    <row r="1157" spans="1:6" ht="15" x14ac:dyDescent="0.25">
      <c r="A1157" s="58"/>
      <c r="C1157" s="58"/>
    </row>
    <row r="1158" spans="1:6" x14ac:dyDescent="0.2">
      <c r="F1158" s="50"/>
    </row>
    <row r="1159" spans="1:6" x14ac:dyDescent="0.2">
      <c r="F1159" s="50"/>
    </row>
    <row r="1160" spans="1:6" x14ac:dyDescent="0.2">
      <c r="F1160" s="50"/>
    </row>
    <row r="1161" spans="1:6" x14ac:dyDescent="0.2">
      <c r="F1161" s="50"/>
    </row>
    <row r="1162" spans="1:6" x14ac:dyDescent="0.2">
      <c r="F1162" s="50"/>
    </row>
    <row r="1163" spans="1:6" x14ac:dyDescent="0.2">
      <c r="F1163" s="50"/>
    </row>
    <row r="1164" spans="1:6" x14ac:dyDescent="0.2">
      <c r="F1164" s="50"/>
    </row>
    <row r="1165" spans="1:6" x14ac:dyDescent="0.2">
      <c r="F1165" s="50"/>
    </row>
    <row r="1166" spans="1:6" x14ac:dyDescent="0.2">
      <c r="F1166" s="50"/>
    </row>
    <row r="1167" spans="1:6" x14ac:dyDescent="0.2">
      <c r="F1167" s="50"/>
    </row>
    <row r="1168" spans="1:6" x14ac:dyDescent="0.2">
      <c r="F1168" s="50"/>
    </row>
    <row r="1169" spans="6:6" x14ac:dyDescent="0.2">
      <c r="F1169" s="50"/>
    </row>
    <row r="1170" spans="6:6" x14ac:dyDescent="0.2">
      <c r="F1170" s="50"/>
    </row>
    <row r="1171" spans="6:6" x14ac:dyDescent="0.2">
      <c r="F1171" s="50"/>
    </row>
    <row r="1172" spans="6:6" x14ac:dyDescent="0.2">
      <c r="F1172" s="50"/>
    </row>
    <row r="1173" spans="6:6" x14ac:dyDescent="0.2">
      <c r="F1173" s="50"/>
    </row>
    <row r="1174" spans="6:6" x14ac:dyDescent="0.2">
      <c r="F1174" s="50"/>
    </row>
    <row r="1175" spans="6:6" x14ac:dyDescent="0.2">
      <c r="F1175" s="50"/>
    </row>
    <row r="1176" spans="6:6" x14ac:dyDescent="0.2">
      <c r="F1176" s="50"/>
    </row>
    <row r="1177" spans="6:6" x14ac:dyDescent="0.2">
      <c r="F1177" s="50"/>
    </row>
    <row r="1178" spans="6:6" x14ac:dyDescent="0.2">
      <c r="F1178" s="50"/>
    </row>
    <row r="1179" spans="6:6" x14ac:dyDescent="0.2">
      <c r="F1179" s="50"/>
    </row>
    <row r="1180" spans="6:6" x14ac:dyDescent="0.2">
      <c r="F1180" s="50"/>
    </row>
    <row r="1181" spans="6:6" x14ac:dyDescent="0.2">
      <c r="F1181" s="50"/>
    </row>
    <row r="1182" spans="6:6" x14ac:dyDescent="0.2">
      <c r="F1182" s="50"/>
    </row>
    <row r="1183" spans="6:6" x14ac:dyDescent="0.2">
      <c r="F1183" s="50"/>
    </row>
    <row r="1184" spans="6:6" x14ac:dyDescent="0.2">
      <c r="F1184" s="50"/>
    </row>
    <row r="1185" spans="1:6" x14ac:dyDescent="0.2">
      <c r="F1185" s="50"/>
    </row>
    <row r="1186" spans="1:6" x14ac:dyDescent="0.2">
      <c r="F1186" s="50"/>
    </row>
    <row r="1187" spans="1:6" x14ac:dyDescent="0.2">
      <c r="F1187" s="50"/>
    </row>
    <row r="1188" spans="1:6" x14ac:dyDescent="0.2">
      <c r="F1188" s="50"/>
    </row>
    <row r="1189" spans="1:6" x14ac:dyDescent="0.2">
      <c r="F1189" s="50"/>
    </row>
    <row r="1190" spans="1:6" x14ac:dyDescent="0.2">
      <c r="F1190" s="50"/>
    </row>
    <row r="1191" spans="1:6" x14ac:dyDescent="0.2">
      <c r="F1191" s="50"/>
    </row>
    <row r="1192" spans="1:6" x14ac:dyDescent="0.2">
      <c r="F1192" s="50"/>
    </row>
    <row r="1193" spans="1:6" x14ac:dyDescent="0.2">
      <c r="F1193" s="50"/>
    </row>
    <row r="1194" spans="1:6" ht="15.75" thickBot="1" x14ac:dyDescent="0.25">
      <c r="A1194" s="59"/>
      <c r="C1194" s="59"/>
    </row>
    <row r="1195" spans="1:6" x14ac:dyDescent="0.2">
      <c r="F1195" s="50"/>
    </row>
    <row r="1196" spans="1:6" x14ac:dyDescent="0.2">
      <c r="F1196" s="50"/>
    </row>
    <row r="1197" spans="1:6" x14ac:dyDescent="0.2">
      <c r="F1197" s="50"/>
    </row>
    <row r="1198" spans="1:6" x14ac:dyDescent="0.2">
      <c r="F1198" s="50"/>
    </row>
    <row r="1199" spans="1:6" x14ac:dyDescent="0.2">
      <c r="F1199" s="50"/>
    </row>
    <row r="1200" spans="1:6" x14ac:dyDescent="0.2">
      <c r="F1200" s="50"/>
    </row>
    <row r="1201" spans="6:6" x14ac:dyDescent="0.2">
      <c r="F1201" s="50"/>
    </row>
    <row r="1202" spans="6:6" x14ac:dyDescent="0.2">
      <c r="F1202" s="50"/>
    </row>
    <row r="1203" spans="6:6" x14ac:dyDescent="0.2">
      <c r="F1203" s="50"/>
    </row>
    <row r="1204" spans="6:6" x14ac:dyDescent="0.2">
      <c r="F1204" s="50"/>
    </row>
    <row r="1205" spans="6:6" x14ac:dyDescent="0.2">
      <c r="F1205" s="50"/>
    </row>
    <row r="1206" spans="6:6" x14ac:dyDescent="0.2">
      <c r="F1206" s="50"/>
    </row>
    <row r="1207" spans="6:6" x14ac:dyDescent="0.2">
      <c r="F1207" s="50"/>
    </row>
    <row r="1208" spans="6:6" x14ac:dyDescent="0.2">
      <c r="F1208" s="50"/>
    </row>
    <row r="1209" spans="6:6" x14ac:dyDescent="0.2">
      <c r="F1209" s="50"/>
    </row>
    <row r="1210" spans="6:6" x14ac:dyDescent="0.2">
      <c r="F1210" s="50"/>
    </row>
    <row r="1211" spans="6:6" x14ac:dyDescent="0.2">
      <c r="F1211" s="50"/>
    </row>
    <row r="1212" spans="6:6" x14ac:dyDescent="0.2">
      <c r="F1212" s="50"/>
    </row>
    <row r="1213" spans="6:6" x14ac:dyDescent="0.2">
      <c r="F1213" s="50"/>
    </row>
    <row r="1214" spans="6:6" x14ac:dyDescent="0.2">
      <c r="F1214" s="50"/>
    </row>
    <row r="1215" spans="6:6" x14ac:dyDescent="0.2">
      <c r="F1215" s="50"/>
    </row>
    <row r="1216" spans="6:6" x14ac:dyDescent="0.2">
      <c r="F1216" s="50"/>
    </row>
    <row r="1217" spans="6:6" x14ac:dyDescent="0.2">
      <c r="F1217" s="50"/>
    </row>
    <row r="1218" spans="6:6" x14ac:dyDescent="0.2">
      <c r="F1218" s="50"/>
    </row>
    <row r="1219" spans="6:6" x14ac:dyDescent="0.2">
      <c r="F1219" s="50"/>
    </row>
    <row r="1220" spans="6:6" x14ac:dyDescent="0.2">
      <c r="F1220" s="50"/>
    </row>
    <row r="1221" spans="6:6" x14ac:dyDescent="0.2">
      <c r="F1221" s="50"/>
    </row>
    <row r="1223" spans="6:6" x14ac:dyDescent="0.2">
      <c r="F1223" s="50"/>
    </row>
    <row r="1224" spans="6:6" x14ac:dyDescent="0.2">
      <c r="F1224" s="50"/>
    </row>
    <row r="1225" spans="6:6" x14ac:dyDescent="0.2">
      <c r="F1225" s="50"/>
    </row>
    <row r="1226" spans="6:6" x14ac:dyDescent="0.2">
      <c r="F1226" s="50"/>
    </row>
    <row r="1227" spans="6:6" x14ac:dyDescent="0.2">
      <c r="F1227" s="50"/>
    </row>
    <row r="1228" spans="6:6" x14ac:dyDescent="0.2">
      <c r="F1228" s="50"/>
    </row>
    <row r="1229" spans="6:6" x14ac:dyDescent="0.2">
      <c r="F1229" s="50"/>
    </row>
    <row r="1230" spans="6:6" x14ac:dyDescent="0.2">
      <c r="F1230" s="50"/>
    </row>
    <row r="1231" spans="6:6" x14ac:dyDescent="0.2">
      <c r="F1231" s="50"/>
    </row>
    <row r="1232" spans="6:6" x14ac:dyDescent="0.2">
      <c r="F1232" s="50"/>
    </row>
    <row r="1233" spans="1:6" x14ac:dyDescent="0.2">
      <c r="F1233" s="50"/>
    </row>
    <row r="1234" spans="1:6" x14ac:dyDescent="0.2">
      <c r="F1234" s="50"/>
    </row>
    <row r="1235" spans="1:6" x14ac:dyDescent="0.2">
      <c r="F1235" s="50"/>
    </row>
    <row r="1236" spans="1:6" x14ac:dyDescent="0.2">
      <c r="F1236" s="50"/>
    </row>
    <row r="1237" spans="1:6" x14ac:dyDescent="0.2">
      <c r="A1237" s="60"/>
    </row>
    <row r="1238" spans="1:6" x14ac:dyDescent="0.2">
      <c r="A1238" s="60"/>
      <c r="C1238" s="60"/>
    </row>
    <row r="1239" spans="1:6" x14ac:dyDescent="0.2">
      <c r="A1239" s="60"/>
      <c r="C1239" s="60"/>
    </row>
    <row r="1240" spans="1:6" x14ac:dyDescent="0.2">
      <c r="A1240" s="60"/>
      <c r="C1240" s="60"/>
    </row>
    <row r="1241" spans="1:6" x14ac:dyDescent="0.2">
      <c r="A1241" s="60"/>
      <c r="C1241" s="60"/>
    </row>
    <row r="1242" spans="1:6" x14ac:dyDescent="0.2">
      <c r="A1242" s="60"/>
      <c r="C1242" s="60"/>
    </row>
    <row r="1243" spans="1:6" x14ac:dyDescent="0.2">
      <c r="A1243" s="60"/>
      <c r="C1243" s="60"/>
    </row>
    <row r="1244" spans="1:6" x14ac:dyDescent="0.2">
      <c r="A1244" s="60"/>
      <c r="C1244" s="60"/>
    </row>
    <row r="1245" spans="1:6" x14ac:dyDescent="0.2">
      <c r="A1245" s="60"/>
      <c r="C1245" s="60"/>
    </row>
    <row r="1246" spans="1:6" x14ac:dyDescent="0.2">
      <c r="A1246" s="60"/>
      <c r="C1246" s="60"/>
    </row>
    <row r="1247" spans="1:6" x14ac:dyDescent="0.2">
      <c r="A1247" s="60"/>
      <c r="C1247" s="60"/>
    </row>
    <row r="1248" spans="1:6" x14ac:dyDescent="0.2">
      <c r="A1248" s="60"/>
      <c r="C1248" s="60"/>
    </row>
    <row r="1249" spans="1:8" x14ac:dyDescent="0.2">
      <c r="A1249" s="60"/>
      <c r="C1249" s="60"/>
    </row>
    <row r="1250" spans="1:8" x14ac:dyDescent="0.2">
      <c r="A1250" s="60"/>
      <c r="C1250" s="60"/>
    </row>
    <row r="1251" spans="1:8" x14ac:dyDescent="0.2">
      <c r="A1251" s="60"/>
      <c r="C1251" s="60"/>
    </row>
    <row r="1252" spans="1:8" ht="15" x14ac:dyDescent="0.25">
      <c r="A1252" s="60"/>
      <c r="C1252" s="60"/>
      <c r="H1252" s="62"/>
    </row>
    <row r="1253" spans="1:8" ht="15" x14ac:dyDescent="0.25">
      <c r="A1253" s="60"/>
      <c r="C1253" s="60"/>
      <c r="H1253" s="62"/>
    </row>
    <row r="1254" spans="1:8" x14ac:dyDescent="0.2">
      <c r="A1254" s="60"/>
      <c r="C1254" s="60"/>
    </row>
    <row r="1255" spans="1:8" x14ac:dyDescent="0.2">
      <c r="A1255" s="60"/>
      <c r="C1255" s="60"/>
    </row>
    <row r="1256" spans="1:8" x14ac:dyDescent="0.2">
      <c r="A1256" s="60"/>
      <c r="C1256" s="60"/>
    </row>
    <row r="1257" spans="1:8" x14ac:dyDescent="0.2">
      <c r="A1257" s="60"/>
      <c r="C1257" s="60"/>
    </row>
    <row r="1258" spans="1:8" x14ac:dyDescent="0.2">
      <c r="A1258" s="60"/>
      <c r="C1258" s="60"/>
    </row>
    <row r="1259" spans="1:8" x14ac:dyDescent="0.2">
      <c r="A1259" s="60"/>
      <c r="C1259" s="60"/>
    </row>
    <row r="1260" spans="1:8" x14ac:dyDescent="0.2">
      <c r="A1260" s="60"/>
      <c r="C1260" s="60"/>
    </row>
    <row r="1261" spans="1:8" x14ac:dyDescent="0.2">
      <c r="A1261" s="60"/>
      <c r="C1261" s="60"/>
    </row>
    <row r="1262" spans="1:8" x14ac:dyDescent="0.2">
      <c r="A1262" s="60"/>
      <c r="C1262" s="60"/>
    </row>
    <row r="1263" spans="1:8" x14ac:dyDescent="0.2">
      <c r="A1263" s="60"/>
      <c r="C1263" s="60"/>
    </row>
    <row r="1264" spans="1:8" x14ac:dyDescent="0.2">
      <c r="A1264" s="60"/>
      <c r="C1264" s="60"/>
    </row>
    <row r="1265" spans="1:8" x14ac:dyDescent="0.2">
      <c r="A1265" s="60"/>
      <c r="C1265" s="60"/>
    </row>
    <row r="1266" spans="1:8" x14ac:dyDescent="0.2">
      <c r="A1266" s="60"/>
      <c r="C1266" s="60"/>
    </row>
    <row r="1267" spans="1:8" x14ac:dyDescent="0.2">
      <c r="A1267" s="60"/>
      <c r="C1267" s="60"/>
    </row>
    <row r="1268" spans="1:8" x14ac:dyDescent="0.2">
      <c r="F1268" s="50"/>
    </row>
    <row r="1269" spans="1:8" x14ac:dyDescent="0.2">
      <c r="F1269" s="50"/>
    </row>
    <row r="1270" spans="1:8" x14ac:dyDescent="0.2">
      <c r="F1270" s="50"/>
    </row>
    <row r="1271" spans="1:8" x14ac:dyDescent="0.2">
      <c r="F1271" s="50"/>
    </row>
    <row r="1272" spans="1:8" x14ac:dyDescent="0.2">
      <c r="F1272" s="50"/>
    </row>
    <row r="1273" spans="1:8" x14ac:dyDescent="0.2">
      <c r="F1273" s="50"/>
    </row>
    <row r="1274" spans="1:8" x14ac:dyDescent="0.2">
      <c r="F1274" s="50"/>
    </row>
    <row r="1275" spans="1:8" x14ac:dyDescent="0.2">
      <c r="F1275" s="50"/>
    </row>
    <row r="1276" spans="1:8" x14ac:dyDescent="0.2">
      <c r="F1276" s="50"/>
    </row>
    <row r="1277" spans="1:8" ht="15" x14ac:dyDescent="0.25">
      <c r="F1277" s="50"/>
      <c r="H1277" s="62"/>
    </row>
    <row r="1278" spans="1:8" ht="15" x14ac:dyDescent="0.25">
      <c r="F1278" s="50"/>
      <c r="H1278" s="62"/>
    </row>
    <row r="1279" spans="1:8" x14ac:dyDescent="0.2">
      <c r="F1279" s="50"/>
    </row>
    <row r="1280" spans="1:8" x14ac:dyDescent="0.2">
      <c r="F1280" s="50"/>
    </row>
    <row r="1281" spans="6:6" x14ac:dyDescent="0.2">
      <c r="F1281" s="50"/>
    </row>
    <row r="1282" spans="6:6" x14ac:dyDescent="0.2">
      <c r="F1282" s="50"/>
    </row>
    <row r="1283" spans="6:6" x14ac:dyDescent="0.2">
      <c r="F1283" s="50"/>
    </row>
    <row r="1284" spans="6:6" x14ac:dyDescent="0.2">
      <c r="F1284" s="50"/>
    </row>
    <row r="1285" spans="6:6" x14ac:dyDescent="0.2">
      <c r="F1285" s="50"/>
    </row>
    <row r="1286" spans="6:6" x14ac:dyDescent="0.2">
      <c r="F1286" s="50"/>
    </row>
    <row r="1287" spans="6:6" x14ac:dyDescent="0.2">
      <c r="F1287" s="50"/>
    </row>
    <row r="1288" spans="6:6" x14ac:dyDescent="0.2">
      <c r="F1288" s="50"/>
    </row>
    <row r="1289" spans="6:6" x14ac:dyDescent="0.2">
      <c r="F1289" s="50"/>
    </row>
    <row r="1290" spans="6:6" x14ac:dyDescent="0.2">
      <c r="F1290" s="50"/>
    </row>
    <row r="1291" spans="6:6" x14ac:dyDescent="0.2">
      <c r="F1291" s="50"/>
    </row>
    <row r="1292" spans="6:6" x14ac:dyDescent="0.2">
      <c r="F1292" s="50"/>
    </row>
    <row r="1293" spans="6:6" x14ac:dyDescent="0.2">
      <c r="F1293" s="50"/>
    </row>
    <row r="1294" spans="6:6" x14ac:dyDescent="0.2">
      <c r="F1294" s="50"/>
    </row>
    <row r="1295" spans="6:6" x14ac:dyDescent="0.2">
      <c r="F1295" s="50"/>
    </row>
    <row r="1296" spans="6:6" x14ac:dyDescent="0.2">
      <c r="F1296" s="50"/>
    </row>
    <row r="1297" spans="6:8" x14ac:dyDescent="0.2">
      <c r="F1297" s="50"/>
    </row>
    <row r="1298" spans="6:8" x14ac:dyDescent="0.2">
      <c r="F1298" s="50"/>
    </row>
    <row r="1299" spans="6:8" x14ac:dyDescent="0.2">
      <c r="F1299" s="50"/>
    </row>
    <row r="1300" spans="6:8" x14ac:dyDescent="0.2">
      <c r="F1300" s="50"/>
    </row>
    <row r="1301" spans="6:8" x14ac:dyDescent="0.2">
      <c r="F1301" s="50"/>
    </row>
    <row r="1302" spans="6:8" x14ac:dyDescent="0.2">
      <c r="F1302" s="50"/>
    </row>
    <row r="1303" spans="6:8" x14ac:dyDescent="0.2">
      <c r="F1303" s="50"/>
    </row>
    <row r="1304" spans="6:8" x14ac:dyDescent="0.2">
      <c r="F1304" s="50"/>
    </row>
    <row r="1305" spans="6:8" x14ac:dyDescent="0.2">
      <c r="F1305" s="50"/>
    </row>
    <row r="1306" spans="6:8" ht="15" x14ac:dyDescent="0.25">
      <c r="F1306" s="50"/>
      <c r="H1306" s="62"/>
    </row>
    <row r="1307" spans="6:8" x14ac:dyDescent="0.2">
      <c r="F1307" s="50"/>
    </row>
    <row r="1308" spans="6:8" x14ac:dyDescent="0.2">
      <c r="F1308" s="50"/>
    </row>
    <row r="1309" spans="6:8" x14ac:dyDescent="0.2">
      <c r="F1309" s="50"/>
    </row>
    <row r="1310" spans="6:8" x14ac:dyDescent="0.2">
      <c r="F1310" s="50"/>
    </row>
    <row r="1311" spans="6:8" x14ac:dyDescent="0.2">
      <c r="F1311" s="50"/>
    </row>
    <row r="1312" spans="6:8" x14ac:dyDescent="0.2">
      <c r="F1312" s="50"/>
    </row>
    <row r="1313" spans="6:6" x14ac:dyDescent="0.2">
      <c r="F1313" s="50"/>
    </row>
    <row r="1314" spans="6:6" x14ac:dyDescent="0.2">
      <c r="F1314" s="50"/>
    </row>
    <row r="1315" spans="6:6" x14ac:dyDescent="0.2">
      <c r="F1315" s="50"/>
    </row>
    <row r="1316" spans="6:6" x14ac:dyDescent="0.2">
      <c r="F1316" s="50"/>
    </row>
    <row r="1317" spans="6:6" x14ac:dyDescent="0.2">
      <c r="F1317" s="50"/>
    </row>
    <row r="1318" spans="6:6" x14ac:dyDescent="0.2">
      <c r="F1318" s="50"/>
    </row>
    <row r="1319" spans="6:6" x14ac:dyDescent="0.2">
      <c r="F1319" s="50"/>
    </row>
    <row r="1320" spans="6:6" x14ac:dyDescent="0.2">
      <c r="F1320" s="50"/>
    </row>
    <row r="1321" spans="6:6" x14ac:dyDescent="0.2">
      <c r="F1321" s="50"/>
    </row>
    <row r="1322" spans="6:6" x14ac:dyDescent="0.2">
      <c r="F1322" s="50"/>
    </row>
    <row r="1323" spans="6:6" x14ac:dyDescent="0.2">
      <c r="F1323" s="50"/>
    </row>
    <row r="1324" spans="6:6" x14ac:dyDescent="0.2">
      <c r="F1324" s="50"/>
    </row>
    <row r="1325" spans="6:6" x14ac:dyDescent="0.2">
      <c r="F1325" s="50"/>
    </row>
    <row r="1326" spans="6:6" x14ac:dyDescent="0.2">
      <c r="F1326" s="50"/>
    </row>
    <row r="1327" spans="6:6" x14ac:dyDescent="0.2">
      <c r="F1327" s="50"/>
    </row>
    <row r="1328" spans="6:6" x14ac:dyDescent="0.2">
      <c r="F1328" s="50"/>
    </row>
    <row r="1329" spans="6:6" x14ac:dyDescent="0.2">
      <c r="F1329" s="50"/>
    </row>
    <row r="1330" spans="6:6" x14ac:dyDescent="0.2">
      <c r="F1330" s="50"/>
    </row>
    <row r="1331" spans="6:6" x14ac:dyDescent="0.2">
      <c r="F1331" s="50"/>
    </row>
    <row r="1332" spans="6:6" x14ac:dyDescent="0.2">
      <c r="F1332" s="50"/>
    </row>
    <row r="1333" spans="6:6" x14ac:dyDescent="0.2">
      <c r="F1333" s="50"/>
    </row>
    <row r="1334" spans="6:6" x14ac:dyDescent="0.2">
      <c r="F1334" s="50"/>
    </row>
    <row r="1335" spans="6:6" x14ac:dyDescent="0.2">
      <c r="F1335" s="50"/>
    </row>
    <row r="1336" spans="6:6" x14ac:dyDescent="0.2">
      <c r="F1336" s="50"/>
    </row>
    <row r="1337" spans="6:6" x14ac:dyDescent="0.2">
      <c r="F1337" s="50"/>
    </row>
    <row r="1338" spans="6:6" x14ac:dyDescent="0.2">
      <c r="F1338" s="50"/>
    </row>
    <row r="1339" spans="6:6" x14ac:dyDescent="0.2">
      <c r="F1339" s="50"/>
    </row>
    <row r="1340" spans="6:6" x14ac:dyDescent="0.2">
      <c r="F1340" s="50"/>
    </row>
    <row r="1341" spans="6:6" x14ac:dyDescent="0.2">
      <c r="F1341" s="50"/>
    </row>
    <row r="1342" spans="6:6" x14ac:dyDescent="0.2">
      <c r="F1342" s="50"/>
    </row>
    <row r="1343" spans="6:6" x14ac:dyDescent="0.2">
      <c r="F1343" s="50"/>
    </row>
    <row r="1344" spans="6:6" x14ac:dyDescent="0.2">
      <c r="F1344" s="50"/>
    </row>
    <row r="1345" spans="6:6" x14ac:dyDescent="0.2">
      <c r="F1345" s="50"/>
    </row>
    <row r="1346" spans="6:6" x14ac:dyDescent="0.2">
      <c r="F1346" s="50"/>
    </row>
    <row r="1347" spans="6:6" x14ac:dyDescent="0.2">
      <c r="F1347" s="50"/>
    </row>
    <row r="1348" spans="6:6" x14ac:dyDescent="0.2">
      <c r="F1348" s="50"/>
    </row>
    <row r="1349" spans="6:6" x14ac:dyDescent="0.2">
      <c r="F1349" s="50"/>
    </row>
    <row r="1350" spans="6:6" x14ac:dyDescent="0.2">
      <c r="F1350" s="50"/>
    </row>
    <row r="1351" spans="6:6" x14ac:dyDescent="0.2">
      <c r="F1351" s="50"/>
    </row>
    <row r="1352" spans="6:6" x14ac:dyDescent="0.2">
      <c r="F1352" s="50"/>
    </row>
    <row r="1353" spans="6:6" x14ac:dyDescent="0.2">
      <c r="F1353" s="50"/>
    </row>
    <row r="1354" spans="6:6" x14ac:dyDescent="0.2">
      <c r="F1354" s="50"/>
    </row>
    <row r="1355" spans="6:6" x14ac:dyDescent="0.2">
      <c r="F1355" s="50"/>
    </row>
    <row r="1356" spans="6:6" x14ac:dyDescent="0.2">
      <c r="F1356" s="50"/>
    </row>
    <row r="1357" spans="6:6" x14ac:dyDescent="0.2">
      <c r="F1357" s="50"/>
    </row>
    <row r="1358" spans="6:6" x14ac:dyDescent="0.2">
      <c r="F1358" s="50"/>
    </row>
    <row r="1359" spans="6:6" x14ac:dyDescent="0.2">
      <c r="F1359" s="50"/>
    </row>
    <row r="1360" spans="6:6" x14ac:dyDescent="0.2">
      <c r="F1360" s="50"/>
    </row>
    <row r="1361" spans="6:8" x14ac:dyDescent="0.2">
      <c r="F1361" s="50"/>
    </row>
    <row r="1362" spans="6:8" x14ac:dyDescent="0.2">
      <c r="F1362" s="50"/>
    </row>
    <row r="1363" spans="6:8" x14ac:dyDescent="0.2">
      <c r="F1363" s="50"/>
    </row>
    <row r="1364" spans="6:8" x14ac:dyDescent="0.2">
      <c r="F1364" s="50"/>
    </row>
    <row r="1365" spans="6:8" x14ac:dyDescent="0.2">
      <c r="F1365" s="50"/>
    </row>
    <row r="1366" spans="6:8" x14ac:dyDescent="0.2">
      <c r="F1366" s="50"/>
    </row>
    <row r="1367" spans="6:8" x14ac:dyDescent="0.2">
      <c r="F1367" s="50"/>
    </row>
    <row r="1368" spans="6:8" x14ac:dyDescent="0.2">
      <c r="F1368" s="50"/>
    </row>
    <row r="1369" spans="6:8" x14ac:dyDescent="0.2">
      <c r="F1369" s="50"/>
    </row>
    <row r="1370" spans="6:8" x14ac:dyDescent="0.2">
      <c r="F1370" s="50"/>
    </row>
    <row r="1371" spans="6:8" x14ac:dyDescent="0.2">
      <c r="F1371" s="50"/>
    </row>
    <row r="1372" spans="6:8" x14ac:dyDescent="0.2">
      <c r="F1372" s="50"/>
    </row>
    <row r="1373" spans="6:8" x14ac:dyDescent="0.2">
      <c r="F1373" s="50"/>
    </row>
    <row r="1374" spans="6:8" x14ac:dyDescent="0.2">
      <c r="F1374" s="50"/>
    </row>
    <row r="1375" spans="6:8" x14ac:dyDescent="0.2">
      <c r="F1375" s="50"/>
      <c r="G1375" s="50"/>
      <c r="H1375" s="50"/>
    </row>
    <row r="1376" spans="6:8" x14ac:dyDescent="0.2">
      <c r="F1376" s="50"/>
    </row>
    <row r="1377" spans="6:6" x14ac:dyDescent="0.2">
      <c r="F1377" s="50"/>
    </row>
    <row r="1379" spans="6:6" x14ac:dyDescent="0.2">
      <c r="F1379" s="50"/>
    </row>
    <row r="1380" spans="6:6" x14ac:dyDescent="0.2">
      <c r="F1380" s="50"/>
    </row>
    <row r="1381" spans="6:6" x14ac:dyDescent="0.2">
      <c r="F1381" s="50"/>
    </row>
    <row r="1382" spans="6:6" x14ac:dyDescent="0.2">
      <c r="F1382" s="50"/>
    </row>
    <row r="1383" spans="6:6" x14ac:dyDescent="0.2">
      <c r="F1383" s="50"/>
    </row>
    <row r="1384" spans="6:6" x14ac:dyDescent="0.2">
      <c r="F1384" s="50"/>
    </row>
    <row r="1385" spans="6:6" x14ac:dyDescent="0.2">
      <c r="F1385" s="50"/>
    </row>
    <row r="1386" spans="6:6" x14ac:dyDescent="0.2">
      <c r="F1386" s="50"/>
    </row>
    <row r="1387" spans="6:6" x14ac:dyDescent="0.2">
      <c r="F1387" s="50"/>
    </row>
    <row r="1388" spans="6:6" x14ac:dyDescent="0.2">
      <c r="F1388" s="50"/>
    </row>
    <row r="1389" spans="6:6" x14ac:dyDescent="0.2">
      <c r="F1389" s="50"/>
    </row>
    <row r="1390" spans="6:6" x14ac:dyDescent="0.2">
      <c r="F1390" s="50"/>
    </row>
    <row r="1391" spans="6:6" x14ac:dyDescent="0.2">
      <c r="F1391" s="50"/>
    </row>
    <row r="1392" spans="6:6" x14ac:dyDescent="0.2">
      <c r="F1392" s="50"/>
    </row>
    <row r="1393" spans="1:6" x14ac:dyDescent="0.2">
      <c r="F1393" s="50"/>
    </row>
    <row r="1394" spans="1:6" ht="15" thickBot="1" x14ac:dyDescent="0.25">
      <c r="F1394" s="50"/>
    </row>
    <row r="1395" spans="1:6" ht="15.75" thickBot="1" x14ac:dyDescent="0.25">
      <c r="A1395" s="63"/>
      <c r="C1395" s="63"/>
    </row>
    <row r="1396" spans="1:6" ht="15.75" thickBot="1" x14ac:dyDescent="0.25">
      <c r="A1396" s="59"/>
      <c r="C1396" s="59"/>
    </row>
    <row r="1397" spans="1:6" ht="15.75" thickBot="1" x14ac:dyDescent="0.25">
      <c r="A1397" s="59"/>
      <c r="C1397" s="59"/>
    </row>
    <row r="1398" spans="1:6" ht="15.75" thickBot="1" x14ac:dyDescent="0.25">
      <c r="A1398" s="59"/>
      <c r="C1398" s="59"/>
    </row>
    <row r="1399" spans="1:6" ht="15.75" thickBot="1" x14ac:dyDescent="0.25">
      <c r="A1399" s="59"/>
      <c r="C1399" s="59"/>
    </row>
    <row r="1400" spans="1:6" ht="15.75" thickBot="1" x14ac:dyDescent="0.25">
      <c r="A1400" s="59"/>
      <c r="C1400" s="59"/>
    </row>
    <row r="1401" spans="1:6" ht="15.75" thickBot="1" x14ac:dyDescent="0.25">
      <c r="A1401" s="59"/>
      <c r="C1401" s="59"/>
    </row>
    <row r="1402" spans="1:6" ht="15.75" thickBot="1" x14ac:dyDescent="0.25">
      <c r="A1402" s="59"/>
      <c r="C1402" s="59"/>
    </row>
    <row r="1403" spans="1:6" ht="15.75" thickBot="1" x14ac:dyDescent="0.25">
      <c r="A1403" s="59"/>
      <c r="C1403" s="59"/>
    </row>
    <row r="1404" spans="1:6" ht="15.75" thickBot="1" x14ac:dyDescent="0.25">
      <c r="A1404" s="63"/>
      <c r="C1404" s="63"/>
    </row>
    <row r="1405" spans="1:6" ht="15" x14ac:dyDescent="0.2">
      <c r="A1405" s="64"/>
      <c r="C1405" s="64"/>
    </row>
    <row r="1406" spans="1:6" ht="15" x14ac:dyDescent="0.2">
      <c r="A1406" s="64"/>
    </row>
    <row r="1407" spans="1:6" ht="15" x14ac:dyDescent="0.2">
      <c r="A1407" s="64"/>
      <c r="C1407" s="64"/>
    </row>
    <row r="1408" spans="1:6" ht="15" x14ac:dyDescent="0.2">
      <c r="A1408" s="64"/>
      <c r="C1408" s="64"/>
    </row>
    <row r="1409" spans="1:3" ht="15" x14ac:dyDescent="0.2">
      <c r="A1409" s="64"/>
      <c r="C1409" s="64"/>
    </row>
    <row r="1410" spans="1:3" ht="15" x14ac:dyDescent="0.2">
      <c r="A1410" s="64"/>
      <c r="C1410" s="64"/>
    </row>
    <row r="1411" spans="1:3" ht="15" x14ac:dyDescent="0.2">
      <c r="A1411" s="64"/>
      <c r="C1411" s="64"/>
    </row>
    <row r="1412" spans="1:3" ht="15" x14ac:dyDescent="0.2">
      <c r="A1412" s="64"/>
      <c r="C1412" s="64"/>
    </row>
    <row r="1413" spans="1:3" ht="15" x14ac:dyDescent="0.2">
      <c r="A1413" s="64"/>
      <c r="C1413" s="64"/>
    </row>
    <row r="1414" spans="1:3" ht="15" x14ac:dyDescent="0.2">
      <c r="A1414" s="64"/>
      <c r="C1414" s="64"/>
    </row>
    <row r="1415" spans="1:3" ht="15" x14ac:dyDescent="0.2">
      <c r="A1415" s="64"/>
      <c r="C1415" s="64"/>
    </row>
    <row r="1416" spans="1:3" ht="15" x14ac:dyDescent="0.2">
      <c r="A1416" s="64"/>
      <c r="C1416" s="64"/>
    </row>
    <row r="1417" spans="1:3" ht="15" x14ac:dyDescent="0.2">
      <c r="A1417" s="64"/>
      <c r="C1417" s="64"/>
    </row>
    <row r="1418" spans="1:3" ht="15" x14ac:dyDescent="0.2">
      <c r="A1418" s="64"/>
      <c r="C1418" s="64"/>
    </row>
    <row r="1419" spans="1:3" ht="15" x14ac:dyDescent="0.2">
      <c r="A1419" s="64"/>
      <c r="C1419" s="64"/>
    </row>
    <row r="1420" spans="1:3" ht="15" x14ac:dyDescent="0.2">
      <c r="A1420" s="64"/>
      <c r="C1420" s="64"/>
    </row>
    <row r="1421" spans="1:3" ht="15" x14ac:dyDescent="0.2">
      <c r="A1421" s="64"/>
      <c r="C1421" s="64"/>
    </row>
    <row r="1422" spans="1:3" ht="15" x14ac:dyDescent="0.2">
      <c r="A1422" s="64"/>
      <c r="C1422" s="64"/>
    </row>
    <row r="1423" spans="1:3" ht="15" x14ac:dyDescent="0.2">
      <c r="A1423" s="64"/>
      <c r="C1423" s="64"/>
    </row>
    <row r="1424" spans="1:3" ht="15" x14ac:dyDescent="0.2">
      <c r="A1424" s="64"/>
      <c r="C1424" s="64"/>
    </row>
    <row r="1425" spans="1:3" ht="15" x14ac:dyDescent="0.2">
      <c r="A1425" s="64"/>
      <c r="C1425" s="64"/>
    </row>
    <row r="1426" spans="1:3" ht="15" x14ac:dyDescent="0.2">
      <c r="A1426" s="64"/>
      <c r="C1426" s="64"/>
    </row>
    <row r="1427" spans="1:3" ht="15" x14ac:dyDescent="0.2">
      <c r="A1427" s="64"/>
      <c r="C1427" s="64"/>
    </row>
    <row r="1428" spans="1:3" ht="15" x14ac:dyDescent="0.2">
      <c r="A1428" s="64"/>
      <c r="C1428" s="64"/>
    </row>
    <row r="1429" spans="1:3" ht="15" x14ac:dyDescent="0.2">
      <c r="A1429" s="64"/>
      <c r="C1429" s="64"/>
    </row>
    <row r="1430" spans="1:3" ht="15" x14ac:dyDescent="0.2">
      <c r="A1430" s="64"/>
      <c r="C1430" s="64"/>
    </row>
    <row r="1431" spans="1:3" ht="15" x14ac:dyDescent="0.2">
      <c r="A1431" s="64"/>
      <c r="C1431" s="64"/>
    </row>
    <row r="1432" spans="1:3" ht="15" x14ac:dyDescent="0.2">
      <c r="A1432" s="64"/>
      <c r="C1432" s="64"/>
    </row>
    <row r="1433" spans="1:3" ht="15" x14ac:dyDescent="0.2">
      <c r="A1433" s="64"/>
      <c r="C1433" s="64"/>
    </row>
    <row r="1434" spans="1:3" ht="15" x14ac:dyDescent="0.2">
      <c r="A1434" s="64"/>
      <c r="C1434" s="64"/>
    </row>
    <row r="1435" spans="1:3" ht="15" x14ac:dyDescent="0.2">
      <c r="A1435" s="64"/>
      <c r="C1435" s="64"/>
    </row>
    <row r="1436" spans="1:3" ht="15" x14ac:dyDescent="0.2">
      <c r="A1436" s="64"/>
      <c r="C1436" s="64"/>
    </row>
    <row r="1437" spans="1:3" ht="15" x14ac:dyDescent="0.2">
      <c r="A1437" s="64"/>
      <c r="C1437" s="64"/>
    </row>
    <row r="1438" spans="1:3" ht="15" x14ac:dyDescent="0.2">
      <c r="A1438" s="64"/>
      <c r="C1438" s="64"/>
    </row>
    <row r="1439" spans="1:3" ht="15" x14ac:dyDescent="0.2">
      <c r="A1439" s="64"/>
      <c r="C1439" s="64"/>
    </row>
    <row r="1440" spans="1:3" ht="15" x14ac:dyDescent="0.2">
      <c r="A1440" s="64"/>
      <c r="C1440" s="64"/>
    </row>
    <row r="1441" spans="1:6" ht="15" x14ac:dyDescent="0.2">
      <c r="A1441" s="64"/>
      <c r="C1441" s="64"/>
    </row>
    <row r="1442" spans="1:6" ht="15" x14ac:dyDescent="0.2">
      <c r="A1442" s="64"/>
      <c r="C1442" s="64"/>
    </row>
    <row r="1443" spans="1:6" ht="15" x14ac:dyDescent="0.2">
      <c r="A1443" s="64"/>
      <c r="C1443" s="64"/>
    </row>
    <row r="1444" spans="1:6" ht="15" x14ac:dyDescent="0.2">
      <c r="A1444" s="64"/>
      <c r="C1444" s="64"/>
    </row>
    <row r="1445" spans="1:6" ht="15" x14ac:dyDescent="0.2">
      <c r="A1445" s="64"/>
      <c r="C1445" s="64"/>
    </row>
    <row r="1446" spans="1:6" ht="15" x14ac:dyDescent="0.2">
      <c r="A1446" s="64"/>
      <c r="C1446" s="64"/>
    </row>
    <row r="1447" spans="1:6" ht="15" x14ac:dyDescent="0.2">
      <c r="A1447" s="64"/>
      <c r="C1447" s="64"/>
    </row>
    <row r="1448" spans="1:6" ht="15" x14ac:dyDescent="0.2">
      <c r="A1448" s="64"/>
      <c r="C1448" s="64"/>
    </row>
    <row r="1449" spans="1:6" ht="15" x14ac:dyDescent="0.2">
      <c r="A1449" s="64"/>
      <c r="C1449" s="64"/>
    </row>
    <row r="1450" spans="1:6" ht="15" x14ac:dyDescent="0.2">
      <c r="A1450" s="64"/>
      <c r="C1450" s="64"/>
    </row>
    <row r="1451" spans="1:6" ht="15" x14ac:dyDescent="0.2">
      <c r="A1451" s="64"/>
      <c r="C1451" s="64"/>
    </row>
    <row r="1452" spans="1:6" ht="15" x14ac:dyDescent="0.2">
      <c r="A1452" s="64"/>
      <c r="C1452" s="64"/>
    </row>
    <row r="1453" spans="1:6" ht="15" x14ac:dyDescent="0.2">
      <c r="A1453" s="64"/>
      <c r="C1453" s="64"/>
    </row>
    <row r="1454" spans="1:6" ht="15" x14ac:dyDescent="0.2">
      <c r="A1454" s="64"/>
      <c r="C1454" s="64"/>
    </row>
    <row r="1455" spans="1:6" ht="15" x14ac:dyDescent="0.2">
      <c r="A1455" s="64"/>
      <c r="C1455" s="64"/>
    </row>
    <row r="1456" spans="1:6" x14ac:dyDescent="0.2">
      <c r="F1456" s="50"/>
    </row>
    <row r="1457" spans="1:6" x14ac:dyDescent="0.2">
      <c r="F1457" s="50"/>
    </row>
    <row r="1458" spans="1:6" x14ac:dyDescent="0.2">
      <c r="F1458" s="50"/>
    </row>
    <row r="1459" spans="1:6" x14ac:dyDescent="0.2">
      <c r="F1459" s="50"/>
    </row>
    <row r="1460" spans="1:6" x14ac:dyDescent="0.2">
      <c r="F1460" s="50"/>
    </row>
    <row r="1461" spans="1:6" x14ac:dyDescent="0.2">
      <c r="F1461" s="50"/>
    </row>
    <row r="1462" spans="1:6" x14ac:dyDescent="0.2">
      <c r="F1462" s="50"/>
    </row>
    <row r="1463" spans="1:6" x14ac:dyDescent="0.2">
      <c r="F1463" s="50"/>
    </row>
    <row r="1464" spans="1:6" x14ac:dyDescent="0.2">
      <c r="F1464" s="50"/>
    </row>
    <row r="1465" spans="1:6" x14ac:dyDescent="0.2">
      <c r="F1465" s="50"/>
    </row>
    <row r="1466" spans="1:6" x14ac:dyDescent="0.2">
      <c r="F1466" s="50"/>
    </row>
    <row r="1467" spans="1:6" x14ac:dyDescent="0.2">
      <c r="F1467" s="50"/>
    </row>
    <row r="1468" spans="1:6" x14ac:dyDescent="0.2">
      <c r="F1468" s="50"/>
    </row>
    <row r="1469" spans="1:6" x14ac:dyDescent="0.2">
      <c r="A1469" s="65"/>
      <c r="C1469" s="65"/>
    </row>
    <row r="1470" spans="1:6" x14ac:dyDescent="0.2">
      <c r="F1470" s="50"/>
    </row>
    <row r="1471" spans="1:6" x14ac:dyDescent="0.2">
      <c r="F1471" s="50"/>
    </row>
    <row r="1472" spans="1:6" x14ac:dyDescent="0.2">
      <c r="F1472" s="50"/>
    </row>
    <row r="1473" spans="1:8" x14ac:dyDescent="0.2">
      <c r="F1473" s="50"/>
    </row>
    <row r="1474" spans="1:8" ht="15" x14ac:dyDescent="0.25">
      <c r="A1474" s="60"/>
      <c r="C1474" s="60"/>
      <c r="H1474" s="62"/>
    </row>
    <row r="1475" spans="1:8" x14ac:dyDescent="0.2">
      <c r="F1475" s="50"/>
    </row>
    <row r="1476" spans="1:8" x14ac:dyDescent="0.2">
      <c r="F1476" s="50"/>
    </row>
    <row r="1477" spans="1:8" x14ac:dyDescent="0.2">
      <c r="F1477" s="50"/>
    </row>
    <row r="1479" spans="1:8" x14ac:dyDescent="0.2">
      <c r="F1479" s="50"/>
    </row>
    <row r="1480" spans="1:8" x14ac:dyDescent="0.2">
      <c r="F1480" s="50"/>
    </row>
    <row r="1481" spans="1:8" x14ac:dyDescent="0.2">
      <c r="F1481" s="50"/>
    </row>
    <row r="1482" spans="1:8" x14ac:dyDescent="0.2">
      <c r="F1482" s="50"/>
    </row>
    <row r="1483" spans="1:8" x14ac:dyDescent="0.2">
      <c r="F1483" s="50"/>
    </row>
    <row r="1484" spans="1:8" x14ac:dyDescent="0.2">
      <c r="F1484" s="50"/>
    </row>
    <row r="1485" spans="1:8" x14ac:dyDescent="0.2">
      <c r="F1485" s="50"/>
    </row>
    <row r="1486" spans="1:8" x14ac:dyDescent="0.2">
      <c r="F1486" s="50"/>
    </row>
    <row r="1487" spans="1:8" x14ac:dyDescent="0.2">
      <c r="F1487" s="50"/>
    </row>
    <row r="1488" spans="1:8" ht="15" x14ac:dyDescent="0.25">
      <c r="F1488" s="50"/>
      <c r="H1488" s="62"/>
    </row>
    <row r="1489" spans="1:6" x14ac:dyDescent="0.2">
      <c r="F1489" s="50"/>
    </row>
    <row r="1490" spans="1:6" x14ac:dyDescent="0.2">
      <c r="F1490" s="50"/>
    </row>
    <row r="1491" spans="1:6" x14ac:dyDescent="0.2">
      <c r="F1491" s="50"/>
    </row>
    <row r="1492" spans="1:6" x14ac:dyDescent="0.2">
      <c r="F1492" s="50"/>
    </row>
    <row r="1493" spans="1:6" x14ac:dyDescent="0.2">
      <c r="F1493" s="50"/>
    </row>
    <row r="1494" spans="1:6" x14ac:dyDescent="0.2">
      <c r="F1494" s="50"/>
    </row>
    <row r="1495" spans="1:6" x14ac:dyDescent="0.2">
      <c r="F1495" s="50"/>
    </row>
    <row r="1496" spans="1:6" x14ac:dyDescent="0.2">
      <c r="A1496" s="55"/>
      <c r="C1496" s="55"/>
    </row>
    <row r="1497" spans="1:6" x14ac:dyDescent="0.2">
      <c r="F1497" s="50"/>
    </row>
    <row r="1498" spans="1:6" x14ac:dyDescent="0.2">
      <c r="F1498" s="50"/>
    </row>
    <row r="1499" spans="1:6" x14ac:dyDescent="0.2">
      <c r="F1499" s="50"/>
    </row>
    <row r="1500" spans="1:6" x14ac:dyDescent="0.2">
      <c r="F1500" s="50"/>
    </row>
    <row r="1502" spans="1:6" x14ac:dyDescent="0.2">
      <c r="F1502" s="50"/>
    </row>
    <row r="1503" spans="1:6" x14ac:dyDescent="0.2">
      <c r="F1503" s="50"/>
    </row>
    <row r="1504" spans="1:6" x14ac:dyDescent="0.2">
      <c r="F1504" s="50"/>
    </row>
    <row r="1505" spans="6:6" x14ac:dyDescent="0.2">
      <c r="F1505" s="50"/>
    </row>
    <row r="1506" spans="6:6" x14ac:dyDescent="0.2">
      <c r="F1506" s="50"/>
    </row>
    <row r="1507" spans="6:6" x14ac:dyDescent="0.2">
      <c r="F1507" s="50"/>
    </row>
    <row r="1508" spans="6:6" x14ac:dyDescent="0.2">
      <c r="F1508" s="50"/>
    </row>
    <row r="1509" spans="6:6" x14ac:dyDescent="0.2">
      <c r="F1509" s="50"/>
    </row>
    <row r="1510" spans="6:6" x14ac:dyDescent="0.2">
      <c r="F1510" s="50"/>
    </row>
    <row r="1511" spans="6:6" x14ac:dyDescent="0.2">
      <c r="F1511" s="50"/>
    </row>
    <row r="1512" spans="6:6" x14ac:dyDescent="0.2">
      <c r="F1512" s="50"/>
    </row>
    <row r="1516" spans="6:6" x14ac:dyDescent="0.2">
      <c r="F1516" s="50"/>
    </row>
    <row r="1517" spans="6:6" x14ac:dyDescent="0.2">
      <c r="F1517" s="50"/>
    </row>
    <row r="1518" spans="6:6" x14ac:dyDescent="0.2">
      <c r="F1518" s="50"/>
    </row>
    <row r="1519" spans="6:6" x14ac:dyDescent="0.2">
      <c r="F1519" s="50"/>
    </row>
    <row r="1520" spans="6:6" x14ac:dyDescent="0.2">
      <c r="F1520" s="50"/>
    </row>
    <row r="1521" spans="1:6" x14ac:dyDescent="0.2">
      <c r="F1521" s="50"/>
    </row>
    <row r="1522" spans="1:6" x14ac:dyDescent="0.2">
      <c r="F1522" s="50"/>
    </row>
    <row r="1523" spans="1:6" x14ac:dyDescent="0.2">
      <c r="F1523" s="50"/>
    </row>
    <row r="1524" spans="1:6" x14ac:dyDescent="0.2">
      <c r="F1524" s="50"/>
    </row>
    <row r="1525" spans="1:6" x14ac:dyDescent="0.2">
      <c r="F1525" s="50"/>
    </row>
    <row r="1526" spans="1:6" x14ac:dyDescent="0.2">
      <c r="A1526" s="91"/>
      <c r="C1526" s="91"/>
      <c r="F1526" s="50"/>
    </row>
    <row r="1527" spans="1:6" x14ac:dyDescent="0.2">
      <c r="A1527" s="91"/>
      <c r="C1527" s="91"/>
      <c r="F1527" s="50"/>
    </row>
    <row r="1528" spans="1:6" x14ac:dyDescent="0.2">
      <c r="A1528" s="91"/>
      <c r="C1528" s="91"/>
      <c r="F1528" s="50"/>
    </row>
    <row r="1529" spans="1:6" x14ac:dyDescent="0.2">
      <c r="A1529" s="91"/>
      <c r="C1529" s="91"/>
      <c r="F1529" s="50"/>
    </row>
    <row r="1530" spans="1:6" x14ac:dyDescent="0.2">
      <c r="A1530" s="91"/>
      <c r="C1530" s="91"/>
      <c r="F1530" s="50"/>
    </row>
    <row r="1531" spans="1:6" x14ac:dyDescent="0.2">
      <c r="A1531" s="91"/>
      <c r="C1531" s="91"/>
      <c r="F1531" s="50"/>
    </row>
    <row r="1532" spans="1:6" x14ac:dyDescent="0.2">
      <c r="A1532" s="91"/>
      <c r="C1532" s="91"/>
      <c r="F1532" s="50"/>
    </row>
    <row r="1533" spans="1:6" x14ac:dyDescent="0.2">
      <c r="A1533" s="91"/>
      <c r="C1533" s="91"/>
      <c r="F1533" s="50"/>
    </row>
    <row r="1534" spans="1:6" x14ac:dyDescent="0.2">
      <c r="A1534" s="91"/>
      <c r="C1534" s="91"/>
      <c r="F1534" s="50"/>
    </row>
    <row r="1535" spans="1:6" x14ac:dyDescent="0.2">
      <c r="A1535" s="91"/>
      <c r="C1535" s="91"/>
      <c r="F1535" s="50"/>
    </row>
    <row r="1536" spans="1:6" x14ac:dyDescent="0.2">
      <c r="A1536" s="91"/>
      <c r="C1536" s="91"/>
      <c r="F1536" s="50"/>
    </row>
    <row r="1537" spans="1:6" x14ac:dyDescent="0.2">
      <c r="A1537" s="91"/>
      <c r="C1537" s="91"/>
      <c r="F1537" s="50"/>
    </row>
    <row r="1538" spans="1:6" x14ac:dyDescent="0.2">
      <c r="A1538" s="91"/>
      <c r="C1538" s="91"/>
      <c r="F1538" s="50"/>
    </row>
    <row r="1539" spans="1:6" x14ac:dyDescent="0.2">
      <c r="A1539" s="91"/>
      <c r="C1539" s="91"/>
      <c r="F1539" s="50"/>
    </row>
    <row r="1540" spans="1:6" x14ac:dyDescent="0.2">
      <c r="A1540" s="91"/>
      <c r="C1540" s="91"/>
      <c r="F1540" s="50"/>
    </row>
    <row r="1541" spans="1:6" x14ac:dyDescent="0.2">
      <c r="A1541" s="91"/>
      <c r="F1541" s="50"/>
    </row>
    <row r="1542" spans="1:6" x14ac:dyDescent="0.2">
      <c r="A1542" s="91"/>
      <c r="F1542" s="50"/>
    </row>
    <row r="1543" spans="1:6" x14ac:dyDescent="0.2">
      <c r="A1543" s="91"/>
      <c r="F1543" s="50"/>
    </row>
    <row r="1544" spans="1:6" x14ac:dyDescent="0.2">
      <c r="F1544" s="50"/>
    </row>
    <row r="1545" spans="1:6" x14ac:dyDescent="0.2">
      <c r="F1545" s="50"/>
    </row>
    <row r="1546" spans="1:6" x14ac:dyDescent="0.2">
      <c r="F1546" s="50"/>
    </row>
    <row r="1547" spans="1:6" x14ac:dyDescent="0.2">
      <c r="F1547" s="50"/>
    </row>
    <row r="1548" spans="1:6" x14ac:dyDescent="0.2">
      <c r="F1548" s="50"/>
    </row>
    <row r="1549" spans="1:6" x14ac:dyDescent="0.2">
      <c r="F1549" s="50"/>
    </row>
    <row r="1550" spans="1:6" x14ac:dyDescent="0.2">
      <c r="F1550" s="50"/>
    </row>
    <row r="1551" spans="1:6" x14ac:dyDescent="0.2">
      <c r="F1551" s="50"/>
    </row>
    <row r="1552" spans="1:6" x14ac:dyDescent="0.2">
      <c r="F1552" s="50"/>
    </row>
    <row r="1553" spans="6:6" x14ac:dyDescent="0.2">
      <c r="F1553" s="50"/>
    </row>
    <row r="1554" spans="6:6" x14ac:dyDescent="0.2">
      <c r="F1554" s="50"/>
    </row>
    <row r="1555" spans="6:6" x14ac:dyDescent="0.2">
      <c r="F1555" s="50"/>
    </row>
    <row r="1556" spans="6:6" x14ac:dyDescent="0.2">
      <c r="F1556" s="50"/>
    </row>
    <row r="1557" spans="6:6" x14ac:dyDescent="0.2">
      <c r="F1557" s="50"/>
    </row>
    <row r="1558" spans="6:6" x14ac:dyDescent="0.2">
      <c r="F1558" s="50"/>
    </row>
    <row r="1559" spans="6:6" x14ac:dyDescent="0.2">
      <c r="F1559" s="50"/>
    </row>
    <row r="1560" spans="6:6" x14ac:dyDescent="0.2">
      <c r="F1560" s="50"/>
    </row>
    <row r="1561" spans="6:6" x14ac:dyDescent="0.2">
      <c r="F1561" s="50"/>
    </row>
    <row r="1562" spans="6:6" x14ac:dyDescent="0.2">
      <c r="F1562" s="50"/>
    </row>
    <row r="1563" spans="6:6" x14ac:dyDescent="0.2">
      <c r="F1563" s="50"/>
    </row>
    <row r="1564" spans="6:6" x14ac:dyDescent="0.2">
      <c r="F1564" s="50"/>
    </row>
    <row r="1565" spans="6:6" x14ac:dyDescent="0.2">
      <c r="F1565" s="50"/>
    </row>
    <row r="1566" spans="6:6" x14ac:dyDescent="0.2">
      <c r="F1566" s="50"/>
    </row>
    <row r="1567" spans="6:6" x14ac:dyDescent="0.2">
      <c r="F1567" s="50"/>
    </row>
    <row r="1568" spans="6:6" x14ac:dyDescent="0.2">
      <c r="F1568" s="50"/>
    </row>
    <row r="1569" spans="6:6" x14ac:dyDescent="0.2">
      <c r="F1569" s="50"/>
    </row>
    <row r="1570" spans="6:6" x14ac:dyDescent="0.2">
      <c r="F1570" s="50"/>
    </row>
    <row r="1571" spans="6:6" x14ac:dyDescent="0.2">
      <c r="F1571" s="50"/>
    </row>
    <row r="1572" spans="6:6" x14ac:dyDescent="0.2">
      <c r="F1572" s="50"/>
    </row>
    <row r="1573" spans="6:6" x14ac:dyDescent="0.2">
      <c r="F1573" s="50"/>
    </row>
    <row r="1574" spans="6:6" x14ac:dyDescent="0.2">
      <c r="F1574" s="50"/>
    </row>
    <row r="1575" spans="6:6" ht="11.25" customHeight="1" x14ac:dyDescent="0.2">
      <c r="F1575" s="50"/>
    </row>
    <row r="1576" spans="6:6" x14ac:dyDescent="0.2">
      <c r="F1576" s="50"/>
    </row>
    <row r="1577" spans="6:6" x14ac:dyDescent="0.2">
      <c r="F1577" s="50"/>
    </row>
    <row r="1578" spans="6:6" x14ac:dyDescent="0.2">
      <c r="F1578" s="50"/>
    </row>
    <row r="1579" spans="6:6" x14ac:dyDescent="0.2">
      <c r="F1579" s="50"/>
    </row>
    <row r="1580" spans="6:6" x14ac:dyDescent="0.2">
      <c r="F1580" s="50"/>
    </row>
    <row r="1581" spans="6:6" x14ac:dyDescent="0.2">
      <c r="F1581" s="50"/>
    </row>
    <row r="1582" spans="6:6" x14ac:dyDescent="0.2">
      <c r="F1582" s="50"/>
    </row>
    <row r="1583" spans="6:6" x14ac:dyDescent="0.2">
      <c r="F1583" s="50"/>
    </row>
    <row r="1584" spans="6:6" x14ac:dyDescent="0.2">
      <c r="F1584" s="50"/>
    </row>
    <row r="1585" spans="6:6" x14ac:dyDescent="0.2">
      <c r="F1585" s="50"/>
    </row>
    <row r="1586" spans="6:6" x14ac:dyDescent="0.2">
      <c r="F1586" s="50"/>
    </row>
    <row r="1587" spans="6:6" x14ac:dyDescent="0.2">
      <c r="F1587" s="50"/>
    </row>
    <row r="1588" spans="6:6" x14ac:dyDescent="0.2">
      <c r="F1588" s="50"/>
    </row>
    <row r="1589" spans="6:6" x14ac:dyDescent="0.2">
      <c r="F1589" s="50"/>
    </row>
    <row r="1590" spans="6:6" x14ac:dyDescent="0.2">
      <c r="F1590" s="50"/>
    </row>
    <row r="1591" spans="6:6" x14ac:dyDescent="0.2">
      <c r="F1591" s="50"/>
    </row>
    <row r="1592" spans="6:6" x14ac:dyDescent="0.2">
      <c r="F1592" s="50"/>
    </row>
    <row r="1593" spans="6:6" x14ac:dyDescent="0.2">
      <c r="F1593" s="50"/>
    </row>
    <row r="1594" spans="6:6" x14ac:dyDescent="0.2">
      <c r="F1594" s="50"/>
    </row>
    <row r="1595" spans="6:6" x14ac:dyDescent="0.2">
      <c r="F1595" s="50"/>
    </row>
    <row r="1596" spans="6:6" x14ac:dyDescent="0.2">
      <c r="F1596" s="50"/>
    </row>
    <row r="1597" spans="6:6" x14ac:dyDescent="0.2">
      <c r="F1597" s="50"/>
    </row>
    <row r="1598" spans="6:6" x14ac:dyDescent="0.2">
      <c r="F1598" s="50"/>
    </row>
    <row r="1599" spans="6:6" x14ac:dyDescent="0.2">
      <c r="F1599" s="50"/>
    </row>
    <row r="1600" spans="6:6" x14ac:dyDescent="0.2">
      <c r="F1600" s="50"/>
    </row>
    <row r="1601" spans="6:6" x14ac:dyDescent="0.2">
      <c r="F1601" s="50"/>
    </row>
    <row r="1602" spans="6:6" x14ac:dyDescent="0.2">
      <c r="F1602" s="50"/>
    </row>
    <row r="1603" spans="6:6" x14ac:dyDescent="0.2">
      <c r="F1603" s="50"/>
    </row>
    <row r="1604" spans="6:6" x14ac:dyDescent="0.2">
      <c r="F1604" s="50"/>
    </row>
    <row r="1605" spans="6:6" x14ac:dyDescent="0.2">
      <c r="F1605" s="50"/>
    </row>
    <row r="1606" spans="6:6" x14ac:dyDescent="0.2">
      <c r="F1606" s="50"/>
    </row>
    <row r="1607" spans="6:6" x14ac:dyDescent="0.2">
      <c r="F1607" s="50"/>
    </row>
    <row r="1608" spans="6:6" x14ac:dyDescent="0.2">
      <c r="F1608" s="50"/>
    </row>
    <row r="1609" spans="6:6" x14ac:dyDescent="0.2">
      <c r="F1609" s="50"/>
    </row>
    <row r="1610" spans="6:6" x14ac:dyDescent="0.2">
      <c r="F1610" s="50"/>
    </row>
    <row r="1611" spans="6:6" x14ac:dyDescent="0.2">
      <c r="F1611" s="50"/>
    </row>
    <row r="1612" spans="6:6" x14ac:dyDescent="0.2">
      <c r="F1612" s="50"/>
    </row>
    <row r="1613" spans="6:6" x14ac:dyDescent="0.2">
      <c r="F1613" s="50"/>
    </row>
    <row r="1614" spans="6:6" x14ac:dyDescent="0.2">
      <c r="F1614" s="50"/>
    </row>
    <row r="1615" spans="6:6" x14ac:dyDescent="0.2">
      <c r="F1615" s="50"/>
    </row>
    <row r="1616" spans="6:6" x14ac:dyDescent="0.2">
      <c r="F1616" s="50"/>
    </row>
    <row r="1617" spans="6:6" x14ac:dyDescent="0.2">
      <c r="F1617" s="50"/>
    </row>
    <row r="1618" spans="6:6" x14ac:dyDescent="0.2">
      <c r="F1618" s="50"/>
    </row>
    <row r="1619" spans="6:6" x14ac:dyDescent="0.2">
      <c r="F1619" s="50"/>
    </row>
    <row r="1620" spans="6:6" x14ac:dyDescent="0.2">
      <c r="F1620" s="50"/>
    </row>
    <row r="1621" spans="6:6" x14ac:dyDescent="0.2">
      <c r="F1621" s="50"/>
    </row>
    <row r="1622" spans="6:6" x14ac:dyDescent="0.2">
      <c r="F1622" s="50"/>
    </row>
    <row r="1624" spans="6:6" x14ac:dyDescent="0.2">
      <c r="F1624" s="50"/>
    </row>
    <row r="1625" spans="6:6" x14ac:dyDescent="0.2">
      <c r="F1625" s="50"/>
    </row>
    <row r="1626" spans="6:6" x14ac:dyDescent="0.2">
      <c r="F1626" s="50"/>
    </row>
    <row r="1627" spans="6:6" x14ac:dyDescent="0.2">
      <c r="F1627" s="50"/>
    </row>
    <row r="1628" spans="6:6" x14ac:dyDescent="0.2">
      <c r="F1628" s="50"/>
    </row>
    <row r="1629" spans="6:6" x14ac:dyDescent="0.2">
      <c r="F1629" s="50"/>
    </row>
    <row r="1630" spans="6:6" x14ac:dyDescent="0.2">
      <c r="F1630" s="50"/>
    </row>
    <row r="1631" spans="6:6" x14ac:dyDescent="0.2">
      <c r="F1631" s="50"/>
    </row>
    <row r="1632" spans="6:6" x14ac:dyDescent="0.2">
      <c r="F1632" s="50"/>
    </row>
    <row r="1633" spans="6:6" x14ac:dyDescent="0.2">
      <c r="F1633" s="50"/>
    </row>
    <row r="1634" spans="6:6" x14ac:dyDescent="0.2">
      <c r="F1634" s="50"/>
    </row>
    <row r="1635" spans="6:6" x14ac:dyDescent="0.2">
      <c r="F1635" s="50"/>
    </row>
    <row r="1636" spans="6:6" x14ac:dyDescent="0.2">
      <c r="F1636" s="50"/>
    </row>
    <row r="1637" spans="6:6" x14ac:dyDescent="0.2">
      <c r="F1637" s="50"/>
    </row>
    <row r="1638" spans="6:6" x14ac:dyDescent="0.2">
      <c r="F1638" s="50"/>
    </row>
    <row r="1639" spans="6:6" x14ac:dyDescent="0.2">
      <c r="F1639" s="50"/>
    </row>
    <row r="1640" spans="6:6" x14ac:dyDescent="0.2">
      <c r="F1640" s="50"/>
    </row>
    <row r="1641" spans="6:6" x14ac:dyDescent="0.2">
      <c r="F1641" s="50"/>
    </row>
    <row r="1642" spans="6:6" x14ac:dyDescent="0.2">
      <c r="F1642" s="50"/>
    </row>
    <row r="1643" spans="6:6" x14ac:dyDescent="0.2">
      <c r="F1643" s="50"/>
    </row>
    <row r="1644" spans="6:6" x14ac:dyDescent="0.2">
      <c r="F1644" s="50"/>
    </row>
    <row r="1645" spans="6:6" x14ac:dyDescent="0.2">
      <c r="F1645" s="50"/>
    </row>
    <row r="1646" spans="6:6" x14ac:dyDescent="0.2">
      <c r="F1646" s="50"/>
    </row>
    <row r="1647" spans="6:6" x14ac:dyDescent="0.2">
      <c r="F1647" s="50"/>
    </row>
    <row r="1648" spans="6:6" x14ac:dyDescent="0.2">
      <c r="F1648" s="50"/>
    </row>
    <row r="1649" spans="6:6" x14ac:dyDescent="0.2">
      <c r="F1649" s="50"/>
    </row>
    <row r="1650" spans="6:6" x14ac:dyDescent="0.2">
      <c r="F1650" s="50"/>
    </row>
    <row r="1651" spans="6:6" x14ac:dyDescent="0.2">
      <c r="F1651" s="50"/>
    </row>
    <row r="1652" spans="6:6" x14ac:dyDescent="0.2">
      <c r="F1652" s="50"/>
    </row>
    <row r="1653" spans="6:6" x14ac:dyDescent="0.2">
      <c r="F1653" s="50"/>
    </row>
    <row r="1654" spans="6:6" x14ac:dyDescent="0.2">
      <c r="F1654" s="50"/>
    </row>
    <row r="1655" spans="6:6" x14ac:dyDescent="0.2">
      <c r="F1655" s="50"/>
    </row>
    <row r="1656" spans="6:6" x14ac:dyDescent="0.2">
      <c r="F1656" s="50"/>
    </row>
    <row r="1657" spans="6:6" x14ac:dyDescent="0.2">
      <c r="F1657" s="50"/>
    </row>
    <row r="1658" spans="6:6" x14ac:dyDescent="0.2">
      <c r="F1658" s="50"/>
    </row>
    <row r="1659" spans="6:6" x14ac:dyDescent="0.2">
      <c r="F1659" s="50"/>
    </row>
    <row r="1660" spans="6:6" x14ac:dyDescent="0.2">
      <c r="F1660" s="50"/>
    </row>
    <row r="1661" spans="6:6" x14ac:dyDescent="0.2">
      <c r="F1661" s="50"/>
    </row>
    <row r="1662" spans="6:6" x14ac:dyDescent="0.2">
      <c r="F1662" s="50"/>
    </row>
    <row r="1663" spans="6:6" x14ac:dyDescent="0.2">
      <c r="F1663" s="50"/>
    </row>
    <row r="1664" spans="6:6" x14ac:dyDescent="0.2">
      <c r="F1664" s="50"/>
    </row>
    <row r="1665" spans="6:6" x14ac:dyDescent="0.2">
      <c r="F1665" s="50"/>
    </row>
    <row r="1666" spans="6:6" x14ac:dyDescent="0.2">
      <c r="F1666" s="50"/>
    </row>
    <row r="1667" spans="6:6" x14ac:dyDescent="0.2">
      <c r="F1667" s="50"/>
    </row>
    <row r="1668" spans="6:6" x14ac:dyDescent="0.2">
      <c r="F1668" s="50"/>
    </row>
    <row r="1669" spans="6:6" x14ac:dyDescent="0.2">
      <c r="F1669" s="50"/>
    </row>
    <row r="1670" spans="6:6" x14ac:dyDescent="0.2">
      <c r="F1670" s="50"/>
    </row>
    <row r="1671" spans="6:6" x14ac:dyDescent="0.2">
      <c r="F1671" s="50"/>
    </row>
    <row r="1672" spans="6:6" x14ac:dyDescent="0.2">
      <c r="F1672" s="50"/>
    </row>
    <row r="1673" spans="6:6" x14ac:dyDescent="0.2">
      <c r="F1673" s="50"/>
    </row>
    <row r="1674" spans="6:6" x14ac:dyDescent="0.2">
      <c r="F1674" s="50"/>
    </row>
    <row r="1675" spans="6:6" x14ac:dyDescent="0.2">
      <c r="F1675" s="50"/>
    </row>
    <row r="1676" spans="6:6" x14ac:dyDescent="0.2">
      <c r="F1676" s="50"/>
    </row>
    <row r="1677" spans="6:6" x14ac:dyDescent="0.2">
      <c r="F1677" s="50"/>
    </row>
    <row r="1678" spans="6:6" x14ac:dyDescent="0.2">
      <c r="F1678" s="50"/>
    </row>
    <row r="1679" spans="6:6" x14ac:dyDescent="0.2">
      <c r="F1679" s="50"/>
    </row>
    <row r="1680" spans="6:6" x14ac:dyDescent="0.2">
      <c r="F1680" s="50"/>
    </row>
    <row r="1681" spans="6:6" x14ac:dyDescent="0.2">
      <c r="F1681" s="50"/>
    </row>
    <row r="1682" spans="6:6" x14ac:dyDescent="0.2">
      <c r="F1682" s="50"/>
    </row>
    <row r="1683" spans="6:6" x14ac:dyDescent="0.2">
      <c r="F1683" s="50"/>
    </row>
    <row r="1684" spans="6:6" x14ac:dyDescent="0.2">
      <c r="F1684" s="50"/>
    </row>
    <row r="1685" spans="6:6" x14ac:dyDescent="0.2">
      <c r="F1685" s="50"/>
    </row>
    <row r="1686" spans="6:6" x14ac:dyDescent="0.2">
      <c r="F1686" s="50"/>
    </row>
    <row r="1687" spans="6:6" x14ac:dyDescent="0.2">
      <c r="F1687" s="50"/>
    </row>
    <row r="1688" spans="6:6" x14ac:dyDescent="0.2">
      <c r="F1688" s="50"/>
    </row>
    <row r="1689" spans="6:6" x14ac:dyDescent="0.2">
      <c r="F1689" s="50"/>
    </row>
    <row r="1690" spans="6:6" x14ac:dyDescent="0.2">
      <c r="F1690" s="50"/>
    </row>
    <row r="1691" spans="6:6" x14ac:dyDescent="0.2">
      <c r="F1691" s="50"/>
    </row>
    <row r="1692" spans="6:6" x14ac:dyDescent="0.2">
      <c r="F1692" s="50"/>
    </row>
    <row r="1693" spans="6:6" x14ac:dyDescent="0.2">
      <c r="F1693" s="50"/>
    </row>
    <row r="1694" spans="6:6" x14ac:dyDescent="0.2">
      <c r="F1694" s="50"/>
    </row>
    <row r="1695" spans="6:6" x14ac:dyDescent="0.2">
      <c r="F1695" s="50"/>
    </row>
    <row r="1696" spans="6:6" x14ac:dyDescent="0.2">
      <c r="F1696" s="50"/>
    </row>
    <row r="1697" spans="1:8" x14ac:dyDescent="0.2">
      <c r="F1697" s="50"/>
    </row>
    <row r="1698" spans="1:8" x14ac:dyDescent="0.2">
      <c r="A1698" s="78"/>
      <c r="C1698" s="78"/>
      <c r="F1698" s="51"/>
      <c r="H1698"/>
    </row>
    <row r="1699" spans="1:8" x14ac:dyDescent="0.2">
      <c r="A1699" s="78"/>
      <c r="C1699" s="78"/>
      <c r="F1699" s="51"/>
      <c r="H1699"/>
    </row>
    <row r="1700" spans="1:8" x14ac:dyDescent="0.2">
      <c r="A1700" s="78"/>
      <c r="C1700" s="78"/>
      <c r="F1700" s="51"/>
      <c r="H1700"/>
    </row>
    <row r="1701" spans="1:8" x14ac:dyDescent="0.2">
      <c r="A1701" s="78"/>
      <c r="C1701" s="78"/>
      <c r="F1701" s="51"/>
      <c r="H1701"/>
    </row>
    <row r="1702" spans="1:8" x14ac:dyDescent="0.2">
      <c r="A1702" s="78"/>
      <c r="C1702" s="78"/>
      <c r="F1702" s="51"/>
      <c r="H1702"/>
    </row>
    <row r="1703" spans="1:8" x14ac:dyDescent="0.2">
      <c r="A1703" s="78"/>
      <c r="C1703" s="78"/>
      <c r="F1703" s="51"/>
      <c r="H1703"/>
    </row>
    <row r="1704" spans="1:8" x14ac:dyDescent="0.2">
      <c r="A1704" s="78"/>
      <c r="C1704" s="78"/>
    </row>
    <row r="1705" spans="1:8" x14ac:dyDescent="0.2">
      <c r="A1705" s="78"/>
      <c r="C1705" s="78"/>
    </row>
    <row r="1706" spans="1:8" x14ac:dyDescent="0.2">
      <c r="A1706" s="78"/>
      <c r="C1706" s="78"/>
    </row>
    <row r="1707" spans="1:8" x14ac:dyDescent="0.2">
      <c r="A1707" s="78"/>
      <c r="C1707" s="78"/>
    </row>
    <row r="1708" spans="1:8" x14ac:dyDescent="0.2">
      <c r="A1708" s="78"/>
      <c r="C1708" s="78"/>
    </row>
    <row r="1709" spans="1:8" x14ac:dyDescent="0.2">
      <c r="A1709" s="78"/>
      <c r="C1709" s="78"/>
    </row>
    <row r="1710" spans="1:8" x14ac:dyDescent="0.2">
      <c r="A1710" s="78"/>
      <c r="C1710" s="78"/>
    </row>
    <row r="1711" spans="1:8" x14ac:dyDescent="0.2">
      <c r="A1711" s="78"/>
      <c r="C1711" s="78"/>
    </row>
    <row r="1712" spans="1:8" x14ac:dyDescent="0.2">
      <c r="A1712" s="78"/>
      <c r="C1712" s="78"/>
    </row>
    <row r="1713" spans="1:3" x14ac:dyDescent="0.2">
      <c r="A1713" s="66"/>
      <c r="C1713" s="66"/>
    </row>
    <row r="1714" spans="1:3" x14ac:dyDescent="0.2">
      <c r="A1714" s="66"/>
      <c r="C1714" s="66"/>
    </row>
    <row r="1715" spans="1:3" x14ac:dyDescent="0.2">
      <c r="A1715" s="66"/>
      <c r="C1715" s="66"/>
    </row>
    <row r="1716" spans="1:3" x14ac:dyDescent="0.2">
      <c r="A1716" s="66"/>
      <c r="C1716" s="66"/>
    </row>
    <row r="1717" spans="1:3" x14ac:dyDescent="0.2">
      <c r="A1717" s="66"/>
      <c r="C1717" s="66"/>
    </row>
    <row r="1718" spans="1:3" x14ac:dyDescent="0.2">
      <c r="A1718" s="66"/>
      <c r="C1718" s="66"/>
    </row>
    <row r="1719" spans="1:3" x14ac:dyDescent="0.2">
      <c r="A1719" s="66"/>
      <c r="C1719" s="66"/>
    </row>
    <row r="1720" spans="1:3" x14ac:dyDescent="0.2">
      <c r="A1720" s="66"/>
      <c r="C1720" s="66"/>
    </row>
    <row r="1721" spans="1:3" x14ac:dyDescent="0.2">
      <c r="A1721" s="66"/>
      <c r="C1721" s="66"/>
    </row>
    <row r="1722" spans="1:3" x14ac:dyDescent="0.2">
      <c r="A1722" s="66"/>
      <c r="C1722" s="66"/>
    </row>
    <row r="1723" spans="1:3" x14ac:dyDescent="0.2">
      <c r="A1723" s="66"/>
      <c r="C1723" s="66"/>
    </row>
    <row r="1724" spans="1:3" x14ac:dyDescent="0.2">
      <c r="A1724" s="66"/>
      <c r="C1724" s="66"/>
    </row>
    <row r="1725" spans="1:3" x14ac:dyDescent="0.2">
      <c r="A1725" s="66"/>
      <c r="C1725" s="66"/>
    </row>
    <row r="1726" spans="1:3" x14ac:dyDescent="0.2">
      <c r="A1726" s="66"/>
      <c r="C1726" s="66"/>
    </row>
    <row r="1727" spans="1:3" x14ac:dyDescent="0.2">
      <c r="A1727" s="66"/>
      <c r="C1727" s="66"/>
    </row>
    <row r="1728" spans="1:3" x14ac:dyDescent="0.2">
      <c r="A1728" s="66"/>
      <c r="C1728" s="66"/>
    </row>
    <row r="1729" spans="1:3" x14ac:dyDescent="0.2">
      <c r="A1729" s="66"/>
      <c r="C1729" s="66"/>
    </row>
    <row r="1730" spans="1:3" x14ac:dyDescent="0.2">
      <c r="A1730" s="66"/>
      <c r="C1730" s="66"/>
    </row>
    <row r="1731" spans="1:3" x14ac:dyDescent="0.2">
      <c r="A1731" s="66"/>
      <c r="C1731" s="66"/>
    </row>
    <row r="1732" spans="1:3" x14ac:dyDescent="0.2">
      <c r="A1732" s="66"/>
      <c r="C1732" s="66"/>
    </row>
    <row r="1733" spans="1:3" x14ac:dyDescent="0.2">
      <c r="A1733" s="66"/>
      <c r="C1733" s="66"/>
    </row>
    <row r="1734" spans="1:3" x14ac:dyDescent="0.2">
      <c r="A1734" s="66"/>
      <c r="C1734" s="66"/>
    </row>
    <row r="1735" spans="1:3" x14ac:dyDescent="0.2">
      <c r="A1735" s="66"/>
      <c r="C1735" s="66"/>
    </row>
    <row r="1736" spans="1:3" x14ac:dyDescent="0.2">
      <c r="A1736" s="66"/>
      <c r="C1736" s="66"/>
    </row>
    <row r="1737" spans="1:3" x14ac:dyDescent="0.2">
      <c r="A1737" s="66"/>
      <c r="C1737" s="66"/>
    </row>
    <row r="1738" spans="1:3" x14ac:dyDescent="0.2">
      <c r="A1738" s="66"/>
      <c r="C1738" s="66"/>
    </row>
    <row r="1739" spans="1:3" x14ac:dyDescent="0.2">
      <c r="A1739" s="66"/>
      <c r="C1739" s="66"/>
    </row>
    <row r="1740" spans="1:3" x14ac:dyDescent="0.2">
      <c r="A1740" s="66"/>
      <c r="C1740" s="66"/>
    </row>
    <row r="1741" spans="1:3" x14ac:dyDescent="0.2">
      <c r="A1741" s="66"/>
      <c r="C1741" s="66"/>
    </row>
    <row r="1742" spans="1:3" x14ac:dyDescent="0.2">
      <c r="A1742" s="66"/>
      <c r="C1742" s="66"/>
    </row>
    <row r="1743" spans="1:3" x14ac:dyDescent="0.2">
      <c r="A1743" s="66"/>
      <c r="C1743" s="66"/>
    </row>
    <row r="1744" spans="1:3" x14ac:dyDescent="0.2">
      <c r="A1744" s="66"/>
      <c r="C1744" s="66"/>
    </row>
    <row r="1745" spans="1:3" x14ac:dyDescent="0.2">
      <c r="A1745" s="66"/>
      <c r="C1745" s="66"/>
    </row>
    <row r="1746" spans="1:3" x14ac:dyDescent="0.2">
      <c r="A1746" s="66"/>
      <c r="C1746" s="66"/>
    </row>
    <row r="1747" spans="1:3" x14ac:dyDescent="0.2">
      <c r="A1747" s="66"/>
      <c r="C1747" s="66"/>
    </row>
    <row r="1748" spans="1:3" x14ac:dyDescent="0.2">
      <c r="A1748" s="66"/>
      <c r="C1748" s="66"/>
    </row>
    <row r="1749" spans="1:3" x14ac:dyDescent="0.2">
      <c r="A1749" s="66"/>
      <c r="C1749" s="66"/>
    </row>
    <row r="1750" spans="1:3" x14ac:dyDescent="0.2">
      <c r="A1750" s="66"/>
      <c r="C1750" s="66"/>
    </row>
    <row r="1751" spans="1:3" x14ac:dyDescent="0.2">
      <c r="A1751" s="66"/>
      <c r="C1751" s="66"/>
    </row>
    <row r="1752" spans="1:3" x14ac:dyDescent="0.2">
      <c r="A1752" s="66"/>
      <c r="C1752" s="66"/>
    </row>
    <row r="1753" spans="1:3" x14ac:dyDescent="0.2">
      <c r="A1753" s="66"/>
      <c r="C1753" s="66"/>
    </row>
    <row r="1754" spans="1:3" x14ac:dyDescent="0.2">
      <c r="A1754" s="66"/>
      <c r="C1754" s="66"/>
    </row>
    <row r="1755" spans="1:3" x14ac:dyDescent="0.2">
      <c r="A1755" s="66"/>
      <c r="C1755" s="66"/>
    </row>
    <row r="1756" spans="1:3" x14ac:dyDescent="0.2">
      <c r="A1756" s="66"/>
      <c r="C1756" s="66"/>
    </row>
    <row r="1757" spans="1:3" x14ac:dyDescent="0.2">
      <c r="A1757" s="66"/>
      <c r="C1757" s="66"/>
    </row>
    <row r="1758" spans="1:3" x14ac:dyDescent="0.2">
      <c r="A1758" s="66"/>
      <c r="C1758" s="66"/>
    </row>
    <row r="1759" spans="1:3" x14ac:dyDescent="0.2">
      <c r="A1759" s="66"/>
      <c r="C1759" s="66"/>
    </row>
    <row r="1760" spans="1:3" x14ac:dyDescent="0.2">
      <c r="A1760" s="66"/>
      <c r="C1760" s="66"/>
    </row>
    <row r="1761" spans="1:6" x14ac:dyDescent="0.2">
      <c r="A1761" s="66"/>
      <c r="C1761" s="66"/>
      <c r="F1761" s="51"/>
    </row>
    <row r="1762" spans="1:6" x14ac:dyDescent="0.2">
      <c r="A1762" s="66"/>
      <c r="C1762" s="66"/>
    </row>
    <row r="1763" spans="1:6" x14ac:dyDescent="0.2">
      <c r="A1763" s="66"/>
      <c r="C1763" s="66"/>
    </row>
    <row r="1764" spans="1:6" x14ac:dyDescent="0.2">
      <c r="A1764" s="66"/>
      <c r="C1764" s="66"/>
    </row>
    <row r="1765" spans="1:6" x14ac:dyDescent="0.2">
      <c r="A1765" s="66"/>
      <c r="C1765" s="66"/>
    </row>
    <row r="1766" spans="1:6" x14ac:dyDescent="0.2">
      <c r="A1766" s="78"/>
      <c r="C1766" s="78"/>
    </row>
    <row r="1767" spans="1:6" x14ac:dyDescent="0.2">
      <c r="A1767" s="78"/>
      <c r="C1767" s="78"/>
    </row>
    <row r="1768" spans="1:6" x14ac:dyDescent="0.2">
      <c r="A1768" s="78"/>
      <c r="C1768" s="78"/>
    </row>
    <row r="1769" spans="1:6" x14ac:dyDescent="0.2">
      <c r="A1769" s="78"/>
      <c r="C1769" s="78"/>
    </row>
    <row r="1770" spans="1:6" x14ac:dyDescent="0.2">
      <c r="A1770" s="78"/>
      <c r="C1770" s="78"/>
    </row>
    <row r="1771" spans="1:6" x14ac:dyDescent="0.2">
      <c r="A1771" s="78"/>
      <c r="C1771" s="78"/>
    </row>
    <row r="1772" spans="1:6" x14ac:dyDescent="0.2">
      <c r="A1772" s="78"/>
      <c r="C1772" s="78"/>
    </row>
    <row r="1773" spans="1:6" x14ac:dyDescent="0.2">
      <c r="A1773" s="78"/>
      <c r="C1773" s="78"/>
    </row>
    <row r="1774" spans="1:6" x14ac:dyDescent="0.2">
      <c r="A1774" s="78"/>
      <c r="C1774" s="78"/>
    </row>
    <row r="1775" spans="1:6" x14ac:dyDescent="0.2">
      <c r="A1775" s="78"/>
      <c r="C1775" s="78"/>
    </row>
    <row r="1776" spans="1:6" x14ac:dyDescent="0.2">
      <c r="A1776" s="78"/>
      <c r="C1776" s="78"/>
    </row>
    <row r="1777" spans="1:6" x14ac:dyDescent="0.2">
      <c r="A1777" s="78"/>
      <c r="C1777" s="78"/>
    </row>
    <row r="1778" spans="1:6" x14ac:dyDescent="0.2">
      <c r="A1778" s="78"/>
      <c r="C1778" s="78"/>
    </row>
    <row r="1779" spans="1:6" x14ac:dyDescent="0.2">
      <c r="A1779" s="78"/>
      <c r="C1779" s="78"/>
    </row>
    <row r="1780" spans="1:6" x14ac:dyDescent="0.2">
      <c r="A1780" s="78"/>
      <c r="C1780" s="78"/>
    </row>
    <row r="1781" spans="1:6" x14ac:dyDescent="0.2">
      <c r="A1781" s="78"/>
      <c r="C1781" s="78"/>
    </row>
    <row r="1782" spans="1:6" x14ac:dyDescent="0.2">
      <c r="A1782" s="78"/>
      <c r="C1782" s="78"/>
    </row>
    <row r="1783" spans="1:6" x14ac:dyDescent="0.2">
      <c r="A1783" s="78"/>
      <c r="C1783" s="78"/>
    </row>
    <row r="1784" spans="1:6" x14ac:dyDescent="0.2">
      <c r="A1784" s="78"/>
      <c r="C1784" s="78"/>
    </row>
    <row r="1785" spans="1:6" x14ac:dyDescent="0.2">
      <c r="A1785" s="78"/>
      <c r="C1785" s="78"/>
    </row>
    <row r="1786" spans="1:6" x14ac:dyDescent="0.2">
      <c r="A1786" s="78"/>
      <c r="C1786" s="78"/>
    </row>
    <row r="1787" spans="1:6" x14ac:dyDescent="0.2">
      <c r="A1787" s="78"/>
      <c r="C1787" s="78"/>
    </row>
    <row r="1788" spans="1:6" x14ac:dyDescent="0.2">
      <c r="A1788" s="78"/>
      <c r="C1788" s="78"/>
    </row>
    <row r="1791" spans="1:6" x14ac:dyDescent="0.2">
      <c r="F1791" s="50"/>
    </row>
    <row r="1792" spans="1:6" x14ac:dyDescent="0.2">
      <c r="F1792" s="50"/>
    </row>
    <row r="1793" spans="1:6" x14ac:dyDescent="0.2">
      <c r="F1793" s="50"/>
    </row>
    <row r="1794" spans="1:6" x14ac:dyDescent="0.2">
      <c r="F1794" s="50"/>
    </row>
    <row r="1795" spans="1:6" x14ac:dyDescent="0.2">
      <c r="F1795" s="50"/>
    </row>
    <row r="1796" spans="1:6" x14ac:dyDescent="0.2">
      <c r="F1796" s="50"/>
    </row>
    <row r="1797" spans="1:6" x14ac:dyDescent="0.2">
      <c r="F1797" s="50"/>
    </row>
    <row r="1798" spans="1:6" x14ac:dyDescent="0.2">
      <c r="A1798" s="66"/>
      <c r="C1798" s="66"/>
    </row>
    <row r="1799" spans="1:6" x14ac:dyDescent="0.2">
      <c r="A1799" s="66"/>
      <c r="C1799" s="66"/>
    </row>
    <row r="1800" spans="1:6" x14ac:dyDescent="0.2">
      <c r="F1800" s="50"/>
    </row>
    <row r="1801" spans="1:6" x14ac:dyDescent="0.2">
      <c r="F1801" s="50"/>
    </row>
    <row r="1802" spans="1:6" x14ac:dyDescent="0.2">
      <c r="F1802" s="50"/>
    </row>
    <row r="1803" spans="1:6" x14ac:dyDescent="0.2">
      <c r="F1803" s="50"/>
    </row>
    <row r="1804" spans="1:6" x14ac:dyDescent="0.2">
      <c r="F1804" s="50"/>
    </row>
    <row r="1805" spans="1:6" x14ac:dyDescent="0.2">
      <c r="F1805" s="50"/>
    </row>
    <row r="1806" spans="1:6" x14ac:dyDescent="0.2">
      <c r="F1806" s="50"/>
    </row>
    <row r="1807" spans="1:6" x14ac:dyDescent="0.2">
      <c r="F1807" s="50"/>
    </row>
    <row r="1808" spans="1:6" x14ac:dyDescent="0.2">
      <c r="F1808" s="50"/>
    </row>
    <row r="1809" spans="6:8" x14ac:dyDescent="0.2">
      <c r="F1809" s="50"/>
    </row>
    <row r="1810" spans="6:8" x14ac:dyDescent="0.2">
      <c r="F1810" s="50"/>
    </row>
    <row r="1811" spans="6:8" x14ac:dyDescent="0.2">
      <c r="F1811" s="50"/>
    </row>
    <row r="1812" spans="6:8" x14ac:dyDescent="0.2">
      <c r="F1812" s="50"/>
    </row>
    <row r="1813" spans="6:8" x14ac:dyDescent="0.2">
      <c r="F1813" s="50"/>
    </row>
    <row r="1814" spans="6:8" x14ac:dyDescent="0.2">
      <c r="F1814" s="50"/>
    </row>
    <row r="1815" spans="6:8" x14ac:dyDescent="0.2">
      <c r="F1815" s="50"/>
    </row>
    <row r="1816" spans="6:8" x14ac:dyDescent="0.2">
      <c r="F1816" s="50"/>
    </row>
    <row r="1817" spans="6:8" x14ac:dyDescent="0.2">
      <c r="F1817" s="50"/>
    </row>
    <row r="1818" spans="6:8" x14ac:dyDescent="0.2">
      <c r="F1818" s="50"/>
    </row>
    <row r="1819" spans="6:8" x14ac:dyDescent="0.2">
      <c r="F1819" s="50"/>
      <c r="H1819"/>
    </row>
    <row r="1820" spans="6:8" x14ac:dyDescent="0.2">
      <c r="F1820" s="50"/>
    </row>
    <row r="1821" spans="6:8" x14ac:dyDescent="0.2">
      <c r="F1821" s="50"/>
    </row>
    <row r="1822" spans="6:8" x14ac:dyDescent="0.2">
      <c r="F1822" s="50"/>
    </row>
    <row r="1823" spans="6:8" x14ac:dyDescent="0.2">
      <c r="F1823" s="50"/>
    </row>
    <row r="1824" spans="6:8" x14ac:dyDescent="0.2">
      <c r="F1824" s="50"/>
    </row>
    <row r="1825" spans="6:6" x14ac:dyDescent="0.2">
      <c r="F1825" s="50"/>
    </row>
    <row r="1826" spans="6:6" x14ac:dyDescent="0.2">
      <c r="F1826" s="50"/>
    </row>
    <row r="1827" spans="6:6" x14ac:dyDescent="0.2">
      <c r="F1827" s="50"/>
    </row>
    <row r="1828" spans="6:6" x14ac:dyDescent="0.2">
      <c r="F1828" s="50"/>
    </row>
    <row r="1829" spans="6:6" x14ac:dyDescent="0.2">
      <c r="F1829" s="50"/>
    </row>
    <row r="1830" spans="6:6" x14ac:dyDescent="0.2">
      <c r="F1830" s="50"/>
    </row>
    <row r="1831" spans="6:6" x14ac:dyDescent="0.2">
      <c r="F1831" s="50"/>
    </row>
    <row r="1832" spans="6:6" x14ac:dyDescent="0.2">
      <c r="F1832" s="50"/>
    </row>
    <row r="1833" spans="6:6" x14ac:dyDescent="0.2">
      <c r="F1833" s="50"/>
    </row>
    <row r="1834" spans="6:6" x14ac:dyDescent="0.2">
      <c r="F1834" s="50"/>
    </row>
    <row r="1835" spans="6:6" x14ac:dyDescent="0.2">
      <c r="F1835" s="50"/>
    </row>
    <row r="1838" spans="6:6" x14ac:dyDescent="0.2">
      <c r="F1838" s="50"/>
    </row>
    <row r="1839" spans="6:6" x14ac:dyDescent="0.2">
      <c r="F1839" s="50"/>
    </row>
    <row r="1840" spans="6:6" x14ac:dyDescent="0.2">
      <c r="F1840" s="50"/>
    </row>
    <row r="1841" spans="6:6" x14ac:dyDescent="0.2">
      <c r="F1841" s="50"/>
    </row>
    <row r="1842" spans="6:6" x14ac:dyDescent="0.2">
      <c r="F1842" s="50"/>
    </row>
    <row r="1843" spans="6:6" x14ac:dyDescent="0.2">
      <c r="F1843" s="50"/>
    </row>
    <row r="1844" spans="6:6" x14ac:dyDescent="0.2">
      <c r="F1844" s="50"/>
    </row>
    <row r="1845" spans="6:6" x14ac:dyDescent="0.2">
      <c r="F1845" s="50"/>
    </row>
    <row r="1846" spans="6:6" x14ac:dyDescent="0.2">
      <c r="F1846" s="50"/>
    </row>
    <row r="1847" spans="6:6" x14ac:dyDescent="0.2">
      <c r="F1847" s="50"/>
    </row>
    <row r="1848" spans="6:6" x14ac:dyDescent="0.2">
      <c r="F1848" s="50"/>
    </row>
    <row r="1849" spans="6:6" x14ac:dyDescent="0.2">
      <c r="F1849" s="50"/>
    </row>
    <row r="1850" spans="6:6" x14ac:dyDescent="0.2">
      <c r="F1850" s="50"/>
    </row>
    <row r="1851" spans="6:6" x14ac:dyDescent="0.2">
      <c r="F1851" s="50"/>
    </row>
    <row r="1852" spans="6:6" x14ac:dyDescent="0.2">
      <c r="F1852" s="50"/>
    </row>
    <row r="1853" spans="6:6" x14ac:dyDescent="0.2">
      <c r="F1853" s="50"/>
    </row>
    <row r="1854" spans="6:6" x14ac:dyDescent="0.2">
      <c r="F1854" s="50"/>
    </row>
    <row r="1855" spans="6:6" x14ac:dyDescent="0.2">
      <c r="F1855" s="50"/>
    </row>
    <row r="1856" spans="6:6" x14ac:dyDescent="0.2">
      <c r="F1856" s="50"/>
    </row>
    <row r="1857" spans="6:6" x14ac:dyDescent="0.2">
      <c r="F1857" s="50"/>
    </row>
    <row r="1858" spans="6:6" x14ac:dyDescent="0.2">
      <c r="F1858" s="50"/>
    </row>
    <row r="1859" spans="6:6" x14ac:dyDescent="0.2">
      <c r="F1859" s="50"/>
    </row>
    <row r="1860" spans="6:6" x14ac:dyDescent="0.2">
      <c r="F1860" s="50"/>
    </row>
    <row r="1861" spans="6:6" x14ac:dyDescent="0.2">
      <c r="F1861" s="50"/>
    </row>
    <row r="1862" spans="6:6" x14ac:dyDescent="0.2">
      <c r="F1862" s="50"/>
    </row>
    <row r="1863" spans="6:6" x14ac:dyDescent="0.2">
      <c r="F1863" s="50"/>
    </row>
    <row r="1864" spans="6:6" x14ac:dyDescent="0.2">
      <c r="F1864" s="50"/>
    </row>
    <row r="1865" spans="6:6" x14ac:dyDescent="0.2">
      <c r="F1865" s="50"/>
    </row>
    <row r="1866" spans="6:6" x14ac:dyDescent="0.2">
      <c r="F1866" s="50"/>
    </row>
    <row r="1867" spans="6:6" x14ac:dyDescent="0.2">
      <c r="F1867" s="50"/>
    </row>
    <row r="1868" spans="6:6" x14ac:dyDescent="0.2">
      <c r="F1868" s="50"/>
    </row>
    <row r="1869" spans="6:6" x14ac:dyDescent="0.2">
      <c r="F1869" s="50"/>
    </row>
    <row r="1870" spans="6:6" x14ac:dyDescent="0.2">
      <c r="F1870" s="50"/>
    </row>
    <row r="1871" spans="6:6" x14ac:dyDescent="0.2">
      <c r="F1871" s="50"/>
    </row>
    <row r="1872" spans="6:6" x14ac:dyDescent="0.2">
      <c r="F1872" s="50"/>
    </row>
    <row r="1873" spans="6:6" x14ac:dyDescent="0.2">
      <c r="F1873" s="50"/>
    </row>
    <row r="1874" spans="6:6" x14ac:dyDescent="0.2">
      <c r="F1874" s="50"/>
    </row>
    <row r="1875" spans="6:6" x14ac:dyDescent="0.2">
      <c r="F1875" s="50"/>
    </row>
    <row r="1876" spans="6:6" x14ac:dyDescent="0.2">
      <c r="F1876" s="50"/>
    </row>
    <row r="1877" spans="6:6" x14ac:dyDescent="0.2">
      <c r="F1877" s="50"/>
    </row>
    <row r="1878" spans="6:6" x14ac:dyDescent="0.2">
      <c r="F1878" s="50"/>
    </row>
    <row r="1879" spans="6:6" x14ac:dyDescent="0.2">
      <c r="F1879" s="50"/>
    </row>
    <row r="1880" spans="6:6" x14ac:dyDescent="0.2">
      <c r="F1880" s="50"/>
    </row>
    <row r="1881" spans="6:6" x14ac:dyDescent="0.2">
      <c r="F1881" s="50"/>
    </row>
    <row r="1882" spans="6:6" x14ac:dyDescent="0.2">
      <c r="F1882" s="50"/>
    </row>
    <row r="1883" spans="6:6" x14ac:dyDescent="0.2">
      <c r="F1883" s="50"/>
    </row>
    <row r="1884" spans="6:6" x14ac:dyDescent="0.2">
      <c r="F1884" s="50"/>
    </row>
    <row r="1885" spans="6:6" x14ac:dyDescent="0.2">
      <c r="F1885" s="50"/>
    </row>
    <row r="1886" spans="6:6" x14ac:dyDescent="0.2">
      <c r="F1886" s="50"/>
    </row>
    <row r="1887" spans="6:6" x14ac:dyDescent="0.2">
      <c r="F1887" s="50"/>
    </row>
    <row r="1888" spans="6:6" x14ac:dyDescent="0.2">
      <c r="F1888" s="50"/>
    </row>
    <row r="1889" spans="6:6" x14ac:dyDescent="0.2">
      <c r="F1889" s="50"/>
    </row>
    <row r="1890" spans="6:6" x14ac:dyDescent="0.2">
      <c r="F1890" s="50"/>
    </row>
    <row r="1891" spans="6:6" x14ac:dyDescent="0.2">
      <c r="F1891" s="50"/>
    </row>
    <row r="1892" spans="6:6" x14ac:dyDescent="0.2">
      <c r="F1892" s="50"/>
    </row>
    <row r="1893" spans="6:6" x14ac:dyDescent="0.2">
      <c r="F1893" s="50"/>
    </row>
    <row r="1894" spans="6:6" x14ac:dyDescent="0.2">
      <c r="F1894" s="50"/>
    </row>
    <row r="1895" spans="6:6" x14ac:dyDescent="0.2">
      <c r="F1895" s="50"/>
    </row>
    <row r="1896" spans="6:6" x14ac:dyDescent="0.2">
      <c r="F1896" s="50"/>
    </row>
    <row r="1897" spans="6:6" x14ac:dyDescent="0.2">
      <c r="F1897" s="50"/>
    </row>
    <row r="1898" spans="6:6" x14ac:dyDescent="0.2">
      <c r="F1898" s="50"/>
    </row>
    <row r="1899" spans="6:6" x14ac:dyDescent="0.2">
      <c r="F1899" s="50"/>
    </row>
    <row r="1900" spans="6:6" x14ac:dyDescent="0.2">
      <c r="F1900" s="50"/>
    </row>
    <row r="1901" spans="6:6" x14ac:dyDescent="0.2">
      <c r="F1901" s="50"/>
    </row>
    <row r="1902" spans="6:6" x14ac:dyDescent="0.2">
      <c r="F1902" s="50"/>
    </row>
    <row r="1903" spans="6:6" x14ac:dyDescent="0.2">
      <c r="F1903" s="50"/>
    </row>
    <row r="1904" spans="6:6" x14ac:dyDescent="0.2">
      <c r="F1904" s="50"/>
    </row>
    <row r="1905" spans="6:6" x14ac:dyDescent="0.2">
      <c r="F1905" s="50"/>
    </row>
    <row r="1906" spans="6:6" x14ac:dyDescent="0.2">
      <c r="F1906" s="50"/>
    </row>
    <row r="1907" spans="6:6" x14ac:dyDescent="0.2">
      <c r="F1907" s="50"/>
    </row>
    <row r="1908" spans="6:6" x14ac:dyDescent="0.2">
      <c r="F1908" s="50"/>
    </row>
    <row r="1909" spans="6:6" x14ac:dyDescent="0.2">
      <c r="F1909" s="50"/>
    </row>
    <row r="1910" spans="6:6" x14ac:dyDescent="0.2">
      <c r="F1910" s="50"/>
    </row>
    <row r="1911" spans="6:6" x14ac:dyDescent="0.2">
      <c r="F1911" s="50"/>
    </row>
    <row r="1912" spans="6:6" x14ac:dyDescent="0.2">
      <c r="F1912" s="50"/>
    </row>
    <row r="1913" spans="6:6" x14ac:dyDescent="0.2">
      <c r="F1913" s="50"/>
    </row>
    <row r="1914" spans="6:6" x14ac:dyDescent="0.2">
      <c r="F1914" s="50"/>
    </row>
    <row r="1915" spans="6:6" x14ac:dyDescent="0.2">
      <c r="F1915" s="50"/>
    </row>
    <row r="1916" spans="6:6" x14ac:dyDescent="0.2">
      <c r="F1916" s="50"/>
    </row>
    <row r="1917" spans="6:6" x14ac:dyDescent="0.2">
      <c r="F1917" s="50"/>
    </row>
    <row r="1918" spans="6:6" x14ac:dyDescent="0.2">
      <c r="F1918" s="50"/>
    </row>
    <row r="1919" spans="6:6" x14ac:dyDescent="0.2">
      <c r="F1919" s="50"/>
    </row>
    <row r="1920" spans="6:6" x14ac:dyDescent="0.2">
      <c r="F1920" s="50"/>
    </row>
    <row r="1921" spans="6:8" x14ac:dyDescent="0.2">
      <c r="F1921" s="50"/>
    </row>
    <row r="1922" spans="6:8" x14ac:dyDescent="0.2">
      <c r="F1922" s="50"/>
    </row>
    <row r="1923" spans="6:8" x14ac:dyDescent="0.2">
      <c r="F1923" s="50"/>
    </row>
    <row r="1924" spans="6:8" x14ac:dyDescent="0.2">
      <c r="F1924" s="50"/>
    </row>
    <row r="1925" spans="6:8" x14ac:dyDescent="0.2">
      <c r="F1925" s="50"/>
    </row>
    <row r="1926" spans="6:8" x14ac:dyDescent="0.2">
      <c r="F1926" s="50"/>
    </row>
    <row r="1927" spans="6:8" x14ac:dyDescent="0.2">
      <c r="F1927" s="50"/>
    </row>
    <row r="1928" spans="6:8" x14ac:dyDescent="0.2">
      <c r="F1928" s="50"/>
    </row>
    <row r="1929" spans="6:8" x14ac:dyDescent="0.2">
      <c r="F1929" s="50"/>
    </row>
    <row r="1930" spans="6:8" x14ac:dyDescent="0.2">
      <c r="F1930" s="50"/>
    </row>
    <row r="1931" spans="6:8" x14ac:dyDescent="0.2">
      <c r="F1931" s="50"/>
    </row>
    <row r="1932" spans="6:8" x14ac:dyDescent="0.2">
      <c r="F1932" s="50"/>
    </row>
    <row r="1933" spans="6:8" ht="15" x14ac:dyDescent="0.25">
      <c r="F1933" s="50"/>
      <c r="H1933" s="62"/>
    </row>
    <row r="1934" spans="6:8" x14ac:dyDescent="0.2">
      <c r="F1934" s="50"/>
    </row>
    <row r="1935" spans="6:8" x14ac:dyDescent="0.2">
      <c r="F1935" s="50"/>
    </row>
    <row r="1936" spans="6:8" x14ac:dyDescent="0.2">
      <c r="F1936" s="50"/>
    </row>
    <row r="1937" spans="6:8" x14ac:dyDescent="0.2">
      <c r="F1937" s="50"/>
    </row>
    <row r="1938" spans="6:8" x14ac:dyDescent="0.2">
      <c r="F1938" s="50"/>
    </row>
    <row r="1939" spans="6:8" x14ac:dyDescent="0.2">
      <c r="F1939" s="50"/>
    </row>
    <row r="1940" spans="6:8" x14ac:dyDescent="0.2">
      <c r="F1940" s="50"/>
    </row>
    <row r="1941" spans="6:8" x14ac:dyDescent="0.2">
      <c r="F1941" s="50"/>
    </row>
    <row r="1942" spans="6:8" x14ac:dyDescent="0.2">
      <c r="F1942" s="50"/>
    </row>
    <row r="1943" spans="6:8" x14ac:dyDescent="0.2">
      <c r="F1943" s="50"/>
    </row>
    <row r="1944" spans="6:8" x14ac:dyDescent="0.2">
      <c r="F1944" s="50"/>
    </row>
    <row r="1945" spans="6:8" x14ac:dyDescent="0.2">
      <c r="F1945" s="50"/>
    </row>
    <row r="1946" spans="6:8" x14ac:dyDescent="0.2">
      <c r="F1946" s="50"/>
    </row>
    <row r="1947" spans="6:8" x14ac:dyDescent="0.2">
      <c r="F1947" s="50"/>
    </row>
    <row r="1948" spans="6:8" x14ac:dyDescent="0.2">
      <c r="F1948" s="50"/>
    </row>
    <row r="1949" spans="6:8" x14ac:dyDescent="0.2">
      <c r="F1949" s="50"/>
    </row>
    <row r="1950" spans="6:8" ht="15" x14ac:dyDescent="0.25">
      <c r="F1950" s="50"/>
      <c r="H1950" s="69"/>
    </row>
    <row r="1951" spans="6:8" x14ac:dyDescent="0.2">
      <c r="F1951" s="50"/>
    </row>
    <row r="1952" spans="6:8" x14ac:dyDescent="0.2">
      <c r="F1952" s="50"/>
    </row>
    <row r="1953" spans="1:6" x14ac:dyDescent="0.2">
      <c r="F1953" s="50"/>
    </row>
    <row r="1954" spans="1:6" x14ac:dyDescent="0.2">
      <c r="F1954" s="50"/>
    </row>
    <row r="1955" spans="1:6" x14ac:dyDescent="0.2">
      <c r="F1955" s="50"/>
    </row>
    <row r="1956" spans="1:6" x14ac:dyDescent="0.2">
      <c r="F1956" s="50"/>
    </row>
    <row r="1957" spans="1:6" x14ac:dyDescent="0.2">
      <c r="F1957" s="50"/>
    </row>
    <row r="1958" spans="1:6" x14ac:dyDescent="0.2">
      <c r="F1958" s="50"/>
    </row>
    <row r="1959" spans="1:6" x14ac:dyDescent="0.2">
      <c r="F1959" s="50"/>
    </row>
    <row r="1960" spans="1:6" x14ac:dyDescent="0.2">
      <c r="F1960" s="50"/>
    </row>
    <row r="1961" spans="1:6" x14ac:dyDescent="0.2">
      <c r="F1961" s="50"/>
    </row>
    <row r="1962" spans="1:6" x14ac:dyDescent="0.2">
      <c r="F1962" s="50"/>
    </row>
    <row r="1963" spans="1:6" x14ac:dyDescent="0.2">
      <c r="F1963" s="50"/>
    </row>
    <row r="1964" spans="1:6" x14ac:dyDescent="0.2">
      <c r="F1964" s="50"/>
    </row>
    <row r="1965" spans="1:6" x14ac:dyDescent="0.2">
      <c r="A1965" s="55"/>
      <c r="C1965" s="55"/>
    </row>
    <row r="1966" spans="1:6" x14ac:dyDescent="0.2">
      <c r="F1966" s="50"/>
    </row>
    <row r="1967" spans="1:6" x14ac:dyDescent="0.2">
      <c r="F1967" s="50"/>
    </row>
    <row r="1968" spans="1:6" x14ac:dyDescent="0.2">
      <c r="F1968" s="50"/>
    </row>
    <row r="1969" spans="6:8" x14ac:dyDescent="0.2">
      <c r="F1969" s="50"/>
    </row>
    <row r="1970" spans="6:8" x14ac:dyDescent="0.2">
      <c r="F1970" s="50"/>
      <c r="H1970"/>
    </row>
    <row r="1971" spans="6:8" x14ac:dyDescent="0.2">
      <c r="F1971" s="50"/>
    </row>
    <row r="1972" spans="6:8" x14ac:dyDescent="0.2">
      <c r="F1972" s="50"/>
    </row>
    <row r="1973" spans="6:8" x14ac:dyDescent="0.2">
      <c r="F1973" s="50"/>
    </row>
    <row r="1974" spans="6:8" x14ac:dyDescent="0.2">
      <c r="F1974" s="50"/>
    </row>
    <row r="1975" spans="6:8" x14ac:dyDescent="0.2">
      <c r="F1975" s="50"/>
    </row>
    <row r="1976" spans="6:8" x14ac:dyDescent="0.2">
      <c r="F1976" s="50"/>
    </row>
    <row r="1977" spans="6:8" x14ac:dyDescent="0.2">
      <c r="F1977" s="50"/>
    </row>
    <row r="1978" spans="6:8" x14ac:dyDescent="0.2">
      <c r="F1978" s="50"/>
    </row>
    <row r="1979" spans="6:8" x14ac:dyDescent="0.2">
      <c r="F1979" s="50"/>
    </row>
    <row r="1980" spans="6:8" x14ac:dyDescent="0.2">
      <c r="F1980" s="50"/>
    </row>
    <row r="1981" spans="6:8" x14ac:dyDescent="0.2">
      <c r="F1981" s="50"/>
    </row>
    <row r="1982" spans="6:8" x14ac:dyDescent="0.2">
      <c r="F1982" s="50"/>
    </row>
    <row r="1983" spans="6:8" x14ac:dyDescent="0.2">
      <c r="F1983" s="50"/>
    </row>
    <row r="1984" spans="6:8" x14ac:dyDescent="0.2">
      <c r="F1984" s="50"/>
    </row>
    <row r="1985" spans="6:9" x14ac:dyDescent="0.2">
      <c r="I1985" s="56"/>
    </row>
    <row r="1989" spans="6:9" x14ac:dyDescent="0.2">
      <c r="F1989" s="50"/>
    </row>
    <row r="2002" spans="6:6" x14ac:dyDescent="0.2">
      <c r="F2002" s="50"/>
    </row>
    <row r="2003" spans="6:6" x14ac:dyDescent="0.2">
      <c r="F2003" s="50"/>
    </row>
    <row r="2004" spans="6:6" x14ac:dyDescent="0.2">
      <c r="F2004" s="50"/>
    </row>
    <row r="2005" spans="6:6" x14ac:dyDescent="0.2">
      <c r="F2005" s="50"/>
    </row>
    <row r="2006" spans="6:6" x14ac:dyDescent="0.2">
      <c r="F2006" s="50"/>
    </row>
    <row r="2007" spans="6:6" x14ac:dyDescent="0.2">
      <c r="F2007" s="50"/>
    </row>
    <row r="2008" spans="6:6" x14ac:dyDescent="0.2">
      <c r="F2008" s="50"/>
    </row>
    <row r="2009" spans="6:6" x14ac:dyDescent="0.2">
      <c r="F2009" s="50"/>
    </row>
    <row r="2010" spans="6:6" x14ac:dyDescent="0.2">
      <c r="F2010" s="50"/>
    </row>
    <row r="2011" spans="6:6" x14ac:dyDescent="0.2">
      <c r="F2011" s="50"/>
    </row>
    <row r="2012" spans="6:6" x14ac:dyDescent="0.2">
      <c r="F2012" s="50"/>
    </row>
    <row r="2013" spans="6:6" x14ac:dyDescent="0.2">
      <c r="F2013" s="50"/>
    </row>
    <row r="2014" spans="6:6" x14ac:dyDescent="0.2">
      <c r="F2014" s="50"/>
    </row>
    <row r="2015" spans="6:6" x14ac:dyDescent="0.2">
      <c r="F2015" s="50"/>
    </row>
    <row r="2016" spans="6:6" x14ac:dyDescent="0.2">
      <c r="F2016" s="50"/>
    </row>
    <row r="2017" spans="6:6" x14ac:dyDescent="0.2">
      <c r="F2017" s="50"/>
    </row>
    <row r="2018" spans="6:6" x14ac:dyDescent="0.2">
      <c r="F2018" s="50"/>
    </row>
    <row r="2022" spans="6:6" x14ac:dyDescent="0.2">
      <c r="F2022" s="50"/>
    </row>
    <row r="2023" spans="6:6" x14ac:dyDescent="0.2">
      <c r="F2023" s="50"/>
    </row>
    <row r="2024" spans="6:6" x14ac:dyDescent="0.2">
      <c r="F2024" s="50"/>
    </row>
    <row r="2025" spans="6:6" x14ac:dyDescent="0.2">
      <c r="F2025" s="50"/>
    </row>
    <row r="2026" spans="6:6" x14ac:dyDescent="0.2">
      <c r="F2026" s="50"/>
    </row>
    <row r="2027" spans="6:6" x14ac:dyDescent="0.2">
      <c r="F2027" s="50"/>
    </row>
    <row r="2028" spans="6:6" x14ac:dyDescent="0.2">
      <c r="F2028" s="50"/>
    </row>
    <row r="2029" spans="6:6" x14ac:dyDescent="0.2">
      <c r="F2029" s="50"/>
    </row>
    <row r="2030" spans="6:6" x14ac:dyDescent="0.2">
      <c r="F2030" s="50"/>
    </row>
    <row r="2032" spans="6:6" x14ac:dyDescent="0.2">
      <c r="F2032" s="50"/>
    </row>
    <row r="2033" spans="6:6" x14ac:dyDescent="0.2">
      <c r="F2033" s="50"/>
    </row>
    <row r="2034" spans="6:6" x14ac:dyDescent="0.2">
      <c r="F2034" s="50"/>
    </row>
    <row r="2035" spans="6:6" x14ac:dyDescent="0.2">
      <c r="F2035" s="50"/>
    </row>
    <row r="2036" spans="6:6" x14ac:dyDescent="0.2">
      <c r="F2036" s="50"/>
    </row>
    <row r="2037" spans="6:6" x14ac:dyDescent="0.2">
      <c r="F2037" s="50"/>
    </row>
    <row r="2038" spans="6:6" x14ac:dyDescent="0.2">
      <c r="F2038" s="50"/>
    </row>
    <row r="2039" spans="6:6" x14ac:dyDescent="0.2">
      <c r="F2039" s="50"/>
    </row>
    <row r="2040" spans="6:6" x14ac:dyDescent="0.2">
      <c r="F2040" s="50"/>
    </row>
    <row r="2041" spans="6:6" x14ac:dyDescent="0.2">
      <c r="F2041" s="50"/>
    </row>
    <row r="2042" spans="6:6" x14ac:dyDescent="0.2">
      <c r="F2042" s="50"/>
    </row>
    <row r="2043" spans="6:6" x14ac:dyDescent="0.2">
      <c r="F2043" s="50"/>
    </row>
    <row r="2044" spans="6:6" x14ac:dyDescent="0.2">
      <c r="F2044" s="50"/>
    </row>
    <row r="2045" spans="6:6" x14ac:dyDescent="0.2">
      <c r="F2045" s="50"/>
    </row>
    <row r="2046" spans="6:6" x14ac:dyDescent="0.2">
      <c r="F2046" s="50"/>
    </row>
    <row r="2047" spans="6:6" x14ac:dyDescent="0.2">
      <c r="F2047" s="50"/>
    </row>
    <row r="2048" spans="6:6" x14ac:dyDescent="0.2">
      <c r="F2048" s="50"/>
    </row>
    <row r="2049" spans="6:6" x14ac:dyDescent="0.2">
      <c r="F2049" s="50"/>
    </row>
    <row r="2050" spans="6:6" x14ac:dyDescent="0.2">
      <c r="F2050" s="50"/>
    </row>
    <row r="2051" spans="6:6" x14ac:dyDescent="0.2">
      <c r="F2051" s="50"/>
    </row>
    <row r="2052" spans="6:6" x14ac:dyDescent="0.2">
      <c r="F2052" s="50"/>
    </row>
    <row r="2053" spans="6:6" x14ac:dyDescent="0.2">
      <c r="F2053" s="50"/>
    </row>
    <row r="2054" spans="6:6" x14ac:dyDescent="0.2">
      <c r="F2054" s="50"/>
    </row>
    <row r="2055" spans="6:6" x14ac:dyDescent="0.2">
      <c r="F2055" s="50"/>
    </row>
    <row r="2056" spans="6:6" x14ac:dyDescent="0.2">
      <c r="F2056" s="50"/>
    </row>
    <row r="2057" spans="6:6" x14ac:dyDescent="0.2">
      <c r="F2057" s="50"/>
    </row>
    <row r="2058" spans="6:6" x14ac:dyDescent="0.2">
      <c r="F2058" s="50"/>
    </row>
    <row r="2059" spans="6:6" x14ac:dyDescent="0.2">
      <c r="F2059" s="50"/>
    </row>
    <row r="2060" spans="6:6" x14ac:dyDescent="0.2">
      <c r="F2060" s="50"/>
    </row>
    <row r="2061" spans="6:6" x14ac:dyDescent="0.2">
      <c r="F2061" s="50"/>
    </row>
    <row r="2062" spans="6:6" x14ac:dyDescent="0.2">
      <c r="F2062" s="50"/>
    </row>
    <row r="2063" spans="6:6" x14ac:dyDescent="0.2">
      <c r="F2063" s="50"/>
    </row>
    <row r="2064" spans="6:6" x14ac:dyDescent="0.2">
      <c r="F2064" s="50"/>
    </row>
    <row r="2065" spans="6:6" x14ac:dyDescent="0.2">
      <c r="F2065" s="50"/>
    </row>
    <row r="2066" spans="6:6" x14ac:dyDescent="0.2">
      <c r="F2066" s="50"/>
    </row>
    <row r="2067" spans="6:6" x14ac:dyDescent="0.2">
      <c r="F2067" s="50"/>
    </row>
    <row r="2068" spans="6:6" x14ac:dyDescent="0.2">
      <c r="F2068" s="50"/>
    </row>
    <row r="2069" spans="6:6" x14ac:dyDescent="0.2">
      <c r="F2069" s="50"/>
    </row>
    <row r="2070" spans="6:6" x14ac:dyDescent="0.2">
      <c r="F2070" s="50"/>
    </row>
    <row r="2071" spans="6:6" x14ac:dyDescent="0.2">
      <c r="F2071" s="50"/>
    </row>
    <row r="2072" spans="6:6" x14ac:dyDescent="0.2">
      <c r="F2072" s="50"/>
    </row>
    <row r="2075" spans="6:6" x14ac:dyDescent="0.2">
      <c r="F2075" s="50"/>
    </row>
    <row r="2076" spans="6:6" x14ac:dyDescent="0.2">
      <c r="F2076" s="50"/>
    </row>
    <row r="2077" spans="6:6" x14ac:dyDescent="0.2">
      <c r="F2077" s="50"/>
    </row>
    <row r="2078" spans="6:6" x14ac:dyDescent="0.2">
      <c r="F2078" s="50"/>
    </row>
    <row r="2079" spans="6:6" x14ac:dyDescent="0.2">
      <c r="F2079" s="50"/>
    </row>
    <row r="2080" spans="6:6" x14ac:dyDescent="0.2">
      <c r="F2080" s="50"/>
    </row>
    <row r="2081" spans="6:6" x14ac:dyDescent="0.2">
      <c r="F2081" s="50"/>
    </row>
    <row r="2082" spans="6:6" x14ac:dyDescent="0.2">
      <c r="F2082" s="50"/>
    </row>
    <row r="2083" spans="6:6" x14ac:dyDescent="0.2">
      <c r="F2083" s="50"/>
    </row>
    <row r="2084" spans="6:6" x14ac:dyDescent="0.2">
      <c r="F2084" s="50"/>
    </row>
    <row r="2085" spans="6:6" x14ac:dyDescent="0.2">
      <c r="F2085" s="50"/>
    </row>
    <row r="2086" spans="6:6" x14ac:dyDescent="0.2">
      <c r="F2086" s="50"/>
    </row>
    <row r="2087" spans="6:6" x14ac:dyDescent="0.2">
      <c r="F2087" s="50"/>
    </row>
    <row r="2088" spans="6:6" x14ac:dyDescent="0.2">
      <c r="F2088" s="50"/>
    </row>
    <row r="2089" spans="6:6" x14ac:dyDescent="0.2">
      <c r="F2089" s="50"/>
    </row>
    <row r="2090" spans="6:6" x14ac:dyDescent="0.2">
      <c r="F2090" s="50"/>
    </row>
    <row r="2091" spans="6:6" x14ac:dyDescent="0.2">
      <c r="F2091" s="50"/>
    </row>
    <row r="2092" spans="6:6" x14ac:dyDescent="0.2">
      <c r="F2092" s="50"/>
    </row>
    <row r="2093" spans="6:6" x14ac:dyDescent="0.2">
      <c r="F2093" s="50"/>
    </row>
    <row r="2094" spans="6:6" x14ac:dyDescent="0.2">
      <c r="F2094" s="50"/>
    </row>
    <row r="2095" spans="6:6" x14ac:dyDescent="0.2">
      <c r="F2095" s="50"/>
    </row>
    <row r="2096" spans="6:6" x14ac:dyDescent="0.2">
      <c r="F2096" s="50"/>
    </row>
    <row r="2097" spans="6:6" x14ac:dyDescent="0.2">
      <c r="F2097" s="50"/>
    </row>
    <row r="2098" spans="6:6" x14ac:dyDescent="0.2">
      <c r="F2098" s="50"/>
    </row>
    <row r="2099" spans="6:6" x14ac:dyDescent="0.2">
      <c r="F2099" s="50"/>
    </row>
    <row r="2100" spans="6:6" x14ac:dyDescent="0.2">
      <c r="F2100" s="50"/>
    </row>
    <row r="2101" spans="6:6" x14ac:dyDescent="0.2">
      <c r="F2101" s="50"/>
    </row>
    <row r="2102" spans="6:6" x14ac:dyDescent="0.2">
      <c r="F2102" s="50"/>
    </row>
    <row r="2103" spans="6:6" x14ac:dyDescent="0.2">
      <c r="F2103" s="50"/>
    </row>
    <row r="2104" spans="6:6" x14ac:dyDescent="0.2">
      <c r="F2104" s="50"/>
    </row>
    <row r="2105" spans="6:6" x14ac:dyDescent="0.2">
      <c r="F2105" s="50"/>
    </row>
    <row r="2106" spans="6:6" x14ac:dyDescent="0.2">
      <c r="F2106" s="50"/>
    </row>
    <row r="2107" spans="6:6" x14ac:dyDescent="0.2">
      <c r="F2107" s="50"/>
    </row>
    <row r="2108" spans="6:6" x14ac:dyDescent="0.2">
      <c r="F2108" s="50"/>
    </row>
    <row r="2109" spans="6:6" x14ac:dyDescent="0.2">
      <c r="F2109" s="50"/>
    </row>
    <row r="2110" spans="6:6" x14ac:dyDescent="0.2">
      <c r="F2110" s="50"/>
    </row>
    <row r="2111" spans="6:6" x14ac:dyDescent="0.2">
      <c r="F2111" s="50"/>
    </row>
    <row r="2112" spans="6:6" x14ac:dyDescent="0.2">
      <c r="F2112" s="50"/>
    </row>
    <row r="2113" spans="6:6" x14ac:dyDescent="0.2">
      <c r="F2113" s="50"/>
    </row>
    <row r="2114" spans="6:6" x14ac:dyDescent="0.2">
      <c r="F2114" s="50"/>
    </row>
    <row r="2115" spans="6:6" x14ac:dyDescent="0.2">
      <c r="F2115" s="50"/>
    </row>
    <row r="2116" spans="6:6" x14ac:dyDescent="0.2">
      <c r="F2116" s="50"/>
    </row>
    <row r="2118" spans="6:6" x14ac:dyDescent="0.2">
      <c r="F2118" s="50"/>
    </row>
    <row r="2119" spans="6:6" x14ac:dyDescent="0.2">
      <c r="F2119" s="50"/>
    </row>
    <row r="2120" spans="6:6" x14ac:dyDescent="0.2">
      <c r="F2120" s="50"/>
    </row>
    <row r="2121" spans="6:6" x14ac:dyDescent="0.2">
      <c r="F2121" s="50"/>
    </row>
    <row r="2122" spans="6:6" x14ac:dyDescent="0.2">
      <c r="F2122" s="50"/>
    </row>
    <row r="2123" spans="6:6" x14ac:dyDescent="0.2">
      <c r="F2123" s="50"/>
    </row>
    <row r="2124" spans="6:6" x14ac:dyDescent="0.2">
      <c r="F2124" s="50"/>
    </row>
    <row r="2125" spans="6:6" x14ac:dyDescent="0.2">
      <c r="F2125" s="50"/>
    </row>
    <row r="2126" spans="6:6" x14ac:dyDescent="0.2">
      <c r="F2126" s="50"/>
    </row>
    <row r="2127" spans="6:6" x14ac:dyDescent="0.2">
      <c r="F2127" s="50"/>
    </row>
    <row r="2128" spans="6:6" x14ac:dyDescent="0.2">
      <c r="F2128" s="50"/>
    </row>
    <row r="2129" spans="6:6" x14ac:dyDescent="0.2">
      <c r="F2129" s="50"/>
    </row>
    <row r="2130" spans="6:6" x14ac:dyDescent="0.2">
      <c r="F2130" s="50"/>
    </row>
    <row r="2131" spans="6:6" x14ac:dyDescent="0.2">
      <c r="F2131" s="50"/>
    </row>
    <row r="2132" spans="6:6" x14ac:dyDescent="0.2">
      <c r="F2132" s="50"/>
    </row>
    <row r="2133" spans="6:6" x14ac:dyDescent="0.2">
      <c r="F2133" s="50"/>
    </row>
    <row r="2134" spans="6:6" x14ac:dyDescent="0.2">
      <c r="F2134" s="50"/>
    </row>
    <row r="2135" spans="6:6" x14ac:dyDescent="0.2">
      <c r="F2135" s="50"/>
    </row>
    <row r="2136" spans="6:6" x14ac:dyDescent="0.2">
      <c r="F2136" s="50"/>
    </row>
    <row r="2137" spans="6:6" x14ac:dyDescent="0.2">
      <c r="F2137" s="50"/>
    </row>
    <row r="2138" spans="6:6" x14ac:dyDescent="0.2">
      <c r="F2138" s="50"/>
    </row>
    <row r="2139" spans="6:6" x14ac:dyDescent="0.2">
      <c r="F2139" s="50"/>
    </row>
    <row r="2140" spans="6:6" x14ac:dyDescent="0.2">
      <c r="F2140" s="50"/>
    </row>
    <row r="2141" spans="6:6" x14ac:dyDescent="0.2">
      <c r="F2141" s="50"/>
    </row>
    <row r="2142" spans="6:6" x14ac:dyDescent="0.2">
      <c r="F2142" s="50"/>
    </row>
    <row r="2143" spans="6:6" x14ac:dyDescent="0.2">
      <c r="F2143" s="50"/>
    </row>
    <row r="2144" spans="6:6" x14ac:dyDescent="0.2">
      <c r="F2144" s="50"/>
    </row>
    <row r="2145" spans="6:6" x14ac:dyDescent="0.2">
      <c r="F2145" s="50"/>
    </row>
    <row r="2146" spans="6:6" x14ac:dyDescent="0.2">
      <c r="F2146" s="50"/>
    </row>
    <row r="2147" spans="6:6" x14ac:dyDescent="0.2">
      <c r="F2147" s="50"/>
    </row>
    <row r="2148" spans="6:6" x14ac:dyDescent="0.2">
      <c r="F2148" s="50"/>
    </row>
    <row r="2149" spans="6:6" x14ac:dyDescent="0.2">
      <c r="F2149" s="50"/>
    </row>
    <row r="2150" spans="6:6" x14ac:dyDescent="0.2">
      <c r="F2150" s="50"/>
    </row>
    <row r="2151" spans="6:6" x14ac:dyDescent="0.2">
      <c r="F2151" s="50"/>
    </row>
    <row r="2152" spans="6:6" x14ac:dyDescent="0.2">
      <c r="F2152" s="50"/>
    </row>
    <row r="2153" spans="6:6" x14ac:dyDescent="0.2">
      <c r="F2153" s="50"/>
    </row>
    <row r="2154" spans="6:6" x14ac:dyDescent="0.2">
      <c r="F2154" s="50"/>
    </row>
    <row r="2155" spans="6:6" x14ac:dyDescent="0.2">
      <c r="F2155" s="50"/>
    </row>
    <row r="2156" spans="6:6" x14ac:dyDescent="0.2">
      <c r="F2156" s="50"/>
    </row>
    <row r="2157" spans="6:6" x14ac:dyDescent="0.2">
      <c r="F2157" s="50"/>
    </row>
    <row r="2158" spans="6:6" x14ac:dyDescent="0.2">
      <c r="F2158" s="50"/>
    </row>
    <row r="2159" spans="6:6" x14ac:dyDescent="0.2">
      <c r="F2159" s="50"/>
    </row>
    <row r="2160" spans="6:6" x14ac:dyDescent="0.2">
      <c r="F2160" s="50"/>
    </row>
    <row r="2161" spans="6:6" x14ac:dyDescent="0.2">
      <c r="F2161" s="50"/>
    </row>
    <row r="2162" spans="6:6" x14ac:dyDescent="0.2">
      <c r="F2162" s="50"/>
    </row>
    <row r="2163" spans="6:6" x14ac:dyDescent="0.2">
      <c r="F2163" s="50"/>
    </row>
    <row r="2164" spans="6:6" x14ac:dyDescent="0.2">
      <c r="F2164" s="50"/>
    </row>
    <row r="2165" spans="6:6" x14ac:dyDescent="0.2">
      <c r="F2165" s="50"/>
    </row>
    <row r="2166" spans="6:6" x14ac:dyDescent="0.2">
      <c r="F2166" s="50"/>
    </row>
    <row r="2167" spans="6:6" x14ac:dyDescent="0.2">
      <c r="F2167" s="50"/>
    </row>
    <row r="2168" spans="6:6" x14ac:dyDescent="0.2">
      <c r="F2168" s="50"/>
    </row>
    <row r="2169" spans="6:6" x14ac:dyDescent="0.2">
      <c r="F2169" s="50"/>
    </row>
    <row r="2170" spans="6:6" x14ac:dyDescent="0.2">
      <c r="F2170" s="50"/>
    </row>
    <row r="2171" spans="6:6" x14ac:dyDescent="0.2">
      <c r="F2171" s="50"/>
    </row>
    <row r="2172" spans="6:6" x14ac:dyDescent="0.2">
      <c r="F2172" s="50"/>
    </row>
    <row r="2173" spans="6:6" x14ac:dyDescent="0.2">
      <c r="F2173" s="50"/>
    </row>
    <row r="2174" spans="6:6" x14ac:dyDescent="0.2">
      <c r="F2174" s="50"/>
    </row>
    <row r="2175" spans="6:6" x14ac:dyDescent="0.2">
      <c r="F2175" s="50"/>
    </row>
    <row r="2176" spans="6:6" x14ac:dyDescent="0.2">
      <c r="F2176" s="50"/>
    </row>
    <row r="2177" spans="6:6" x14ac:dyDescent="0.2">
      <c r="F2177" s="50"/>
    </row>
    <row r="2178" spans="6:6" x14ac:dyDescent="0.2">
      <c r="F2178" s="50"/>
    </row>
    <row r="2179" spans="6:6" x14ac:dyDescent="0.2">
      <c r="F2179" s="50"/>
    </row>
    <row r="2180" spans="6:6" x14ac:dyDescent="0.2">
      <c r="F2180" s="50"/>
    </row>
    <row r="2181" spans="6:6" x14ac:dyDescent="0.2">
      <c r="F2181" s="50"/>
    </row>
    <row r="2182" spans="6:6" x14ac:dyDescent="0.2">
      <c r="F2182" s="50"/>
    </row>
    <row r="2183" spans="6:6" x14ac:dyDescent="0.2">
      <c r="F2183" s="50"/>
    </row>
    <row r="2184" spans="6:6" x14ac:dyDescent="0.2">
      <c r="F2184" s="50"/>
    </row>
    <row r="2185" spans="6:6" x14ac:dyDescent="0.2">
      <c r="F2185" s="50"/>
    </row>
    <row r="2186" spans="6:6" x14ac:dyDescent="0.2">
      <c r="F2186" s="50"/>
    </row>
    <row r="2187" spans="6:6" x14ac:dyDescent="0.2">
      <c r="F2187" s="50"/>
    </row>
    <row r="2188" spans="6:6" x14ac:dyDescent="0.2">
      <c r="F2188" s="50"/>
    </row>
    <row r="2189" spans="6:6" x14ac:dyDescent="0.2">
      <c r="F2189" s="50"/>
    </row>
    <row r="2190" spans="6:6" x14ac:dyDescent="0.2">
      <c r="F2190" s="50"/>
    </row>
    <row r="2191" spans="6:6" x14ac:dyDescent="0.2">
      <c r="F2191" s="50"/>
    </row>
    <row r="2192" spans="6:6" x14ac:dyDescent="0.2">
      <c r="F2192" s="50"/>
    </row>
    <row r="2193" spans="6:6" x14ac:dyDescent="0.2">
      <c r="F2193" s="50"/>
    </row>
    <row r="2194" spans="6:6" x14ac:dyDescent="0.2">
      <c r="F2194" s="50"/>
    </row>
    <row r="2195" spans="6:6" x14ac:dyDescent="0.2">
      <c r="F2195" s="50"/>
    </row>
    <row r="2196" spans="6:6" x14ac:dyDescent="0.2">
      <c r="F2196" s="50"/>
    </row>
    <row r="2197" spans="6:6" x14ac:dyDescent="0.2">
      <c r="F2197" s="50"/>
    </row>
    <row r="2198" spans="6:6" x14ac:dyDescent="0.2">
      <c r="F2198" s="50"/>
    </row>
    <row r="2199" spans="6:6" x14ac:dyDescent="0.2">
      <c r="F2199" s="50"/>
    </row>
    <row r="2200" spans="6:6" x14ac:dyDescent="0.2">
      <c r="F2200" s="50"/>
    </row>
    <row r="2201" spans="6:6" x14ac:dyDescent="0.2">
      <c r="F2201" s="50"/>
    </row>
    <row r="2202" spans="6:6" x14ac:dyDescent="0.2">
      <c r="F2202" s="50"/>
    </row>
    <row r="2203" spans="6:6" x14ac:dyDescent="0.2">
      <c r="F2203" s="50"/>
    </row>
    <row r="2204" spans="6:6" x14ac:dyDescent="0.2">
      <c r="F2204" s="50"/>
    </row>
    <row r="2205" spans="6:6" x14ac:dyDescent="0.2">
      <c r="F2205" s="50"/>
    </row>
    <row r="2206" spans="6:6" x14ac:dyDescent="0.2">
      <c r="F2206" s="50"/>
    </row>
    <row r="2207" spans="6:6" x14ac:dyDescent="0.2">
      <c r="F2207" s="50"/>
    </row>
    <row r="2208" spans="6:6" x14ac:dyDescent="0.2">
      <c r="F2208" s="50"/>
    </row>
    <row r="2209" spans="6:6" x14ac:dyDescent="0.2">
      <c r="F2209" s="50"/>
    </row>
    <row r="2210" spans="6:6" x14ac:dyDescent="0.2">
      <c r="F2210" s="50"/>
    </row>
    <row r="2211" spans="6:6" x14ac:dyDescent="0.2">
      <c r="F2211" s="50"/>
    </row>
    <row r="2212" spans="6:6" x14ac:dyDescent="0.2">
      <c r="F2212" s="50"/>
    </row>
    <row r="2213" spans="6:6" x14ac:dyDescent="0.2">
      <c r="F2213" s="50"/>
    </row>
    <row r="2214" spans="6:6" x14ac:dyDescent="0.2">
      <c r="F2214" s="50"/>
    </row>
    <row r="2215" spans="6:6" x14ac:dyDescent="0.2">
      <c r="F2215" s="50"/>
    </row>
    <row r="2216" spans="6:6" x14ac:dyDescent="0.2">
      <c r="F2216" s="50"/>
    </row>
    <row r="2217" spans="6:6" x14ac:dyDescent="0.2">
      <c r="F2217" s="50"/>
    </row>
    <row r="2218" spans="6:6" x14ac:dyDescent="0.2">
      <c r="F2218" s="50"/>
    </row>
    <row r="2219" spans="6:6" x14ac:dyDescent="0.2">
      <c r="F2219" s="50"/>
    </row>
    <row r="2220" spans="6:6" x14ac:dyDescent="0.2">
      <c r="F2220" s="50"/>
    </row>
    <row r="2221" spans="6:6" x14ac:dyDescent="0.2">
      <c r="F2221" s="50"/>
    </row>
    <row r="2222" spans="6:6" x14ac:dyDescent="0.2">
      <c r="F2222" s="50"/>
    </row>
    <row r="2223" spans="6:6" x14ac:dyDescent="0.2">
      <c r="F2223" s="50"/>
    </row>
    <row r="2224" spans="6:6" x14ac:dyDescent="0.2">
      <c r="F2224" s="50"/>
    </row>
    <row r="2225" spans="6:8" x14ac:dyDescent="0.2">
      <c r="F2225" s="50"/>
    </row>
    <row r="2226" spans="6:8" x14ac:dyDescent="0.2">
      <c r="F2226" s="50"/>
    </row>
    <row r="2227" spans="6:8" x14ac:dyDescent="0.2">
      <c r="F2227" s="50"/>
    </row>
    <row r="2228" spans="6:8" x14ac:dyDescent="0.2">
      <c r="F2228" s="50"/>
    </row>
    <row r="2229" spans="6:8" x14ac:dyDescent="0.2">
      <c r="F2229" s="50"/>
      <c r="H2229" s="50"/>
    </row>
    <row r="2230" spans="6:8" x14ac:dyDescent="0.2">
      <c r="F2230" s="50"/>
      <c r="H2230" s="50"/>
    </row>
    <row r="2231" spans="6:8" x14ac:dyDescent="0.2">
      <c r="F2231" s="50"/>
      <c r="H2231" s="50"/>
    </row>
    <row r="2232" spans="6:8" x14ac:dyDescent="0.2">
      <c r="F2232" s="50"/>
    </row>
    <row r="2233" spans="6:8" x14ac:dyDescent="0.2">
      <c r="F2233" s="50"/>
    </row>
    <row r="2234" spans="6:8" x14ac:dyDescent="0.2">
      <c r="F2234" s="50"/>
    </row>
    <row r="2235" spans="6:8" x14ac:dyDescent="0.2">
      <c r="F2235" s="50"/>
    </row>
    <row r="2236" spans="6:8" ht="15" x14ac:dyDescent="0.25">
      <c r="F2236" s="50"/>
      <c r="H2236" s="62"/>
    </row>
    <row r="2237" spans="6:8" x14ac:dyDescent="0.2">
      <c r="F2237" s="50"/>
    </row>
    <row r="2238" spans="6:8" x14ac:dyDescent="0.2">
      <c r="F2238" s="50"/>
    </row>
    <row r="2239" spans="6:8" x14ac:dyDescent="0.2">
      <c r="F2239" s="50"/>
    </row>
    <row r="2240" spans="6:8" x14ac:dyDescent="0.2">
      <c r="F2240" s="50"/>
    </row>
    <row r="2241" spans="6:8" x14ac:dyDescent="0.2">
      <c r="F2241" s="50"/>
    </row>
    <row r="2242" spans="6:8" x14ac:dyDescent="0.2">
      <c r="F2242" s="50"/>
    </row>
    <row r="2243" spans="6:8" x14ac:dyDescent="0.2">
      <c r="F2243" s="50"/>
    </row>
    <row r="2244" spans="6:8" x14ac:dyDescent="0.2">
      <c r="F2244" s="50"/>
    </row>
    <row r="2245" spans="6:8" x14ac:dyDescent="0.2">
      <c r="F2245" s="50"/>
      <c r="H2245" s="50"/>
    </row>
    <row r="2246" spans="6:8" x14ac:dyDescent="0.2">
      <c r="F2246" s="50"/>
    </row>
    <row r="2247" spans="6:8" x14ac:dyDescent="0.2">
      <c r="F2247" s="50"/>
    </row>
    <row r="2248" spans="6:8" x14ac:dyDescent="0.2">
      <c r="F2248" s="50"/>
    </row>
    <row r="2249" spans="6:8" x14ac:dyDescent="0.2">
      <c r="F2249" s="50"/>
    </row>
    <row r="2250" spans="6:8" x14ac:dyDescent="0.2">
      <c r="F2250" s="50"/>
    </row>
    <row r="2251" spans="6:8" x14ac:dyDescent="0.2">
      <c r="F2251" s="50"/>
    </row>
    <row r="2252" spans="6:8" x14ac:dyDescent="0.2">
      <c r="F2252" s="50"/>
    </row>
    <row r="2253" spans="6:8" x14ac:dyDescent="0.2">
      <c r="F2253" s="50"/>
    </row>
    <row r="2254" spans="6:8" x14ac:dyDescent="0.2">
      <c r="F2254" s="50"/>
    </row>
    <row r="2255" spans="6:8" x14ac:dyDescent="0.2">
      <c r="F2255" s="50"/>
    </row>
    <row r="2256" spans="6:8" x14ac:dyDescent="0.2">
      <c r="F2256" s="50"/>
    </row>
    <row r="2257" spans="6:6" x14ac:dyDescent="0.2">
      <c r="F2257" s="50"/>
    </row>
    <row r="2258" spans="6:6" x14ac:dyDescent="0.2">
      <c r="F2258" s="50"/>
    </row>
    <row r="2259" spans="6:6" x14ac:dyDescent="0.2">
      <c r="F2259" s="50"/>
    </row>
    <row r="2260" spans="6:6" x14ac:dyDescent="0.2">
      <c r="F2260" s="50"/>
    </row>
    <row r="2261" spans="6:6" x14ac:dyDescent="0.2">
      <c r="F2261" s="50"/>
    </row>
    <row r="2262" spans="6:6" x14ac:dyDescent="0.2">
      <c r="F2262" s="50"/>
    </row>
    <row r="2263" spans="6:6" x14ac:dyDescent="0.2">
      <c r="F2263" s="50"/>
    </row>
    <row r="2264" spans="6:6" x14ac:dyDescent="0.2">
      <c r="F2264" s="50"/>
    </row>
    <row r="2265" spans="6:6" x14ac:dyDescent="0.2">
      <c r="F2265" s="50"/>
    </row>
    <row r="2266" spans="6:6" x14ac:dyDescent="0.2">
      <c r="F2266" s="50"/>
    </row>
    <row r="2267" spans="6:6" x14ac:dyDescent="0.2">
      <c r="F2267" s="50"/>
    </row>
    <row r="2268" spans="6:6" x14ac:dyDescent="0.2">
      <c r="F2268" s="50"/>
    </row>
    <row r="2269" spans="6:6" x14ac:dyDescent="0.2">
      <c r="F2269" s="50"/>
    </row>
    <row r="2270" spans="6:6" x14ac:dyDescent="0.2">
      <c r="F2270" s="50"/>
    </row>
    <row r="2271" spans="6:6" x14ac:dyDescent="0.2">
      <c r="F2271" s="50"/>
    </row>
    <row r="2272" spans="6:6" x14ac:dyDescent="0.2">
      <c r="F2272" s="50"/>
    </row>
    <row r="2273" spans="6:8" x14ac:dyDescent="0.2">
      <c r="F2273" s="50"/>
    </row>
    <row r="2274" spans="6:8" x14ac:dyDescent="0.2">
      <c r="F2274" s="50"/>
    </row>
    <row r="2275" spans="6:8" x14ac:dyDescent="0.2">
      <c r="F2275" s="50"/>
    </row>
    <row r="2276" spans="6:8" ht="15" x14ac:dyDescent="0.25">
      <c r="F2276" s="50"/>
      <c r="H2276" s="62"/>
    </row>
    <row r="2277" spans="6:8" x14ac:dyDescent="0.2">
      <c r="F2277" s="50"/>
    </row>
    <row r="2278" spans="6:8" x14ac:dyDescent="0.2">
      <c r="F2278" s="50"/>
    </row>
    <row r="2279" spans="6:8" x14ac:dyDescent="0.2">
      <c r="F2279" s="50"/>
    </row>
    <row r="2280" spans="6:8" x14ac:dyDescent="0.2">
      <c r="F2280" s="50"/>
    </row>
    <row r="2281" spans="6:8" x14ac:dyDescent="0.2">
      <c r="F2281" s="50"/>
    </row>
    <row r="2282" spans="6:8" x14ac:dyDescent="0.2">
      <c r="F2282" s="50"/>
    </row>
    <row r="2283" spans="6:8" x14ac:dyDescent="0.2">
      <c r="F2283" s="50"/>
    </row>
    <row r="2284" spans="6:8" x14ac:dyDescent="0.2">
      <c r="F2284" s="50"/>
    </row>
    <row r="2285" spans="6:8" x14ac:dyDescent="0.2">
      <c r="F2285" s="50"/>
    </row>
    <row r="2286" spans="6:8" x14ac:dyDescent="0.2">
      <c r="F2286" s="50"/>
    </row>
    <row r="2287" spans="6:8" x14ac:dyDescent="0.2">
      <c r="F2287" s="50"/>
    </row>
    <row r="2288" spans="6:8" x14ac:dyDescent="0.2">
      <c r="F2288" s="50"/>
    </row>
    <row r="2289" spans="6:6" x14ac:dyDescent="0.2">
      <c r="F2289" s="50"/>
    </row>
    <row r="2290" spans="6:6" x14ac:dyDescent="0.2">
      <c r="F2290" s="50"/>
    </row>
    <row r="2291" spans="6:6" x14ac:dyDescent="0.2">
      <c r="F2291" s="50"/>
    </row>
    <row r="2292" spans="6:6" x14ac:dyDescent="0.2">
      <c r="F2292" s="50"/>
    </row>
    <row r="2293" spans="6:6" x14ac:dyDescent="0.2">
      <c r="F2293" s="50"/>
    </row>
    <row r="2294" spans="6:6" x14ac:dyDescent="0.2">
      <c r="F2294" s="50"/>
    </row>
    <row r="2295" spans="6:6" x14ac:dyDescent="0.2">
      <c r="F2295" s="50"/>
    </row>
    <row r="2296" spans="6:6" x14ac:dyDescent="0.2">
      <c r="F2296" s="50"/>
    </row>
    <row r="2297" spans="6:6" x14ac:dyDescent="0.2">
      <c r="F2297" s="50"/>
    </row>
    <row r="2298" spans="6:6" x14ac:dyDescent="0.2">
      <c r="F2298" s="50"/>
    </row>
    <row r="2299" spans="6:6" x14ac:dyDescent="0.2">
      <c r="F2299" s="50"/>
    </row>
    <row r="2300" spans="6:6" x14ac:dyDescent="0.2">
      <c r="F2300" s="50"/>
    </row>
    <row r="2301" spans="6:6" x14ac:dyDescent="0.2">
      <c r="F2301" s="50"/>
    </row>
    <row r="2302" spans="6:6" x14ac:dyDescent="0.2">
      <c r="F2302" s="50"/>
    </row>
    <row r="2303" spans="6:6" x14ac:dyDescent="0.2">
      <c r="F2303" s="50"/>
    </row>
    <row r="2304" spans="6:6" x14ac:dyDescent="0.2">
      <c r="F2304" s="50"/>
    </row>
    <row r="2305" spans="6:6" x14ac:dyDescent="0.2">
      <c r="F2305" s="50"/>
    </row>
    <row r="2306" spans="6:6" x14ac:dyDescent="0.2">
      <c r="F2306" s="50"/>
    </row>
    <row r="2307" spans="6:6" x14ac:dyDescent="0.2">
      <c r="F2307" s="50"/>
    </row>
    <row r="2308" spans="6:6" x14ac:dyDescent="0.2">
      <c r="F2308" s="50"/>
    </row>
    <row r="2309" spans="6:6" x14ac:dyDescent="0.2">
      <c r="F2309" s="50"/>
    </row>
    <row r="2310" spans="6:6" x14ac:dyDescent="0.2">
      <c r="F2310" s="50"/>
    </row>
    <row r="2311" spans="6:6" x14ac:dyDescent="0.2">
      <c r="F2311" s="50"/>
    </row>
    <row r="2312" spans="6:6" x14ac:dyDescent="0.2">
      <c r="F2312" s="50"/>
    </row>
    <row r="2313" spans="6:6" x14ac:dyDescent="0.2">
      <c r="F2313" s="50"/>
    </row>
    <row r="2314" spans="6:6" x14ac:dyDescent="0.2">
      <c r="F2314" s="50"/>
    </row>
    <row r="2315" spans="6:6" x14ac:dyDescent="0.2">
      <c r="F2315" s="50"/>
    </row>
    <row r="2316" spans="6:6" x14ac:dyDescent="0.2">
      <c r="F2316" s="50"/>
    </row>
    <row r="2317" spans="6:6" x14ac:dyDescent="0.2">
      <c r="F2317" s="50"/>
    </row>
    <row r="2318" spans="6:6" x14ac:dyDescent="0.2">
      <c r="F2318" s="50"/>
    </row>
    <row r="2319" spans="6:6" x14ac:dyDescent="0.2">
      <c r="F2319" s="50"/>
    </row>
    <row r="2320" spans="6:6" x14ac:dyDescent="0.2">
      <c r="F2320" s="50"/>
    </row>
    <row r="2321" spans="6:6" x14ac:dyDescent="0.2">
      <c r="F2321" s="50"/>
    </row>
    <row r="2322" spans="6:6" x14ac:dyDescent="0.2">
      <c r="F2322" s="50"/>
    </row>
    <row r="2323" spans="6:6" x14ac:dyDescent="0.2">
      <c r="F2323" s="50"/>
    </row>
    <row r="2324" spans="6:6" x14ac:dyDescent="0.2">
      <c r="F2324" s="50"/>
    </row>
    <row r="2325" spans="6:6" x14ac:dyDescent="0.2">
      <c r="F2325" s="50"/>
    </row>
    <row r="2326" spans="6:6" x14ac:dyDescent="0.2">
      <c r="F2326" s="50"/>
    </row>
    <row r="2327" spans="6:6" x14ac:dyDescent="0.2">
      <c r="F2327" s="50"/>
    </row>
    <row r="2328" spans="6:6" x14ac:dyDescent="0.2">
      <c r="F2328" s="50"/>
    </row>
    <row r="2329" spans="6:6" x14ac:dyDescent="0.2">
      <c r="F2329" s="50"/>
    </row>
    <row r="2330" spans="6:6" x14ac:dyDescent="0.2">
      <c r="F2330" s="50"/>
    </row>
    <row r="2331" spans="6:6" x14ac:dyDescent="0.2">
      <c r="F2331" s="50"/>
    </row>
    <row r="2332" spans="6:6" x14ac:dyDescent="0.2">
      <c r="F2332" s="50"/>
    </row>
    <row r="2333" spans="6:6" x14ac:dyDescent="0.2">
      <c r="F2333" s="50"/>
    </row>
    <row r="2334" spans="6:6" x14ac:dyDescent="0.2">
      <c r="F2334" s="50"/>
    </row>
    <row r="2335" spans="6:6" x14ac:dyDescent="0.2">
      <c r="F2335" s="50"/>
    </row>
    <row r="2336" spans="6:6" x14ac:dyDescent="0.2">
      <c r="F2336" s="50"/>
    </row>
    <row r="2337" spans="1:8" x14ac:dyDescent="0.2">
      <c r="F2337" s="50"/>
    </row>
    <row r="2338" spans="1:8" x14ac:dyDescent="0.2">
      <c r="F2338" s="50"/>
    </row>
    <row r="2339" spans="1:8" x14ac:dyDescent="0.2">
      <c r="F2339" s="50"/>
    </row>
    <row r="2340" spans="1:8" x14ac:dyDescent="0.2">
      <c r="F2340" s="50"/>
    </row>
    <row r="2341" spans="1:8" x14ac:dyDescent="0.2">
      <c r="F2341" s="50"/>
    </row>
    <row r="2342" spans="1:8" x14ac:dyDescent="0.2">
      <c r="F2342" s="50"/>
    </row>
    <row r="2343" spans="1:8" x14ac:dyDescent="0.2">
      <c r="F2343" s="50"/>
    </row>
    <row r="2344" spans="1:8" x14ac:dyDescent="0.2">
      <c r="F2344" s="50"/>
    </row>
    <row r="2345" spans="1:8" x14ac:dyDescent="0.2">
      <c r="F2345" s="50"/>
    </row>
    <row r="2346" spans="1:8" x14ac:dyDescent="0.2">
      <c r="A2346" s="55"/>
      <c r="C2346" s="55"/>
    </row>
    <row r="2347" spans="1:8" x14ac:dyDescent="0.2">
      <c r="F2347" s="50"/>
    </row>
    <row r="2348" spans="1:8" x14ac:dyDescent="0.2">
      <c r="F2348" s="50"/>
    </row>
    <row r="2349" spans="1:8" x14ac:dyDescent="0.2">
      <c r="F2349" s="50"/>
    </row>
    <row r="2350" spans="1:8" x14ac:dyDescent="0.2">
      <c r="F2350" s="50"/>
    </row>
    <row r="2351" spans="1:8" x14ac:dyDescent="0.2">
      <c r="F2351" s="50"/>
    </row>
    <row r="2352" spans="1:8" ht="15" x14ac:dyDescent="0.25">
      <c r="F2352" s="50"/>
      <c r="H2352" s="62"/>
    </row>
    <row r="2353" spans="6:6" x14ac:dyDescent="0.2">
      <c r="F2353" s="50"/>
    </row>
    <row r="2354" spans="6:6" x14ac:dyDescent="0.2">
      <c r="F2354" s="50"/>
    </row>
    <row r="2355" spans="6:6" x14ac:dyDescent="0.2">
      <c r="F2355" s="50"/>
    </row>
    <row r="2356" spans="6:6" x14ac:dyDescent="0.2">
      <c r="F2356" s="50"/>
    </row>
    <row r="2357" spans="6:6" x14ac:dyDescent="0.2">
      <c r="F2357" s="50"/>
    </row>
    <row r="2358" spans="6:6" x14ac:dyDescent="0.2">
      <c r="F2358" s="50"/>
    </row>
    <row r="2359" spans="6:6" x14ac:dyDescent="0.2">
      <c r="F2359" s="50"/>
    </row>
    <row r="2360" spans="6:6" x14ac:dyDescent="0.2">
      <c r="F2360" s="50"/>
    </row>
    <row r="2361" spans="6:6" x14ac:dyDescent="0.2">
      <c r="F2361" s="50"/>
    </row>
    <row r="2362" spans="6:6" x14ac:dyDescent="0.2">
      <c r="F2362" s="50"/>
    </row>
    <row r="2363" spans="6:6" x14ac:dyDescent="0.2">
      <c r="F2363" s="50"/>
    </row>
    <row r="2364" spans="6:6" x14ac:dyDescent="0.2">
      <c r="F2364" s="50"/>
    </row>
    <row r="2365" spans="6:6" x14ac:dyDescent="0.2">
      <c r="F2365" s="50"/>
    </row>
    <row r="2366" spans="6:6" x14ac:dyDescent="0.2">
      <c r="F2366" s="50"/>
    </row>
    <row r="2367" spans="6:6" x14ac:dyDescent="0.2">
      <c r="F2367" s="50"/>
    </row>
    <row r="2368" spans="6:6" x14ac:dyDescent="0.2">
      <c r="F2368" s="50"/>
    </row>
    <row r="2369" spans="2:8" x14ac:dyDescent="0.2">
      <c r="F2369" s="50"/>
      <c r="H2369" s="50"/>
    </row>
    <row r="2370" spans="2:8" x14ac:dyDescent="0.2">
      <c r="F2370" s="50"/>
      <c r="H2370" s="50"/>
    </row>
    <row r="2371" spans="2:8" x14ac:dyDescent="0.2">
      <c r="F2371" s="50"/>
    </row>
    <row r="2373" spans="2:8" x14ac:dyDescent="0.2">
      <c r="F2373" s="50"/>
    </row>
    <row r="2374" spans="2:8" ht="12" customHeight="1" x14ac:dyDescent="0.2">
      <c r="B2374" s="74"/>
    </row>
    <row r="2375" spans="2:8" x14ac:dyDescent="0.2">
      <c r="F2375" s="50"/>
    </row>
    <row r="2376" spans="2:8" x14ac:dyDescent="0.2">
      <c r="F2376" s="50"/>
    </row>
    <row r="2383" spans="2:8" x14ac:dyDescent="0.2">
      <c r="F2383" s="50"/>
    </row>
    <row r="2384" spans="2:8" x14ac:dyDescent="0.2">
      <c r="F2384" s="50"/>
    </row>
    <row r="2389" spans="6:8" x14ac:dyDescent="0.2">
      <c r="F2389" s="50"/>
    </row>
    <row r="2390" spans="6:8" x14ac:dyDescent="0.2">
      <c r="F2390" s="50"/>
    </row>
    <row r="2391" spans="6:8" x14ac:dyDescent="0.2">
      <c r="F2391" s="50"/>
    </row>
    <row r="2392" spans="6:8" x14ac:dyDescent="0.2">
      <c r="F2392" s="50"/>
    </row>
    <row r="2393" spans="6:8" ht="15" x14ac:dyDescent="0.25">
      <c r="F2393" s="50"/>
      <c r="H2393" s="62"/>
    </row>
    <row r="2394" spans="6:8" x14ac:dyDescent="0.2">
      <c r="F2394" s="50"/>
    </row>
    <row r="2395" spans="6:8" x14ac:dyDescent="0.2">
      <c r="F2395" s="50"/>
    </row>
    <row r="2396" spans="6:8" x14ac:dyDescent="0.2">
      <c r="F2396" s="50"/>
    </row>
    <row r="2397" spans="6:8" x14ac:dyDescent="0.2">
      <c r="F2397" s="50"/>
    </row>
    <row r="2398" spans="6:8" x14ac:dyDescent="0.2">
      <c r="F2398" s="50"/>
    </row>
    <row r="2399" spans="6:8" x14ac:dyDescent="0.2">
      <c r="F2399" s="50"/>
    </row>
    <row r="2400" spans="6:8" x14ac:dyDescent="0.2">
      <c r="F2400" s="50"/>
    </row>
    <row r="2401" spans="6:6" x14ac:dyDescent="0.2">
      <c r="F2401" s="50"/>
    </row>
    <row r="2402" spans="6:6" x14ac:dyDescent="0.2">
      <c r="F2402" s="50"/>
    </row>
    <row r="2403" spans="6:6" x14ac:dyDescent="0.2">
      <c r="F2403" s="50"/>
    </row>
    <row r="2404" spans="6:6" x14ac:dyDescent="0.2">
      <c r="F2404" s="50"/>
    </row>
    <row r="2405" spans="6:6" x14ac:dyDescent="0.2">
      <c r="F2405" s="50"/>
    </row>
    <row r="2406" spans="6:6" x14ac:dyDescent="0.2">
      <c r="F2406" s="50"/>
    </row>
    <row r="2407" spans="6:6" x14ac:dyDescent="0.2">
      <c r="F2407" s="50"/>
    </row>
    <row r="2408" spans="6:6" x14ac:dyDescent="0.2">
      <c r="F2408" s="50"/>
    </row>
    <row r="2409" spans="6:6" x14ac:dyDescent="0.2">
      <c r="F2409" s="50"/>
    </row>
    <row r="2410" spans="6:6" x14ac:dyDescent="0.2">
      <c r="F2410" s="50"/>
    </row>
    <row r="2411" spans="6:6" x14ac:dyDescent="0.2">
      <c r="F2411" s="50"/>
    </row>
    <row r="2412" spans="6:6" x14ac:dyDescent="0.2">
      <c r="F2412" s="50"/>
    </row>
    <row r="2413" spans="6:6" x14ac:dyDescent="0.2">
      <c r="F2413" s="50"/>
    </row>
    <row r="2414" spans="6:6" x14ac:dyDescent="0.2">
      <c r="F2414" s="50"/>
    </row>
    <row r="2415" spans="6:6" x14ac:dyDescent="0.2">
      <c r="F2415" s="50"/>
    </row>
    <row r="2416" spans="6:6" x14ac:dyDescent="0.2">
      <c r="F2416" s="50"/>
    </row>
    <row r="2417" spans="6:8" x14ac:dyDescent="0.2">
      <c r="F2417" s="50"/>
    </row>
    <row r="2418" spans="6:8" x14ac:dyDescent="0.2">
      <c r="F2418" s="50"/>
    </row>
    <row r="2419" spans="6:8" x14ac:dyDescent="0.2">
      <c r="F2419" s="50"/>
    </row>
    <row r="2420" spans="6:8" x14ac:dyDescent="0.2">
      <c r="F2420" s="50"/>
    </row>
    <row r="2421" spans="6:8" x14ac:dyDescent="0.2">
      <c r="F2421" s="50"/>
    </row>
    <row r="2422" spans="6:8" x14ac:dyDescent="0.2">
      <c r="F2422" s="50"/>
    </row>
    <row r="2424" spans="6:8" x14ac:dyDescent="0.2">
      <c r="F2424" s="50"/>
    </row>
    <row r="2425" spans="6:8" x14ac:dyDescent="0.2">
      <c r="F2425" s="50"/>
    </row>
    <row r="2426" spans="6:8" x14ac:dyDescent="0.2">
      <c r="F2426" s="50"/>
      <c r="H2426" s="50"/>
    </row>
    <row r="2427" spans="6:8" x14ac:dyDescent="0.2">
      <c r="F2427" s="50"/>
    </row>
    <row r="2428" spans="6:8" x14ac:dyDescent="0.2">
      <c r="F2428" s="50"/>
    </row>
    <row r="2429" spans="6:8" x14ac:dyDescent="0.2">
      <c r="F2429" s="50"/>
    </row>
    <row r="2430" spans="6:8" x14ac:dyDescent="0.2">
      <c r="F2430" s="50"/>
    </row>
    <row r="2431" spans="6:8" x14ac:dyDescent="0.2">
      <c r="F2431" s="50"/>
    </row>
    <row r="2432" spans="6:8" x14ac:dyDescent="0.2">
      <c r="F2432" s="50"/>
    </row>
    <row r="2433" spans="6:6" x14ac:dyDescent="0.2">
      <c r="F2433" s="50"/>
    </row>
    <row r="2434" spans="6:6" x14ac:dyDescent="0.2">
      <c r="F2434" s="50"/>
    </row>
    <row r="2435" spans="6:6" x14ac:dyDescent="0.2">
      <c r="F2435" s="50"/>
    </row>
    <row r="2436" spans="6:6" x14ac:dyDescent="0.2">
      <c r="F2436" s="50"/>
    </row>
    <row r="2437" spans="6:6" x14ac:dyDescent="0.2">
      <c r="F2437" s="50"/>
    </row>
    <row r="2438" spans="6:6" x14ac:dyDescent="0.2">
      <c r="F2438" s="50"/>
    </row>
    <row r="2439" spans="6:6" x14ac:dyDescent="0.2">
      <c r="F2439" s="50"/>
    </row>
    <row r="2440" spans="6:6" x14ac:dyDescent="0.2">
      <c r="F2440" s="50"/>
    </row>
    <row r="2441" spans="6:6" x14ac:dyDescent="0.2">
      <c r="F2441" s="50"/>
    </row>
    <row r="2442" spans="6:6" x14ac:dyDescent="0.2">
      <c r="F2442" s="50"/>
    </row>
    <row r="2443" spans="6:6" x14ac:dyDescent="0.2">
      <c r="F2443" s="50"/>
    </row>
    <row r="2444" spans="6:6" x14ac:dyDescent="0.2">
      <c r="F2444" s="50"/>
    </row>
    <row r="2445" spans="6:6" x14ac:dyDescent="0.2">
      <c r="F2445" s="50"/>
    </row>
    <row r="2446" spans="6:6" x14ac:dyDescent="0.2">
      <c r="F2446" s="50"/>
    </row>
    <row r="2447" spans="6:6" x14ac:dyDescent="0.2">
      <c r="F2447" s="50"/>
    </row>
    <row r="2448" spans="6:6" x14ac:dyDescent="0.2">
      <c r="F2448" s="50"/>
    </row>
    <row r="2449" spans="6:6" x14ac:dyDescent="0.2">
      <c r="F2449" s="50"/>
    </row>
    <row r="2450" spans="6:6" x14ac:dyDescent="0.2">
      <c r="F2450" s="50"/>
    </row>
    <row r="2451" spans="6:6" x14ac:dyDescent="0.2">
      <c r="F2451" s="50"/>
    </row>
    <row r="2452" spans="6:6" x14ac:dyDescent="0.2">
      <c r="F2452" s="50"/>
    </row>
    <row r="2453" spans="6:6" x14ac:dyDescent="0.2">
      <c r="F2453" s="50"/>
    </row>
    <row r="2454" spans="6:6" x14ac:dyDescent="0.2">
      <c r="F2454" s="50"/>
    </row>
    <row r="2455" spans="6:6" x14ac:dyDescent="0.2">
      <c r="F2455" s="50"/>
    </row>
    <row r="2456" spans="6:6" x14ac:dyDescent="0.2">
      <c r="F2456" s="50"/>
    </row>
    <row r="2457" spans="6:6" x14ac:dyDescent="0.2">
      <c r="F2457" s="50"/>
    </row>
    <row r="2458" spans="6:6" x14ac:dyDescent="0.2">
      <c r="F2458" s="50"/>
    </row>
    <row r="2459" spans="6:6" x14ac:dyDescent="0.2">
      <c r="F2459" s="50"/>
    </row>
    <row r="2460" spans="6:6" x14ac:dyDescent="0.2">
      <c r="F2460" s="50"/>
    </row>
    <row r="2461" spans="6:6" x14ac:dyDescent="0.2">
      <c r="F2461" s="50"/>
    </row>
    <row r="2462" spans="6:6" x14ac:dyDescent="0.2">
      <c r="F2462" s="50"/>
    </row>
    <row r="2463" spans="6:6" x14ac:dyDescent="0.2">
      <c r="F2463" s="50"/>
    </row>
    <row r="2464" spans="6:6" x14ac:dyDescent="0.2">
      <c r="F2464" s="50"/>
    </row>
    <row r="2465" spans="6:6" x14ac:dyDescent="0.2">
      <c r="F2465" s="50"/>
    </row>
    <row r="2466" spans="6:6" x14ac:dyDescent="0.2">
      <c r="F2466" s="50"/>
    </row>
    <row r="2467" spans="6:6" x14ac:dyDescent="0.2">
      <c r="F2467" s="50"/>
    </row>
    <row r="2468" spans="6:6" x14ac:dyDescent="0.2">
      <c r="F2468" s="50"/>
    </row>
    <row r="2469" spans="6:6" x14ac:dyDescent="0.2">
      <c r="F2469" s="50"/>
    </row>
    <row r="2470" spans="6:6" x14ac:dyDescent="0.2">
      <c r="F2470" s="50"/>
    </row>
    <row r="2471" spans="6:6" x14ac:dyDescent="0.2">
      <c r="F2471" s="50"/>
    </row>
    <row r="2472" spans="6:6" x14ac:dyDescent="0.2">
      <c r="F2472" s="50"/>
    </row>
    <row r="2473" spans="6:6" x14ac:dyDescent="0.2">
      <c r="F2473" s="50"/>
    </row>
    <row r="2474" spans="6:6" x14ac:dyDescent="0.2">
      <c r="F2474" s="50"/>
    </row>
    <row r="2475" spans="6:6" x14ac:dyDescent="0.2">
      <c r="F2475" s="50"/>
    </row>
    <row r="2476" spans="6:6" x14ac:dyDescent="0.2">
      <c r="F2476" s="50"/>
    </row>
    <row r="2477" spans="6:6" x14ac:dyDescent="0.2">
      <c r="F2477" s="50"/>
    </row>
    <row r="2478" spans="6:6" x14ac:dyDescent="0.2">
      <c r="F2478" s="50"/>
    </row>
    <row r="2479" spans="6:6" x14ac:dyDescent="0.2">
      <c r="F2479" s="50"/>
    </row>
    <row r="2480" spans="6:6" x14ac:dyDescent="0.2">
      <c r="F2480" s="50"/>
    </row>
    <row r="2481" spans="6:6" x14ac:dyDescent="0.2">
      <c r="F2481" s="50"/>
    </row>
    <row r="2482" spans="6:6" x14ac:dyDescent="0.2">
      <c r="F2482" s="50"/>
    </row>
    <row r="2483" spans="6:6" x14ac:dyDescent="0.2">
      <c r="F2483" s="50"/>
    </row>
    <row r="2484" spans="6:6" x14ac:dyDescent="0.2">
      <c r="F2484" s="50"/>
    </row>
    <row r="2485" spans="6:6" x14ac:dyDescent="0.2">
      <c r="F2485" s="50"/>
    </row>
    <row r="2486" spans="6:6" x14ac:dyDescent="0.2">
      <c r="F2486" s="50"/>
    </row>
    <row r="2487" spans="6:6" x14ac:dyDescent="0.2">
      <c r="F2487" s="50"/>
    </row>
    <row r="2488" spans="6:6" x14ac:dyDescent="0.2">
      <c r="F2488" s="50"/>
    </row>
    <row r="2489" spans="6:6" x14ac:dyDescent="0.2">
      <c r="F2489" s="50"/>
    </row>
    <row r="2490" spans="6:6" x14ac:dyDescent="0.2">
      <c r="F2490" s="50"/>
    </row>
    <row r="2491" spans="6:6" x14ac:dyDescent="0.2">
      <c r="F2491" s="50"/>
    </row>
    <row r="2492" spans="6:6" x14ac:dyDescent="0.2">
      <c r="F2492" s="50"/>
    </row>
    <row r="2493" spans="6:6" x14ac:dyDescent="0.2">
      <c r="F2493" s="50"/>
    </row>
    <row r="2494" spans="6:6" x14ac:dyDescent="0.2">
      <c r="F2494" s="50"/>
    </row>
    <row r="2495" spans="6:6" x14ac:dyDescent="0.2">
      <c r="F2495" s="50"/>
    </row>
    <row r="2496" spans="6:6" x14ac:dyDescent="0.2">
      <c r="F2496" s="50"/>
    </row>
    <row r="2497" spans="6:6" x14ac:dyDescent="0.2">
      <c r="F2497" s="50"/>
    </row>
    <row r="2498" spans="6:6" x14ac:dyDescent="0.2">
      <c r="F2498" s="50"/>
    </row>
    <row r="2499" spans="6:6" x14ac:dyDescent="0.2">
      <c r="F2499" s="50"/>
    </row>
    <row r="2500" spans="6:6" x14ac:dyDescent="0.2">
      <c r="F2500" s="50"/>
    </row>
    <row r="2501" spans="6:6" x14ac:dyDescent="0.2">
      <c r="F2501" s="50"/>
    </row>
    <row r="2502" spans="6:6" x14ac:dyDescent="0.2">
      <c r="F2502" s="50"/>
    </row>
    <row r="2503" spans="6:6" x14ac:dyDescent="0.2">
      <c r="F2503" s="50"/>
    </row>
    <row r="2504" spans="6:6" x14ac:dyDescent="0.2">
      <c r="F2504" s="50"/>
    </row>
    <row r="2505" spans="6:6" x14ac:dyDescent="0.2">
      <c r="F2505" s="50"/>
    </row>
    <row r="2506" spans="6:6" x14ac:dyDescent="0.2">
      <c r="F2506" s="50"/>
    </row>
    <row r="2507" spans="6:6" x14ac:dyDescent="0.2">
      <c r="F2507" s="50"/>
    </row>
    <row r="2508" spans="6:6" x14ac:dyDescent="0.2">
      <c r="F2508" s="50"/>
    </row>
    <row r="2509" spans="6:6" x14ac:dyDescent="0.2">
      <c r="F2509" s="50"/>
    </row>
    <row r="2510" spans="6:6" x14ac:dyDescent="0.2">
      <c r="F2510" s="50"/>
    </row>
    <row r="2511" spans="6:6" x14ac:dyDescent="0.2">
      <c r="F2511" s="50"/>
    </row>
    <row r="2512" spans="6:6" x14ac:dyDescent="0.2">
      <c r="F2512" s="50"/>
    </row>
    <row r="2513" spans="1:6" x14ac:dyDescent="0.2">
      <c r="F2513" s="50"/>
    </row>
    <row r="2514" spans="1:6" x14ac:dyDescent="0.2">
      <c r="F2514" s="50"/>
    </row>
    <row r="2515" spans="1:6" x14ac:dyDescent="0.2">
      <c r="F2515" s="50"/>
    </row>
    <row r="2516" spans="1:6" x14ac:dyDescent="0.2">
      <c r="F2516" s="50"/>
    </row>
    <row r="2517" spans="1:6" x14ac:dyDescent="0.2">
      <c r="F2517" s="50"/>
    </row>
    <row r="2518" spans="1:6" x14ac:dyDescent="0.2">
      <c r="A2518" s="66"/>
      <c r="C2518" s="66"/>
    </row>
    <row r="2519" spans="1:6" x14ac:dyDescent="0.2">
      <c r="A2519" s="66"/>
      <c r="C2519" s="66"/>
    </row>
    <row r="2520" spans="1:6" x14ac:dyDescent="0.2">
      <c r="A2520" s="66"/>
      <c r="C2520" s="66"/>
    </row>
    <row r="2521" spans="1:6" x14ac:dyDescent="0.2">
      <c r="A2521" s="66"/>
      <c r="C2521" s="66"/>
    </row>
    <row r="2522" spans="1:6" x14ac:dyDescent="0.2">
      <c r="A2522" s="66"/>
      <c r="C2522" s="66"/>
    </row>
    <row r="2523" spans="1:6" x14ac:dyDescent="0.2">
      <c r="A2523" s="66"/>
      <c r="C2523" s="66"/>
    </row>
    <row r="2524" spans="1:6" x14ac:dyDescent="0.2">
      <c r="A2524" s="66"/>
      <c r="C2524" s="66"/>
    </row>
    <row r="2525" spans="1:6" x14ac:dyDescent="0.2">
      <c r="A2525" s="66"/>
      <c r="C2525" s="66"/>
    </row>
    <row r="2526" spans="1:6" x14ac:dyDescent="0.2">
      <c r="A2526" s="66"/>
      <c r="C2526" s="66"/>
    </row>
    <row r="2527" spans="1:6" x14ac:dyDescent="0.2">
      <c r="A2527" s="66"/>
      <c r="C2527" s="66"/>
    </row>
    <row r="2528" spans="1:6" x14ac:dyDescent="0.2">
      <c r="A2528" s="66"/>
      <c r="C2528" s="66"/>
    </row>
    <row r="2529" spans="1:7" x14ac:dyDescent="0.2">
      <c r="A2529" s="66"/>
      <c r="C2529" s="66"/>
    </row>
    <row r="2530" spans="1:7" x14ac:dyDescent="0.2">
      <c r="A2530" s="66"/>
      <c r="C2530" s="66"/>
    </row>
    <row r="2531" spans="1:7" x14ac:dyDescent="0.2">
      <c r="A2531" s="66"/>
      <c r="C2531" s="66"/>
      <c r="F2531" s="50"/>
      <c r="G2531" s="50"/>
    </row>
    <row r="2532" spans="1:7" x14ac:dyDescent="0.2">
      <c r="A2532" s="66"/>
      <c r="C2532" s="66"/>
      <c r="F2532" s="50"/>
      <c r="G2532" s="50"/>
    </row>
    <row r="2533" spans="1:7" x14ac:dyDescent="0.2">
      <c r="A2533" s="66"/>
      <c r="C2533" s="66"/>
    </row>
    <row r="2534" spans="1:7" x14ac:dyDescent="0.2">
      <c r="A2534" s="66"/>
      <c r="C2534" s="66"/>
    </row>
    <row r="2535" spans="1:7" x14ac:dyDescent="0.2">
      <c r="A2535" s="66"/>
      <c r="C2535" s="66"/>
    </row>
    <row r="2536" spans="1:7" x14ac:dyDescent="0.2">
      <c r="A2536" s="66"/>
      <c r="C2536" s="66"/>
    </row>
    <row r="2537" spans="1:7" x14ac:dyDescent="0.2">
      <c r="A2537" s="66"/>
      <c r="C2537" s="66"/>
    </row>
    <row r="2538" spans="1:7" x14ac:dyDescent="0.2">
      <c r="A2538" s="66"/>
      <c r="C2538" s="66"/>
    </row>
    <row r="2539" spans="1:7" x14ac:dyDescent="0.2">
      <c r="A2539" s="66"/>
      <c r="C2539" s="66"/>
    </row>
    <row r="2540" spans="1:7" x14ac:dyDescent="0.2">
      <c r="A2540" s="66"/>
      <c r="C2540" s="66"/>
    </row>
    <row r="2541" spans="1:7" x14ac:dyDescent="0.2">
      <c r="A2541" s="66"/>
      <c r="C2541" s="66"/>
    </row>
    <row r="2542" spans="1:7" x14ac:dyDescent="0.2">
      <c r="A2542" s="66"/>
      <c r="C2542" s="66"/>
    </row>
    <row r="2543" spans="1:7" x14ac:dyDescent="0.2">
      <c r="A2543" s="66"/>
      <c r="C2543" s="66"/>
    </row>
    <row r="2544" spans="1:7" x14ac:dyDescent="0.2">
      <c r="A2544" s="66"/>
      <c r="C2544" s="66"/>
    </row>
    <row r="2545" spans="1:3" x14ac:dyDescent="0.2">
      <c r="A2545" s="66"/>
      <c r="C2545" s="66"/>
    </row>
    <row r="2546" spans="1:3" x14ac:dyDescent="0.2">
      <c r="A2546" s="66"/>
      <c r="C2546" s="66"/>
    </row>
    <row r="2547" spans="1:3" x14ac:dyDescent="0.2">
      <c r="A2547" s="66"/>
      <c r="C2547" s="66"/>
    </row>
    <row r="2548" spans="1:3" x14ac:dyDescent="0.2">
      <c r="A2548" s="66"/>
      <c r="C2548" s="66"/>
    </row>
    <row r="2549" spans="1:3" x14ac:dyDescent="0.2">
      <c r="A2549" s="66"/>
      <c r="C2549" s="66"/>
    </row>
    <row r="2550" spans="1:3" x14ac:dyDescent="0.2">
      <c r="A2550" s="66"/>
      <c r="C2550" s="66"/>
    </row>
    <row r="2551" spans="1:3" x14ac:dyDescent="0.2">
      <c r="A2551" s="66"/>
      <c r="C2551" s="66"/>
    </row>
    <row r="2552" spans="1:3" x14ac:dyDescent="0.2">
      <c r="A2552" s="66"/>
      <c r="C2552" s="66"/>
    </row>
    <row r="2553" spans="1:3" x14ac:dyDescent="0.2">
      <c r="A2553" s="66"/>
      <c r="C2553" s="66"/>
    </row>
    <row r="2554" spans="1:3" x14ac:dyDescent="0.2">
      <c r="A2554" s="66"/>
      <c r="C2554" s="66"/>
    </row>
    <row r="2555" spans="1:3" x14ac:dyDescent="0.2">
      <c r="A2555" s="66"/>
      <c r="C2555" s="66"/>
    </row>
    <row r="2556" spans="1:3" x14ac:dyDescent="0.2">
      <c r="A2556" s="66"/>
      <c r="C2556" s="66"/>
    </row>
    <row r="2557" spans="1:3" x14ac:dyDescent="0.2">
      <c r="A2557" s="66"/>
      <c r="C2557" s="66"/>
    </row>
    <row r="2558" spans="1:3" x14ac:dyDescent="0.2">
      <c r="A2558" s="66"/>
      <c r="C2558" s="66"/>
    </row>
    <row r="2559" spans="1:3" x14ac:dyDescent="0.2">
      <c r="A2559" s="66"/>
      <c r="C2559" s="66"/>
    </row>
    <row r="2560" spans="1:3" x14ac:dyDescent="0.2">
      <c r="A2560" s="66"/>
      <c r="C2560" s="66"/>
    </row>
    <row r="2561" spans="6:6" x14ac:dyDescent="0.2">
      <c r="F2561" s="50"/>
    </row>
    <row r="2562" spans="6:6" x14ac:dyDescent="0.2">
      <c r="F2562" s="50"/>
    </row>
    <row r="2563" spans="6:6" x14ac:dyDescent="0.2">
      <c r="F2563" s="50"/>
    </row>
    <row r="2564" spans="6:6" x14ac:dyDescent="0.2">
      <c r="F2564" s="50"/>
    </row>
    <row r="2565" spans="6:6" x14ac:dyDescent="0.2">
      <c r="F2565" s="50"/>
    </row>
    <row r="2566" spans="6:6" x14ac:dyDescent="0.2">
      <c r="F2566" s="50"/>
    </row>
    <row r="2567" spans="6:6" x14ac:dyDescent="0.2">
      <c r="F2567" s="50"/>
    </row>
    <row r="2568" spans="6:6" x14ac:dyDescent="0.2">
      <c r="F2568" s="50"/>
    </row>
    <row r="2569" spans="6:6" x14ac:dyDescent="0.2">
      <c r="F2569" s="50"/>
    </row>
    <row r="2570" spans="6:6" x14ac:dyDescent="0.2">
      <c r="F2570" s="50"/>
    </row>
    <row r="2571" spans="6:6" x14ac:dyDescent="0.2">
      <c r="F2571" s="50"/>
    </row>
    <row r="2572" spans="6:6" x14ac:dyDescent="0.2">
      <c r="F2572" s="50"/>
    </row>
    <row r="2573" spans="6:6" x14ac:dyDescent="0.2">
      <c r="F2573" s="50"/>
    </row>
    <row r="2574" spans="6:6" x14ac:dyDescent="0.2">
      <c r="F2574" s="50"/>
    </row>
    <row r="2575" spans="6:6" x14ac:dyDescent="0.2">
      <c r="F2575" s="50"/>
    </row>
    <row r="2576" spans="6:6" x14ac:dyDescent="0.2">
      <c r="F2576" s="50"/>
    </row>
    <row r="2577" spans="1:6" x14ac:dyDescent="0.2">
      <c r="F2577" s="50"/>
    </row>
    <row r="2578" spans="1:6" x14ac:dyDescent="0.2">
      <c r="F2578" s="50"/>
    </row>
    <row r="2579" spans="1:6" x14ac:dyDescent="0.2">
      <c r="F2579" s="50"/>
    </row>
    <row r="2580" spans="1:6" x14ac:dyDescent="0.2">
      <c r="F2580" s="50"/>
    </row>
    <row r="2581" spans="1:6" x14ac:dyDescent="0.2">
      <c r="F2581" s="50"/>
    </row>
    <row r="2582" spans="1:6" x14ac:dyDescent="0.2">
      <c r="F2582" s="50"/>
    </row>
    <row r="2583" spans="1:6" x14ac:dyDescent="0.2">
      <c r="F2583" s="50"/>
    </row>
    <row r="2584" spans="1:6" x14ac:dyDescent="0.2">
      <c r="F2584" s="50"/>
    </row>
    <row r="2585" spans="1:6" x14ac:dyDescent="0.2">
      <c r="F2585" s="50"/>
    </row>
    <row r="2586" spans="1:6" x14ac:dyDescent="0.2">
      <c r="F2586" s="50"/>
    </row>
    <row r="2587" spans="1:6" x14ac:dyDescent="0.2">
      <c r="F2587" s="50"/>
    </row>
    <row r="2588" spans="1:6" x14ac:dyDescent="0.2">
      <c r="F2588" s="50"/>
    </row>
    <row r="2589" spans="1:6" x14ac:dyDescent="0.2">
      <c r="F2589" s="50"/>
    </row>
    <row r="2590" spans="1:6" x14ac:dyDescent="0.2">
      <c r="F2590" s="50"/>
    </row>
    <row r="2591" spans="1:6" x14ac:dyDescent="0.2">
      <c r="A2591" s="66"/>
      <c r="C2591" s="66"/>
    </row>
    <row r="2592" spans="1:6" x14ac:dyDescent="0.2">
      <c r="F2592" s="50"/>
    </row>
    <row r="2593" spans="6:6" x14ac:dyDescent="0.2">
      <c r="F2593" s="50"/>
    </row>
    <row r="2594" spans="6:6" x14ac:dyDescent="0.2">
      <c r="F2594" s="50"/>
    </row>
    <row r="2595" spans="6:6" x14ac:dyDescent="0.2">
      <c r="F2595" s="50"/>
    </row>
    <row r="2596" spans="6:6" x14ac:dyDescent="0.2">
      <c r="F2596" s="50"/>
    </row>
    <row r="2597" spans="6:6" x14ac:dyDescent="0.2">
      <c r="F2597" s="50"/>
    </row>
    <row r="2598" spans="6:6" x14ac:dyDescent="0.2">
      <c r="F2598" s="50"/>
    </row>
    <row r="2599" spans="6:6" x14ac:dyDescent="0.2">
      <c r="F2599" s="50"/>
    </row>
    <row r="2600" spans="6:6" x14ac:dyDescent="0.2">
      <c r="F2600" s="50"/>
    </row>
    <row r="2601" spans="6:6" x14ac:dyDescent="0.2">
      <c r="F2601" s="50"/>
    </row>
    <row r="2602" spans="6:6" x14ac:dyDescent="0.2">
      <c r="F2602" s="50"/>
    </row>
    <row r="2603" spans="6:6" x14ac:dyDescent="0.2">
      <c r="F2603" s="50"/>
    </row>
    <row r="2604" spans="6:6" x14ac:dyDescent="0.2">
      <c r="F2604" s="50"/>
    </row>
    <row r="2605" spans="6:6" x14ac:dyDescent="0.2">
      <c r="F2605" s="50"/>
    </row>
    <row r="2606" spans="6:6" x14ac:dyDescent="0.2">
      <c r="F2606" s="50"/>
    </row>
    <row r="2607" spans="6:6" x14ac:dyDescent="0.2">
      <c r="F2607" s="50"/>
    </row>
    <row r="2608" spans="6:6" x14ac:dyDescent="0.2">
      <c r="F2608" s="50"/>
    </row>
    <row r="2609" spans="6:8" x14ac:dyDescent="0.2">
      <c r="F2609" s="50"/>
    </row>
    <row r="2610" spans="6:8" x14ac:dyDescent="0.2">
      <c r="F2610" s="50"/>
    </row>
    <row r="2611" spans="6:8" ht="15" x14ac:dyDescent="0.25">
      <c r="F2611" s="50"/>
      <c r="H2611" s="62"/>
    </row>
    <row r="2612" spans="6:8" x14ac:dyDescent="0.2">
      <c r="F2612" s="50"/>
    </row>
    <row r="2613" spans="6:8" x14ac:dyDescent="0.2">
      <c r="F2613" s="50"/>
    </row>
    <row r="2614" spans="6:8" x14ac:dyDescent="0.2">
      <c r="F2614" s="50"/>
    </row>
    <row r="2615" spans="6:8" x14ac:dyDescent="0.2">
      <c r="F2615" s="50"/>
    </row>
    <row r="2616" spans="6:8" x14ac:dyDescent="0.2">
      <c r="F2616" s="50"/>
    </row>
    <row r="2617" spans="6:8" x14ac:dyDescent="0.2">
      <c r="F2617" s="50"/>
    </row>
    <row r="2618" spans="6:8" x14ac:dyDescent="0.2">
      <c r="F2618" s="50"/>
    </row>
    <row r="2619" spans="6:8" x14ac:dyDescent="0.2">
      <c r="F2619" s="50"/>
    </row>
    <row r="2620" spans="6:8" x14ac:dyDescent="0.2">
      <c r="F2620" s="50"/>
    </row>
    <row r="2621" spans="6:8" x14ac:dyDescent="0.2">
      <c r="F2621" s="50"/>
    </row>
    <row r="2622" spans="6:8" x14ac:dyDescent="0.2">
      <c r="F2622" s="50"/>
    </row>
    <row r="2624" spans="6:8" x14ac:dyDescent="0.2">
      <c r="F2624" s="50"/>
    </row>
    <row r="2625" spans="6:6" x14ac:dyDescent="0.2">
      <c r="F2625" s="50"/>
    </row>
    <row r="2626" spans="6:6" x14ac:dyDescent="0.2">
      <c r="F2626" s="50"/>
    </row>
    <row r="2627" spans="6:6" x14ac:dyDescent="0.2">
      <c r="F2627" s="50"/>
    </row>
    <row r="2628" spans="6:6" x14ac:dyDescent="0.2">
      <c r="F2628" s="50"/>
    </row>
    <row r="2629" spans="6:6" x14ac:dyDescent="0.2">
      <c r="F2629" s="50"/>
    </row>
    <row r="2630" spans="6:6" x14ac:dyDescent="0.2">
      <c r="F2630" s="50"/>
    </row>
    <row r="2631" spans="6:6" x14ac:dyDescent="0.2">
      <c r="F2631" s="50"/>
    </row>
    <row r="2632" spans="6:6" x14ac:dyDescent="0.2">
      <c r="F2632" s="50"/>
    </row>
    <row r="2633" spans="6:6" x14ac:dyDescent="0.2">
      <c r="F2633" s="50"/>
    </row>
    <row r="2634" spans="6:6" x14ac:dyDescent="0.2">
      <c r="F2634" s="50"/>
    </row>
    <row r="2635" spans="6:6" x14ac:dyDescent="0.2">
      <c r="F2635" s="50"/>
    </row>
    <row r="2636" spans="6:6" x14ac:dyDescent="0.2">
      <c r="F2636" s="50"/>
    </row>
    <row r="2637" spans="6:6" x14ac:dyDescent="0.2">
      <c r="F2637" s="50"/>
    </row>
    <row r="2638" spans="6:6" x14ac:dyDescent="0.2">
      <c r="F2638" s="50"/>
    </row>
    <row r="2639" spans="6:6" x14ac:dyDescent="0.2">
      <c r="F2639" s="50"/>
    </row>
    <row r="2640" spans="6:6" x14ac:dyDescent="0.2">
      <c r="F2640" s="50"/>
    </row>
    <row r="2641" spans="6:6" x14ac:dyDescent="0.2">
      <c r="F2641" s="50"/>
    </row>
    <row r="2642" spans="6:6" x14ac:dyDescent="0.2">
      <c r="F2642" s="50"/>
    </row>
    <row r="2643" spans="6:6" x14ac:dyDescent="0.2">
      <c r="F2643" s="50"/>
    </row>
    <row r="2644" spans="6:6" x14ac:dyDescent="0.2">
      <c r="F2644" s="50"/>
    </row>
    <row r="2645" spans="6:6" x14ac:dyDescent="0.2">
      <c r="F2645" s="50"/>
    </row>
    <row r="2646" spans="6:6" x14ac:dyDescent="0.2">
      <c r="F2646" s="50"/>
    </row>
    <row r="2647" spans="6:6" x14ac:dyDescent="0.2">
      <c r="F2647" s="50"/>
    </row>
    <row r="2648" spans="6:6" x14ac:dyDescent="0.2">
      <c r="F2648" s="50"/>
    </row>
    <row r="2649" spans="6:6" x14ac:dyDescent="0.2">
      <c r="F2649" s="50"/>
    </row>
    <row r="2650" spans="6:6" x14ac:dyDescent="0.2">
      <c r="F2650" s="50"/>
    </row>
    <row r="2651" spans="6:6" x14ac:dyDescent="0.2">
      <c r="F2651" s="50"/>
    </row>
    <row r="2652" spans="6:6" x14ac:dyDescent="0.2">
      <c r="F2652" s="50"/>
    </row>
    <row r="2653" spans="6:6" x14ac:dyDescent="0.2">
      <c r="F2653" s="50"/>
    </row>
    <row r="2654" spans="6:6" x14ac:dyDescent="0.2">
      <c r="F2654" s="50"/>
    </row>
    <row r="2655" spans="6:6" x14ac:dyDescent="0.2">
      <c r="F2655" s="50"/>
    </row>
    <row r="2656" spans="6:6" x14ac:dyDescent="0.2">
      <c r="F2656" s="50"/>
    </row>
    <row r="2657" spans="1:6" x14ac:dyDescent="0.2">
      <c r="F2657" s="50"/>
    </row>
    <row r="2658" spans="1:6" x14ac:dyDescent="0.2">
      <c r="F2658" s="50"/>
    </row>
    <row r="2659" spans="1:6" x14ac:dyDescent="0.2">
      <c r="F2659" s="50"/>
    </row>
    <row r="2660" spans="1:6" x14ac:dyDescent="0.2">
      <c r="F2660" s="50"/>
    </row>
    <row r="2661" spans="1:6" x14ac:dyDescent="0.2">
      <c r="F2661" s="50"/>
    </row>
    <row r="2662" spans="1:6" x14ac:dyDescent="0.2">
      <c r="F2662" s="50"/>
    </row>
    <row r="2663" spans="1:6" x14ac:dyDescent="0.2">
      <c r="F2663" s="50"/>
    </row>
    <row r="2664" spans="1:6" x14ac:dyDescent="0.2">
      <c r="A2664" s="60"/>
      <c r="C2664" s="60"/>
    </row>
    <row r="2665" spans="1:6" x14ac:dyDescent="0.2">
      <c r="A2665" s="60"/>
      <c r="C2665" s="60"/>
    </row>
    <row r="2666" spans="1:6" x14ac:dyDescent="0.2">
      <c r="F2666" s="50"/>
    </row>
    <row r="2667" spans="1:6" x14ac:dyDescent="0.2">
      <c r="F2667" s="50"/>
    </row>
    <row r="2668" spans="1:6" x14ac:dyDescent="0.2">
      <c r="F2668" s="50"/>
    </row>
    <row r="2669" spans="1:6" x14ac:dyDescent="0.2">
      <c r="F2669" s="50"/>
    </row>
    <row r="2670" spans="1:6" x14ac:dyDescent="0.2">
      <c r="F2670" s="50"/>
    </row>
    <row r="2671" spans="1:6" x14ac:dyDescent="0.2">
      <c r="F2671" s="50"/>
    </row>
    <row r="2672" spans="1:6" x14ac:dyDescent="0.2">
      <c r="F2672" s="50"/>
    </row>
    <row r="2673" spans="6:6" x14ac:dyDescent="0.2">
      <c r="F2673" s="50"/>
    </row>
    <row r="2674" spans="6:6" x14ac:dyDescent="0.2">
      <c r="F2674" s="50"/>
    </row>
    <row r="2675" spans="6:6" x14ac:dyDescent="0.2">
      <c r="F2675" s="50"/>
    </row>
    <row r="2676" spans="6:6" x14ac:dyDescent="0.2">
      <c r="F2676" s="50"/>
    </row>
    <row r="2677" spans="6:6" x14ac:dyDescent="0.2">
      <c r="F2677" s="50"/>
    </row>
    <row r="2678" spans="6:6" x14ac:dyDescent="0.2">
      <c r="F2678" s="50"/>
    </row>
    <row r="2679" spans="6:6" x14ac:dyDescent="0.2">
      <c r="F2679" s="50"/>
    </row>
    <row r="2680" spans="6:6" x14ac:dyDescent="0.2">
      <c r="F2680" s="50"/>
    </row>
    <row r="2681" spans="6:6" x14ac:dyDescent="0.2">
      <c r="F2681" s="50"/>
    </row>
    <row r="2682" spans="6:6" x14ac:dyDescent="0.2">
      <c r="F2682" s="50"/>
    </row>
    <row r="2683" spans="6:6" x14ac:dyDescent="0.2">
      <c r="F2683" s="50"/>
    </row>
    <row r="2684" spans="6:6" x14ac:dyDescent="0.2">
      <c r="F2684" s="50"/>
    </row>
    <row r="2686" spans="6:6" x14ac:dyDescent="0.2">
      <c r="F2686" s="50"/>
    </row>
    <row r="2687" spans="6:6" x14ac:dyDescent="0.2">
      <c r="F2687" s="50"/>
    </row>
    <row r="2688" spans="6:6" x14ac:dyDescent="0.2">
      <c r="F2688" s="50"/>
    </row>
    <row r="2689" spans="6:6" x14ac:dyDescent="0.2">
      <c r="F2689" s="50"/>
    </row>
    <row r="2690" spans="6:6" x14ac:dyDescent="0.2">
      <c r="F2690" s="50"/>
    </row>
    <row r="2691" spans="6:6" x14ac:dyDescent="0.2">
      <c r="F2691" s="50"/>
    </row>
    <row r="2692" spans="6:6" x14ac:dyDescent="0.2">
      <c r="F2692" s="50"/>
    </row>
    <row r="2693" spans="6:6" x14ac:dyDescent="0.2">
      <c r="F2693" s="50"/>
    </row>
    <row r="2694" spans="6:6" x14ac:dyDescent="0.2">
      <c r="F2694" s="50"/>
    </row>
    <row r="2695" spans="6:6" x14ac:dyDescent="0.2">
      <c r="F2695" s="50"/>
    </row>
    <row r="2696" spans="6:6" x14ac:dyDescent="0.2">
      <c r="F2696" s="50"/>
    </row>
    <row r="2697" spans="6:6" x14ac:dyDescent="0.2">
      <c r="F2697" s="50"/>
    </row>
    <row r="2698" spans="6:6" x14ac:dyDescent="0.2">
      <c r="F2698" s="50"/>
    </row>
    <row r="2699" spans="6:6" x14ac:dyDescent="0.2">
      <c r="F2699" s="50"/>
    </row>
    <row r="2700" spans="6:6" x14ac:dyDescent="0.2">
      <c r="F2700" s="50"/>
    </row>
    <row r="2701" spans="6:6" x14ac:dyDescent="0.2">
      <c r="F2701" s="50"/>
    </row>
    <row r="2702" spans="6:6" x14ac:dyDescent="0.2">
      <c r="F2702" s="50"/>
    </row>
    <row r="2703" spans="6:6" x14ac:dyDescent="0.2">
      <c r="F2703" s="50"/>
    </row>
    <row r="2704" spans="6:6" x14ac:dyDescent="0.2">
      <c r="F2704" s="50"/>
    </row>
    <row r="2705" spans="6:6" x14ac:dyDescent="0.2">
      <c r="F2705" s="50"/>
    </row>
    <row r="2706" spans="6:6" x14ac:dyDescent="0.2">
      <c r="F2706" s="50"/>
    </row>
    <row r="2707" spans="6:6" x14ac:dyDescent="0.2">
      <c r="F2707" s="50"/>
    </row>
    <row r="2708" spans="6:6" x14ac:dyDescent="0.2">
      <c r="F2708" s="50"/>
    </row>
    <row r="2709" spans="6:6" x14ac:dyDescent="0.2">
      <c r="F2709" s="50"/>
    </row>
    <row r="2710" spans="6:6" x14ac:dyDescent="0.2">
      <c r="F2710" s="50"/>
    </row>
    <row r="2711" spans="6:6" x14ac:dyDescent="0.2">
      <c r="F2711" s="50"/>
    </row>
    <row r="2712" spans="6:6" x14ac:dyDescent="0.2">
      <c r="F2712" s="50"/>
    </row>
    <row r="2713" spans="6:6" x14ac:dyDescent="0.2">
      <c r="F2713" s="50"/>
    </row>
    <row r="2714" spans="6:6" x14ac:dyDescent="0.2">
      <c r="F2714" s="50"/>
    </row>
    <row r="2715" spans="6:6" x14ac:dyDescent="0.2">
      <c r="F2715" s="50"/>
    </row>
    <row r="2716" spans="6:6" x14ac:dyDescent="0.2">
      <c r="F2716" s="50"/>
    </row>
    <row r="2717" spans="6:6" x14ac:dyDescent="0.2">
      <c r="F2717" s="50"/>
    </row>
    <row r="2718" spans="6:6" x14ac:dyDescent="0.2">
      <c r="F2718" s="50"/>
    </row>
    <row r="2719" spans="6:6" x14ac:dyDescent="0.2">
      <c r="F2719" s="50"/>
    </row>
    <row r="2720" spans="6:6" x14ac:dyDescent="0.2">
      <c r="F2720" s="50"/>
    </row>
    <row r="2721" spans="6:8" x14ac:dyDescent="0.2">
      <c r="F2721" s="50"/>
    </row>
    <row r="2722" spans="6:8" x14ac:dyDescent="0.2">
      <c r="F2722" s="50"/>
    </row>
    <row r="2723" spans="6:8" x14ac:dyDescent="0.2">
      <c r="F2723" s="50"/>
    </row>
    <row r="2724" spans="6:8" x14ac:dyDescent="0.2">
      <c r="F2724" s="50"/>
    </row>
    <row r="2725" spans="6:8" x14ac:dyDescent="0.2">
      <c r="F2725" s="50"/>
    </row>
    <row r="2726" spans="6:8" x14ac:dyDescent="0.2">
      <c r="F2726" s="50"/>
    </row>
    <row r="2727" spans="6:8" x14ac:dyDescent="0.2">
      <c r="F2727" s="50"/>
    </row>
    <row r="2728" spans="6:8" x14ac:dyDescent="0.2">
      <c r="F2728" s="50"/>
    </row>
    <row r="2729" spans="6:8" x14ac:dyDescent="0.2">
      <c r="F2729" s="50"/>
    </row>
    <row r="2730" spans="6:8" x14ac:dyDescent="0.2">
      <c r="F2730" s="50"/>
    </row>
    <row r="2731" spans="6:8" x14ac:dyDescent="0.2">
      <c r="F2731" s="50"/>
    </row>
    <row r="2732" spans="6:8" x14ac:dyDescent="0.2">
      <c r="F2732" s="50"/>
      <c r="G2732" s="50"/>
      <c r="H2732" s="50"/>
    </row>
    <row r="2733" spans="6:8" x14ac:dyDescent="0.2">
      <c r="F2733" s="50"/>
    </row>
    <row r="2734" spans="6:8" x14ac:dyDescent="0.2">
      <c r="F2734" s="50"/>
    </row>
    <row r="2735" spans="6:8" x14ac:dyDescent="0.2">
      <c r="F2735" s="50"/>
    </row>
    <row r="2736" spans="6:8" x14ac:dyDescent="0.2">
      <c r="F2736" s="50"/>
    </row>
    <row r="2737" spans="6:6" x14ac:dyDescent="0.2">
      <c r="F2737" s="50"/>
    </row>
    <row r="2738" spans="6:6" x14ac:dyDescent="0.2">
      <c r="F2738" s="50"/>
    </row>
    <row r="2739" spans="6:6" x14ac:dyDescent="0.2">
      <c r="F2739" s="50"/>
    </row>
    <row r="2740" spans="6:6" x14ac:dyDescent="0.2">
      <c r="F2740" s="50"/>
    </row>
    <row r="2741" spans="6:6" x14ac:dyDescent="0.2">
      <c r="F2741" s="50"/>
    </row>
    <row r="2742" spans="6:6" x14ac:dyDescent="0.2">
      <c r="F2742" s="50"/>
    </row>
    <row r="2743" spans="6:6" x14ac:dyDescent="0.2">
      <c r="F2743" s="50"/>
    </row>
    <row r="2744" spans="6:6" x14ac:dyDescent="0.2">
      <c r="F2744" s="50"/>
    </row>
    <row r="2745" spans="6:6" x14ac:dyDescent="0.2">
      <c r="F2745" s="50"/>
    </row>
    <row r="2746" spans="6:6" x14ac:dyDescent="0.2">
      <c r="F2746" s="50"/>
    </row>
    <row r="2747" spans="6:6" x14ac:dyDescent="0.2">
      <c r="F2747" s="50"/>
    </row>
    <row r="2748" spans="6:6" x14ac:dyDescent="0.2">
      <c r="F2748" s="50"/>
    </row>
    <row r="2749" spans="6:6" x14ac:dyDescent="0.2">
      <c r="F2749" s="50"/>
    </row>
    <row r="2750" spans="6:6" x14ac:dyDescent="0.2">
      <c r="F2750" s="50"/>
    </row>
    <row r="2751" spans="6:6" x14ac:dyDescent="0.2">
      <c r="F2751" s="50"/>
    </row>
    <row r="2752" spans="6:6" x14ac:dyDescent="0.2">
      <c r="F2752" s="50"/>
    </row>
    <row r="2753" spans="6:6" x14ac:dyDescent="0.2">
      <c r="F2753" s="50"/>
    </row>
    <row r="2754" spans="6:6" x14ac:dyDescent="0.2">
      <c r="F2754" s="50"/>
    </row>
    <row r="2755" spans="6:6" x14ac:dyDescent="0.2">
      <c r="F2755" s="50"/>
    </row>
    <row r="2756" spans="6:6" x14ac:dyDescent="0.2">
      <c r="F2756" s="50"/>
    </row>
    <row r="2757" spans="6:6" x14ac:dyDescent="0.2">
      <c r="F2757" s="50"/>
    </row>
    <row r="2758" spans="6:6" x14ac:dyDescent="0.2">
      <c r="F2758" s="50"/>
    </row>
    <row r="2759" spans="6:6" x14ac:dyDescent="0.2">
      <c r="F2759" s="50"/>
    </row>
    <row r="2760" spans="6:6" x14ac:dyDescent="0.2">
      <c r="F2760" s="50"/>
    </row>
    <row r="2761" spans="6:6" x14ac:dyDescent="0.2">
      <c r="F2761" s="50"/>
    </row>
    <row r="2762" spans="6:6" x14ac:dyDescent="0.2">
      <c r="F2762" s="50"/>
    </row>
    <row r="2763" spans="6:6" x14ac:dyDescent="0.2">
      <c r="F2763" s="50"/>
    </row>
    <row r="2764" spans="6:6" x14ac:dyDescent="0.2">
      <c r="F2764" s="50"/>
    </row>
    <row r="2765" spans="6:6" x14ac:dyDescent="0.2">
      <c r="F2765" s="50"/>
    </row>
    <row r="2766" spans="6:6" x14ac:dyDescent="0.2">
      <c r="F2766" s="50"/>
    </row>
    <row r="2767" spans="6:6" x14ac:dyDescent="0.2">
      <c r="F2767" s="50"/>
    </row>
    <row r="2768" spans="6:6" x14ac:dyDescent="0.2">
      <c r="F2768" s="50"/>
    </row>
    <row r="2769" spans="6:8" x14ac:dyDescent="0.2">
      <c r="F2769" s="50"/>
    </row>
    <row r="2770" spans="6:8" x14ac:dyDescent="0.2">
      <c r="F2770" s="50"/>
    </row>
    <row r="2771" spans="6:8" x14ac:dyDescent="0.2">
      <c r="F2771" s="50"/>
      <c r="G2771" s="50"/>
      <c r="H2771" s="50"/>
    </row>
    <row r="2772" spans="6:8" x14ac:dyDescent="0.2">
      <c r="F2772" s="50"/>
      <c r="G2772" s="50"/>
      <c r="H2772" s="50"/>
    </row>
    <row r="2773" spans="6:8" x14ac:dyDescent="0.2">
      <c r="F2773" s="50"/>
    </row>
    <row r="2774" spans="6:8" x14ac:dyDescent="0.2">
      <c r="F2774" s="50"/>
    </row>
    <row r="2775" spans="6:8" x14ac:dyDescent="0.2">
      <c r="F2775" s="50"/>
    </row>
    <row r="2776" spans="6:8" x14ac:dyDescent="0.2">
      <c r="F2776" s="50"/>
    </row>
    <row r="2777" spans="6:8" x14ac:dyDescent="0.2">
      <c r="F2777" s="50"/>
    </row>
    <row r="2778" spans="6:8" x14ac:dyDescent="0.2">
      <c r="F2778" s="50"/>
    </row>
    <row r="2779" spans="6:8" x14ac:dyDescent="0.2">
      <c r="F2779" s="50"/>
    </row>
    <row r="2780" spans="6:8" x14ac:dyDescent="0.2">
      <c r="F2780" s="50"/>
    </row>
    <row r="2781" spans="6:8" x14ac:dyDescent="0.2">
      <c r="F2781" s="50"/>
    </row>
    <row r="2782" spans="6:8" x14ac:dyDescent="0.2">
      <c r="F2782" s="50"/>
    </row>
    <row r="2783" spans="6:8" x14ac:dyDescent="0.2">
      <c r="F2783" s="50"/>
    </row>
    <row r="2784" spans="6:8" x14ac:dyDescent="0.2">
      <c r="F2784" s="50"/>
    </row>
    <row r="2785" spans="6:6" x14ac:dyDescent="0.2">
      <c r="F2785" s="50"/>
    </row>
    <row r="2786" spans="6:6" x14ac:dyDescent="0.2">
      <c r="F2786" s="50"/>
    </row>
    <row r="2787" spans="6:6" x14ac:dyDescent="0.2">
      <c r="F2787" s="50"/>
    </row>
    <row r="2788" spans="6:6" x14ac:dyDescent="0.2">
      <c r="F2788" s="50"/>
    </row>
    <row r="2789" spans="6:6" x14ac:dyDescent="0.2">
      <c r="F2789" s="50"/>
    </row>
    <row r="2790" spans="6:6" x14ac:dyDescent="0.2">
      <c r="F2790" s="50"/>
    </row>
    <row r="2791" spans="6:6" x14ac:dyDescent="0.2">
      <c r="F2791" s="50"/>
    </row>
    <row r="2792" spans="6:6" x14ac:dyDescent="0.2">
      <c r="F2792" s="50"/>
    </row>
    <row r="2793" spans="6:6" x14ac:dyDescent="0.2">
      <c r="F2793" s="50"/>
    </row>
    <row r="2794" spans="6:6" x14ac:dyDescent="0.2">
      <c r="F2794" s="50"/>
    </row>
    <row r="2795" spans="6:6" x14ac:dyDescent="0.2">
      <c r="F2795" s="50"/>
    </row>
    <row r="2796" spans="6:6" x14ac:dyDescent="0.2">
      <c r="F2796" s="50"/>
    </row>
    <row r="2797" spans="6:6" x14ac:dyDescent="0.2">
      <c r="F2797" s="50"/>
    </row>
    <row r="2798" spans="6:6" x14ac:dyDescent="0.2">
      <c r="F2798" s="50"/>
    </row>
    <row r="2799" spans="6:6" x14ac:dyDescent="0.2">
      <c r="F2799" s="50"/>
    </row>
    <row r="2800" spans="6:6" x14ac:dyDescent="0.2">
      <c r="F2800" s="50"/>
    </row>
    <row r="2801" spans="6:6" x14ac:dyDescent="0.2">
      <c r="F2801" s="50"/>
    </row>
    <row r="2802" spans="6:6" x14ac:dyDescent="0.2">
      <c r="F2802" s="50"/>
    </row>
    <row r="2803" spans="6:6" x14ac:dyDescent="0.2">
      <c r="F2803" s="50"/>
    </row>
    <row r="2804" spans="6:6" x14ac:dyDescent="0.2">
      <c r="F2804" s="50"/>
    </row>
    <row r="2805" spans="6:6" x14ac:dyDescent="0.2">
      <c r="F2805" s="50"/>
    </row>
    <row r="2806" spans="6:6" x14ac:dyDescent="0.2">
      <c r="F2806" s="50"/>
    </row>
    <row r="2807" spans="6:6" x14ac:dyDescent="0.2">
      <c r="F2807" s="50"/>
    </row>
    <row r="2808" spans="6:6" x14ac:dyDescent="0.2">
      <c r="F2808" s="50"/>
    </row>
    <row r="2809" spans="6:6" x14ac:dyDescent="0.2">
      <c r="F2809" s="50"/>
    </row>
    <row r="2810" spans="6:6" x14ac:dyDescent="0.2">
      <c r="F2810" s="50"/>
    </row>
    <row r="2811" spans="6:6" x14ac:dyDescent="0.2">
      <c r="F2811" s="50"/>
    </row>
    <row r="2812" spans="6:6" x14ac:dyDescent="0.2">
      <c r="F2812" s="50"/>
    </row>
    <row r="2813" spans="6:6" x14ac:dyDescent="0.2">
      <c r="F2813" s="50"/>
    </row>
    <row r="2814" spans="6:6" x14ac:dyDescent="0.2">
      <c r="F2814" s="50"/>
    </row>
    <row r="2815" spans="6:6" x14ac:dyDescent="0.2">
      <c r="F2815" s="50"/>
    </row>
    <row r="2816" spans="6:6" x14ac:dyDescent="0.2">
      <c r="F2816" s="50"/>
    </row>
    <row r="2817" spans="6:6" x14ac:dyDescent="0.2">
      <c r="F2817" s="50"/>
    </row>
    <row r="2818" spans="6:6" x14ac:dyDescent="0.2">
      <c r="F2818" s="50"/>
    </row>
    <row r="2819" spans="6:6" x14ac:dyDescent="0.2">
      <c r="F2819" s="50"/>
    </row>
    <row r="2820" spans="6:6" x14ac:dyDescent="0.2">
      <c r="F2820" s="50"/>
    </row>
    <row r="2821" spans="6:6" x14ac:dyDescent="0.2">
      <c r="F2821" s="50"/>
    </row>
    <row r="2822" spans="6:6" x14ac:dyDescent="0.2">
      <c r="F2822" s="50"/>
    </row>
    <row r="2823" spans="6:6" x14ac:dyDescent="0.2">
      <c r="F2823" s="50"/>
    </row>
    <row r="2824" spans="6:6" x14ac:dyDescent="0.2">
      <c r="F2824" s="50"/>
    </row>
    <row r="2825" spans="6:6" x14ac:dyDescent="0.2">
      <c r="F2825" s="50"/>
    </row>
    <row r="2826" spans="6:6" x14ac:dyDescent="0.2">
      <c r="F2826" s="50"/>
    </row>
    <row r="2827" spans="6:6" x14ac:dyDescent="0.2">
      <c r="F2827" s="50"/>
    </row>
    <row r="2828" spans="6:6" x14ac:dyDescent="0.2">
      <c r="F2828" s="50"/>
    </row>
    <row r="2829" spans="6:6" x14ac:dyDescent="0.2">
      <c r="F2829" s="50"/>
    </row>
    <row r="2830" spans="6:6" x14ac:dyDescent="0.2">
      <c r="F2830" s="50"/>
    </row>
    <row r="2831" spans="6:6" x14ac:dyDescent="0.2">
      <c r="F2831" s="50"/>
    </row>
    <row r="2832" spans="6:6" x14ac:dyDescent="0.2">
      <c r="F2832" s="50"/>
    </row>
    <row r="2833" spans="1:6" x14ac:dyDescent="0.2">
      <c r="F2833" s="50"/>
    </row>
    <row r="2834" spans="1:6" x14ac:dyDescent="0.2">
      <c r="F2834" s="50"/>
    </row>
    <row r="2835" spans="1:6" x14ac:dyDescent="0.2">
      <c r="F2835" s="50"/>
    </row>
    <row r="2836" spans="1:6" x14ac:dyDescent="0.2">
      <c r="F2836" s="50"/>
    </row>
    <row r="2837" spans="1:6" x14ac:dyDescent="0.2">
      <c r="F2837" s="50"/>
    </row>
    <row r="2838" spans="1:6" x14ac:dyDescent="0.2">
      <c r="F2838" s="50"/>
    </row>
    <row r="2839" spans="1:6" x14ac:dyDescent="0.2">
      <c r="F2839" s="50"/>
    </row>
    <row r="2840" spans="1:6" x14ac:dyDescent="0.2">
      <c r="F2840" s="50"/>
    </row>
    <row r="2841" spans="1:6" x14ac:dyDescent="0.2">
      <c r="F2841" s="50"/>
    </row>
    <row r="2842" spans="1:6" x14ac:dyDescent="0.2">
      <c r="F2842" s="50"/>
    </row>
    <row r="2843" spans="1:6" x14ac:dyDescent="0.2">
      <c r="F2843" s="50"/>
    </row>
    <row r="2844" spans="1:6" x14ac:dyDescent="0.2">
      <c r="F2844" s="50"/>
    </row>
    <row r="2845" spans="1:6" x14ac:dyDescent="0.2">
      <c r="F2845" s="50"/>
    </row>
    <row r="2846" spans="1:6" x14ac:dyDescent="0.2">
      <c r="A2846" s="60"/>
      <c r="C2846" s="60"/>
    </row>
    <row r="2848" spans="1:6" x14ac:dyDescent="0.2">
      <c r="F2848" s="50"/>
    </row>
    <row r="2849" spans="6:6" x14ac:dyDescent="0.2">
      <c r="F2849" s="50"/>
    </row>
    <row r="2850" spans="6:6" x14ac:dyDescent="0.2">
      <c r="F2850" s="50"/>
    </row>
    <row r="2851" spans="6:6" x14ac:dyDescent="0.2">
      <c r="F2851" s="50"/>
    </row>
    <row r="2852" spans="6:6" x14ac:dyDescent="0.2">
      <c r="F2852" s="50"/>
    </row>
    <row r="2853" spans="6:6" x14ac:dyDescent="0.2">
      <c r="F2853" s="50"/>
    </row>
    <row r="2854" spans="6:6" x14ac:dyDescent="0.2">
      <c r="F2854" s="50"/>
    </row>
    <row r="2855" spans="6:6" x14ac:dyDescent="0.2">
      <c r="F2855" s="50"/>
    </row>
    <row r="2856" spans="6:6" x14ac:dyDescent="0.2">
      <c r="F2856" s="50"/>
    </row>
    <row r="2857" spans="6:6" x14ac:dyDescent="0.2">
      <c r="F2857" s="50"/>
    </row>
    <row r="2858" spans="6:6" x14ac:dyDescent="0.2">
      <c r="F2858" s="50"/>
    </row>
    <row r="2859" spans="6:6" x14ac:dyDescent="0.2">
      <c r="F2859" s="50"/>
    </row>
    <row r="2860" spans="6:6" x14ac:dyDescent="0.2">
      <c r="F2860" s="50"/>
    </row>
    <row r="2861" spans="6:6" x14ac:dyDescent="0.2">
      <c r="F2861" s="50"/>
    </row>
    <row r="2862" spans="6:6" x14ac:dyDescent="0.2">
      <c r="F2862" s="50"/>
    </row>
    <row r="2863" spans="6:6" x14ac:dyDescent="0.2">
      <c r="F2863" s="50"/>
    </row>
    <row r="2864" spans="6:6" x14ac:dyDescent="0.2">
      <c r="F2864" s="50"/>
    </row>
    <row r="2865" spans="6:6" x14ac:dyDescent="0.2">
      <c r="F2865" s="50"/>
    </row>
    <row r="2866" spans="6:6" x14ac:dyDescent="0.2">
      <c r="F2866" s="50"/>
    </row>
    <row r="2867" spans="6:6" x14ac:dyDescent="0.2">
      <c r="F2867" s="50"/>
    </row>
    <row r="2868" spans="6:6" x14ac:dyDescent="0.2">
      <c r="F2868" s="50"/>
    </row>
    <row r="2869" spans="6:6" x14ac:dyDescent="0.2">
      <c r="F2869" s="50"/>
    </row>
    <row r="2870" spans="6:6" x14ac:dyDescent="0.2">
      <c r="F2870" s="50"/>
    </row>
    <row r="2871" spans="6:6" x14ac:dyDescent="0.2">
      <c r="F2871" s="50"/>
    </row>
    <row r="2872" spans="6:6" x14ac:dyDescent="0.2">
      <c r="F2872" s="50"/>
    </row>
    <row r="2873" spans="6:6" x14ac:dyDescent="0.2">
      <c r="F2873" s="50"/>
    </row>
    <row r="2874" spans="6:6" x14ac:dyDescent="0.2">
      <c r="F2874" s="50"/>
    </row>
    <row r="2875" spans="6:6" x14ac:dyDescent="0.2">
      <c r="F2875" s="50"/>
    </row>
    <row r="2876" spans="6:6" x14ac:dyDescent="0.2">
      <c r="F2876" s="50"/>
    </row>
    <row r="2877" spans="6:6" x14ac:dyDescent="0.2">
      <c r="F2877" s="50"/>
    </row>
    <row r="2878" spans="6:6" x14ac:dyDescent="0.2">
      <c r="F2878" s="50"/>
    </row>
    <row r="2879" spans="6:6" x14ac:dyDescent="0.2">
      <c r="F2879" s="50"/>
    </row>
    <row r="2880" spans="6:6" x14ac:dyDescent="0.2">
      <c r="F2880" s="50"/>
    </row>
    <row r="2881" spans="6:8" x14ac:dyDescent="0.2">
      <c r="F2881" s="50"/>
      <c r="G2881" s="50"/>
      <c r="H2881" s="50"/>
    </row>
    <row r="2882" spans="6:8" x14ac:dyDescent="0.2">
      <c r="F2882" s="50"/>
    </row>
    <row r="2883" spans="6:8" x14ac:dyDescent="0.2">
      <c r="F2883" s="50"/>
    </row>
    <row r="2884" spans="6:8" x14ac:dyDescent="0.2">
      <c r="F2884" s="50"/>
    </row>
    <row r="2885" spans="6:8" x14ac:dyDescent="0.2">
      <c r="F2885" s="50"/>
    </row>
    <row r="2889" spans="6:8" x14ac:dyDescent="0.2">
      <c r="F2889" s="50"/>
    </row>
    <row r="2890" spans="6:8" ht="12" customHeight="1" x14ac:dyDescent="0.2">
      <c r="F2890" s="50"/>
    </row>
    <row r="2891" spans="6:8" x14ac:dyDescent="0.2">
      <c r="F2891" s="50"/>
    </row>
    <row r="2892" spans="6:8" x14ac:dyDescent="0.2">
      <c r="F2892" s="50"/>
    </row>
    <row r="2893" spans="6:8" x14ac:dyDescent="0.2">
      <c r="F2893" s="50"/>
    </row>
    <row r="2894" spans="6:8" x14ac:dyDescent="0.2">
      <c r="F2894" s="50"/>
    </row>
    <row r="2895" spans="6:8" x14ac:dyDescent="0.2">
      <c r="F2895" s="50"/>
    </row>
    <row r="2896" spans="6:8" x14ac:dyDescent="0.2">
      <c r="F2896" s="50"/>
    </row>
    <row r="2897" spans="6:6" x14ac:dyDescent="0.2">
      <c r="F2897" s="50"/>
    </row>
    <row r="2898" spans="6:6" x14ac:dyDescent="0.2">
      <c r="F2898" s="50"/>
    </row>
    <row r="2899" spans="6:6" x14ac:dyDescent="0.2">
      <c r="F2899" s="50"/>
    </row>
    <row r="2900" spans="6:6" x14ac:dyDescent="0.2">
      <c r="F2900" s="50"/>
    </row>
    <row r="2901" spans="6:6" x14ac:dyDescent="0.2">
      <c r="F2901" s="50"/>
    </row>
    <row r="2902" spans="6:6" x14ac:dyDescent="0.2">
      <c r="F2902" s="50"/>
    </row>
    <row r="2903" spans="6:6" x14ac:dyDescent="0.2">
      <c r="F2903" s="50"/>
    </row>
    <row r="2904" spans="6:6" x14ac:dyDescent="0.2">
      <c r="F2904" s="50"/>
    </row>
    <row r="2905" spans="6:6" x14ac:dyDescent="0.2">
      <c r="F2905" s="50"/>
    </row>
    <row r="2906" spans="6:6" x14ac:dyDescent="0.2">
      <c r="F2906" s="50"/>
    </row>
    <row r="2907" spans="6:6" x14ac:dyDescent="0.2">
      <c r="F2907" s="50"/>
    </row>
    <row r="2908" spans="6:6" x14ac:dyDescent="0.2">
      <c r="F2908" s="50"/>
    </row>
    <row r="2909" spans="6:6" x14ac:dyDescent="0.2">
      <c r="F2909" s="50"/>
    </row>
    <row r="2910" spans="6:6" x14ac:dyDescent="0.2">
      <c r="F2910" s="50"/>
    </row>
    <row r="2911" spans="6:6" x14ac:dyDescent="0.2">
      <c r="F2911" s="50"/>
    </row>
    <row r="2912" spans="6:6" x14ac:dyDescent="0.2">
      <c r="F2912" s="50"/>
    </row>
    <row r="2913" spans="6:6" x14ac:dyDescent="0.2">
      <c r="F2913" s="50"/>
    </row>
    <row r="2914" spans="6:6" x14ac:dyDescent="0.2">
      <c r="F2914" s="50"/>
    </row>
    <row r="2915" spans="6:6" x14ac:dyDescent="0.2">
      <c r="F2915" s="50"/>
    </row>
    <row r="2916" spans="6:6" x14ac:dyDescent="0.2">
      <c r="F2916" s="50"/>
    </row>
    <row r="2917" spans="6:6" x14ac:dyDescent="0.2">
      <c r="F2917" s="50"/>
    </row>
    <row r="2918" spans="6:6" ht="14.25" customHeight="1" x14ac:dyDescent="0.2">
      <c r="F2918" s="50"/>
    </row>
    <row r="2919" spans="6:6" x14ac:dyDescent="0.2">
      <c r="F2919" s="50"/>
    </row>
    <row r="2920" spans="6:6" x14ac:dyDescent="0.2">
      <c r="F2920" s="50"/>
    </row>
    <row r="2921" spans="6:6" x14ac:dyDescent="0.2">
      <c r="F2921" s="50"/>
    </row>
    <row r="2922" spans="6:6" x14ac:dyDescent="0.2">
      <c r="F2922" s="50"/>
    </row>
    <row r="2923" spans="6:6" x14ac:dyDescent="0.2">
      <c r="F2923" s="50"/>
    </row>
    <row r="2924" spans="6:6" x14ac:dyDescent="0.2">
      <c r="F2924" s="50"/>
    </row>
    <row r="2925" spans="6:6" x14ac:dyDescent="0.2">
      <c r="F2925" s="50"/>
    </row>
    <row r="2926" spans="6:6" x14ac:dyDescent="0.2">
      <c r="F2926" s="50"/>
    </row>
    <row r="2927" spans="6:6" x14ac:dyDescent="0.2">
      <c r="F2927" s="50"/>
    </row>
    <row r="2928" spans="6:6" x14ac:dyDescent="0.2">
      <c r="F2928" s="50"/>
    </row>
    <row r="2929" spans="3:6" x14ac:dyDescent="0.2">
      <c r="F2929" s="50"/>
    </row>
    <row r="2930" spans="3:6" x14ac:dyDescent="0.2">
      <c r="F2930" s="50"/>
    </row>
    <row r="2931" spans="3:6" x14ac:dyDescent="0.2">
      <c r="F2931" s="50"/>
    </row>
    <row r="2932" spans="3:6" x14ac:dyDescent="0.2">
      <c r="F2932" s="50"/>
    </row>
    <row r="2933" spans="3:6" x14ac:dyDescent="0.2">
      <c r="F2933" s="50"/>
    </row>
    <row r="2934" spans="3:6" x14ac:dyDescent="0.2">
      <c r="F2934" s="50"/>
    </row>
    <row r="2935" spans="3:6" x14ac:dyDescent="0.2">
      <c r="F2935" s="50"/>
    </row>
    <row r="2936" spans="3:6" x14ac:dyDescent="0.2">
      <c r="F2936" s="50"/>
    </row>
    <row r="2937" spans="3:6" x14ac:dyDescent="0.2">
      <c r="F2937" s="50"/>
    </row>
    <row r="2938" spans="3:6" x14ac:dyDescent="0.2">
      <c r="F2938" s="50"/>
    </row>
    <row r="2939" spans="3:6" x14ac:dyDescent="0.2">
      <c r="F2939" s="50"/>
    </row>
    <row r="2940" spans="3:6" x14ac:dyDescent="0.2">
      <c r="F2940" s="50"/>
    </row>
    <row r="2941" spans="3:6" x14ac:dyDescent="0.2">
      <c r="F2941" s="50"/>
    </row>
    <row r="2942" spans="3:6" x14ac:dyDescent="0.2">
      <c r="F2942" s="50"/>
    </row>
    <row r="2943" spans="3:6" ht="15" x14ac:dyDescent="0.25">
      <c r="C2943" s="58"/>
    </row>
    <row r="2944" spans="3:6" x14ac:dyDescent="0.2">
      <c r="F2944" s="50"/>
    </row>
    <row r="2945" spans="6:6" x14ac:dyDescent="0.2">
      <c r="F2945" s="50"/>
    </row>
    <row r="2946" spans="6:6" x14ac:dyDescent="0.2">
      <c r="F2946" s="50"/>
    </row>
    <row r="2947" spans="6:6" x14ac:dyDescent="0.2">
      <c r="F2947" s="50"/>
    </row>
    <row r="2948" spans="6:6" x14ac:dyDescent="0.2">
      <c r="F2948" s="50"/>
    </row>
    <row r="2949" spans="6:6" x14ac:dyDescent="0.2">
      <c r="F2949" s="50"/>
    </row>
    <row r="2950" spans="6:6" x14ac:dyDescent="0.2">
      <c r="F2950" s="50"/>
    </row>
    <row r="2951" spans="6:6" x14ac:dyDescent="0.2">
      <c r="F2951" s="50"/>
    </row>
    <row r="2952" spans="6:6" x14ac:dyDescent="0.2">
      <c r="F2952" s="50"/>
    </row>
    <row r="2953" spans="6:6" x14ac:dyDescent="0.2">
      <c r="F2953" s="50"/>
    </row>
    <row r="2954" spans="6:6" x14ac:dyDescent="0.2">
      <c r="F2954" s="50"/>
    </row>
    <row r="2955" spans="6:6" x14ac:dyDescent="0.2">
      <c r="F2955" s="50"/>
    </row>
    <row r="2956" spans="6:6" x14ac:dyDescent="0.2">
      <c r="F2956" s="50"/>
    </row>
    <row r="2957" spans="6:6" x14ac:dyDescent="0.2">
      <c r="F2957" s="50"/>
    </row>
    <row r="2958" spans="6:6" x14ac:dyDescent="0.2">
      <c r="F2958" s="50"/>
    </row>
    <row r="2959" spans="6:6" x14ac:dyDescent="0.2">
      <c r="F2959" s="50"/>
    </row>
    <row r="2960" spans="6:6" x14ac:dyDescent="0.2">
      <c r="F2960" s="50"/>
    </row>
    <row r="2961" spans="6:6" x14ac:dyDescent="0.2">
      <c r="F2961" s="50"/>
    </row>
    <row r="2962" spans="6:6" x14ac:dyDescent="0.2">
      <c r="F2962" s="50"/>
    </row>
    <row r="2963" spans="6:6" x14ac:dyDescent="0.2">
      <c r="F2963" s="50"/>
    </row>
    <row r="2964" spans="6:6" x14ac:dyDescent="0.2">
      <c r="F2964" s="50"/>
    </row>
    <row r="2965" spans="6:6" x14ac:dyDescent="0.2">
      <c r="F2965" s="50"/>
    </row>
    <row r="2966" spans="6:6" x14ac:dyDescent="0.2">
      <c r="F2966" s="50"/>
    </row>
    <row r="2967" spans="6:6" x14ac:dyDescent="0.2">
      <c r="F2967" s="50"/>
    </row>
    <row r="2968" spans="6:6" x14ac:dyDescent="0.2">
      <c r="F2968" s="50"/>
    </row>
    <row r="2969" spans="6:6" x14ac:dyDescent="0.2">
      <c r="F2969" s="50"/>
    </row>
    <row r="2970" spans="6:6" x14ac:dyDescent="0.2">
      <c r="F2970" s="50"/>
    </row>
    <row r="2971" spans="6:6" x14ac:dyDescent="0.2">
      <c r="F2971" s="50"/>
    </row>
    <row r="2972" spans="6:6" x14ac:dyDescent="0.2">
      <c r="F2972" s="50"/>
    </row>
    <row r="2973" spans="6:6" x14ac:dyDescent="0.2">
      <c r="F2973" s="50"/>
    </row>
    <row r="2974" spans="6:6" x14ac:dyDescent="0.2">
      <c r="F2974" s="50"/>
    </row>
    <row r="2975" spans="6:6" x14ac:dyDescent="0.2">
      <c r="F2975" s="50"/>
    </row>
    <row r="2976" spans="6:6" x14ac:dyDescent="0.2">
      <c r="F2976" s="50"/>
    </row>
    <row r="2977" spans="1:6" x14ac:dyDescent="0.2">
      <c r="F2977" s="50"/>
    </row>
    <row r="2978" spans="1:6" x14ac:dyDescent="0.2">
      <c r="F2978" s="50"/>
    </row>
    <row r="2979" spans="1:6" x14ac:dyDescent="0.2">
      <c r="F2979" s="50"/>
    </row>
    <row r="2980" spans="1:6" x14ac:dyDescent="0.2">
      <c r="F2980" s="50"/>
    </row>
    <row r="2981" spans="1:6" x14ac:dyDescent="0.2">
      <c r="F2981" s="50"/>
    </row>
    <row r="2982" spans="1:6" x14ac:dyDescent="0.2">
      <c r="F2982" s="50"/>
    </row>
    <row r="2983" spans="1:6" x14ac:dyDescent="0.2">
      <c r="A2983" s="60"/>
      <c r="C2983" s="60"/>
    </row>
    <row r="2984" spans="1:6" x14ac:dyDescent="0.2">
      <c r="F2984" s="50"/>
    </row>
    <row r="2985" spans="1:6" x14ac:dyDescent="0.2">
      <c r="F2985" s="50"/>
    </row>
    <row r="2987" spans="1:6" x14ac:dyDescent="0.2">
      <c r="F2987" s="50"/>
    </row>
    <row r="2988" spans="1:6" x14ac:dyDescent="0.2">
      <c r="F2988" s="50"/>
    </row>
    <row r="2989" spans="1:6" x14ac:dyDescent="0.2">
      <c r="F2989" s="50"/>
    </row>
    <row r="2990" spans="1:6" x14ac:dyDescent="0.2">
      <c r="F2990" s="50"/>
    </row>
    <row r="2991" spans="1:6" x14ac:dyDescent="0.2">
      <c r="F2991" s="50"/>
    </row>
    <row r="2992" spans="1:6" x14ac:dyDescent="0.2">
      <c r="F2992" s="50"/>
    </row>
    <row r="2993" spans="6:6" x14ac:dyDescent="0.2">
      <c r="F2993" s="50"/>
    </row>
    <row r="2994" spans="6:6" x14ac:dyDescent="0.2">
      <c r="F2994" s="50"/>
    </row>
    <row r="2995" spans="6:6" x14ac:dyDescent="0.2">
      <c r="F2995" s="50"/>
    </row>
    <row r="2996" spans="6:6" x14ac:dyDescent="0.2">
      <c r="F2996" s="50"/>
    </row>
    <row r="2997" spans="6:6" x14ac:dyDescent="0.2">
      <c r="F2997" s="50"/>
    </row>
    <row r="2998" spans="6:6" x14ac:dyDescent="0.2">
      <c r="F2998" s="50"/>
    </row>
    <row r="2999" spans="6:6" x14ac:dyDescent="0.2">
      <c r="F2999" s="50"/>
    </row>
    <row r="3000" spans="6:6" x14ac:dyDescent="0.2">
      <c r="F3000" s="50"/>
    </row>
    <row r="3001" spans="6:6" x14ac:dyDescent="0.2">
      <c r="F3001" s="50"/>
    </row>
    <row r="3002" spans="6:6" x14ac:dyDescent="0.2">
      <c r="F3002" s="50"/>
    </row>
    <row r="3003" spans="6:6" x14ac:dyDescent="0.2">
      <c r="F3003" s="50"/>
    </row>
    <row r="3004" spans="6:6" x14ac:dyDescent="0.2">
      <c r="F3004" s="50"/>
    </row>
    <row r="3005" spans="6:6" x14ac:dyDescent="0.2">
      <c r="F3005" s="50"/>
    </row>
    <row r="3006" spans="6:6" x14ac:dyDescent="0.2">
      <c r="F3006" s="50"/>
    </row>
    <row r="3007" spans="6:6" x14ac:dyDescent="0.2">
      <c r="F3007" s="50"/>
    </row>
    <row r="3008" spans="6:6" x14ac:dyDescent="0.2">
      <c r="F3008" s="50"/>
    </row>
    <row r="3009" spans="6:6" x14ac:dyDescent="0.2">
      <c r="F3009" s="50"/>
    </row>
    <row r="3012" spans="6:6" x14ac:dyDescent="0.2">
      <c r="F3012" s="50"/>
    </row>
    <row r="3014" spans="6:6" x14ac:dyDescent="0.2">
      <c r="F3014" s="50"/>
    </row>
    <row r="3015" spans="6:6" x14ac:dyDescent="0.2">
      <c r="F3015" s="50"/>
    </row>
    <row r="3016" spans="6:6" x14ac:dyDescent="0.2">
      <c r="F3016" s="50"/>
    </row>
    <row r="3017" spans="6:6" x14ac:dyDescent="0.2">
      <c r="F3017" s="50"/>
    </row>
    <row r="3018" spans="6:6" x14ac:dyDescent="0.2">
      <c r="F3018" s="50"/>
    </row>
    <row r="3019" spans="6:6" x14ac:dyDescent="0.2">
      <c r="F3019" s="50"/>
    </row>
    <row r="3020" spans="6:6" x14ac:dyDescent="0.2">
      <c r="F3020" s="50"/>
    </row>
    <row r="3021" spans="6:6" x14ac:dyDescent="0.2">
      <c r="F3021" s="50"/>
    </row>
    <row r="3022" spans="6:6" x14ac:dyDescent="0.2">
      <c r="F3022" s="50"/>
    </row>
    <row r="3023" spans="6:6" x14ac:dyDescent="0.2">
      <c r="F3023" s="50"/>
    </row>
    <row r="3024" spans="6:6" x14ac:dyDescent="0.2">
      <c r="F3024" s="50"/>
    </row>
    <row r="3025" spans="6:8" x14ac:dyDescent="0.2">
      <c r="F3025" s="50"/>
    </row>
    <row r="3026" spans="6:8" x14ac:dyDescent="0.2">
      <c r="F3026" s="50"/>
    </row>
    <row r="3027" spans="6:8" x14ac:dyDescent="0.2">
      <c r="F3027" s="50"/>
    </row>
    <row r="3028" spans="6:8" x14ac:dyDescent="0.2">
      <c r="F3028" s="50"/>
    </row>
    <row r="3029" spans="6:8" x14ac:dyDescent="0.2">
      <c r="F3029" s="50"/>
    </row>
    <row r="3030" spans="6:8" x14ac:dyDescent="0.2">
      <c r="F3030" s="50"/>
    </row>
    <row r="3031" spans="6:8" x14ac:dyDescent="0.2">
      <c r="F3031" s="50"/>
    </row>
    <row r="3032" spans="6:8" x14ac:dyDescent="0.2">
      <c r="F3032" s="50"/>
    </row>
    <row r="3033" spans="6:8" x14ac:dyDescent="0.2">
      <c r="F3033" s="50"/>
    </row>
    <row r="3034" spans="6:8" x14ac:dyDescent="0.2">
      <c r="F3034" s="50"/>
    </row>
    <row r="3035" spans="6:8" x14ac:dyDescent="0.2">
      <c r="F3035" s="50"/>
    </row>
    <row r="3036" spans="6:8" x14ac:dyDescent="0.2">
      <c r="F3036" s="50"/>
      <c r="H3036"/>
    </row>
    <row r="3037" spans="6:8" x14ac:dyDescent="0.2">
      <c r="F3037" s="50"/>
    </row>
    <row r="3038" spans="6:8" x14ac:dyDescent="0.2">
      <c r="F3038" s="50"/>
    </row>
    <row r="3039" spans="6:8" x14ac:dyDescent="0.2">
      <c r="F3039" s="50"/>
    </row>
    <row r="3040" spans="6:8" x14ac:dyDescent="0.2">
      <c r="F3040" s="50"/>
    </row>
    <row r="3041" spans="6:6" x14ac:dyDescent="0.2">
      <c r="F3041" s="50"/>
    </row>
    <row r="3042" spans="6:6" x14ac:dyDescent="0.2">
      <c r="F3042" s="50"/>
    </row>
    <row r="3043" spans="6:6" x14ac:dyDescent="0.2">
      <c r="F3043" s="50"/>
    </row>
    <row r="3044" spans="6:6" x14ac:dyDescent="0.2">
      <c r="F3044" s="50"/>
    </row>
    <row r="3045" spans="6:6" x14ac:dyDescent="0.2">
      <c r="F3045" s="50"/>
    </row>
    <row r="3046" spans="6:6" x14ac:dyDescent="0.2">
      <c r="F3046" s="50"/>
    </row>
    <row r="3047" spans="6:6" x14ac:dyDescent="0.2">
      <c r="F3047" s="50"/>
    </row>
    <row r="3048" spans="6:6" x14ac:dyDescent="0.2">
      <c r="F3048" s="50"/>
    </row>
    <row r="3049" spans="6:6" x14ac:dyDescent="0.2">
      <c r="F3049" s="50"/>
    </row>
    <row r="3050" spans="6:6" x14ac:dyDescent="0.2">
      <c r="F3050" s="50"/>
    </row>
    <row r="3051" spans="6:6" x14ac:dyDescent="0.2">
      <c r="F3051" s="50"/>
    </row>
    <row r="3052" spans="6:6" x14ac:dyDescent="0.2">
      <c r="F3052" s="50"/>
    </row>
    <row r="3053" spans="6:6" x14ac:dyDescent="0.2">
      <c r="F3053" s="50"/>
    </row>
    <row r="3054" spans="6:6" x14ac:dyDescent="0.2">
      <c r="F3054" s="50"/>
    </row>
    <row r="3055" spans="6:6" x14ac:dyDescent="0.2">
      <c r="F3055" s="50"/>
    </row>
    <row r="3056" spans="6:6" x14ac:dyDescent="0.2">
      <c r="F3056" s="50"/>
    </row>
    <row r="3059" spans="6:6" x14ac:dyDescent="0.2">
      <c r="F3059" s="50"/>
    </row>
    <row r="3060" spans="6:6" x14ac:dyDescent="0.2">
      <c r="F3060" s="50"/>
    </row>
    <row r="3061" spans="6:6" x14ac:dyDescent="0.2">
      <c r="F3061" s="50"/>
    </row>
    <row r="3062" spans="6:6" x14ac:dyDescent="0.2">
      <c r="F3062" s="50"/>
    </row>
    <row r="3063" spans="6:6" x14ac:dyDescent="0.2">
      <c r="F3063" s="50"/>
    </row>
    <row r="3064" spans="6:6" x14ac:dyDescent="0.2">
      <c r="F3064" s="50"/>
    </row>
    <row r="3065" spans="6:6" x14ac:dyDescent="0.2">
      <c r="F3065" s="50"/>
    </row>
    <row r="3066" spans="6:6" x14ac:dyDescent="0.2">
      <c r="F3066" s="50"/>
    </row>
    <row r="3067" spans="6:6" x14ac:dyDescent="0.2">
      <c r="F3067" s="50"/>
    </row>
    <row r="3068" spans="6:6" x14ac:dyDescent="0.2">
      <c r="F3068" s="50"/>
    </row>
    <row r="3069" spans="6:6" x14ac:dyDescent="0.2">
      <c r="F3069" s="50"/>
    </row>
    <row r="3070" spans="6:6" x14ac:dyDescent="0.2">
      <c r="F3070" s="50"/>
    </row>
    <row r="3071" spans="6:6" x14ac:dyDescent="0.2">
      <c r="F3071" s="50"/>
    </row>
    <row r="3072" spans="6:6" x14ac:dyDescent="0.2">
      <c r="F3072" s="50"/>
    </row>
    <row r="3073" spans="6:6" x14ac:dyDescent="0.2">
      <c r="F3073" s="50"/>
    </row>
    <row r="3074" spans="6:6" x14ac:dyDescent="0.2">
      <c r="F3074" s="50"/>
    </row>
    <row r="3075" spans="6:6" x14ac:dyDescent="0.2">
      <c r="F3075" s="50"/>
    </row>
    <row r="3076" spans="6:6" x14ac:dyDescent="0.2">
      <c r="F3076" s="50"/>
    </row>
    <row r="3077" spans="6:6" x14ac:dyDescent="0.2">
      <c r="F3077" s="50"/>
    </row>
    <row r="3078" spans="6:6" x14ac:dyDescent="0.2">
      <c r="F3078" s="50"/>
    </row>
    <row r="3079" spans="6:6" x14ac:dyDescent="0.2">
      <c r="F3079" s="50"/>
    </row>
    <row r="3080" spans="6:6" x14ac:dyDescent="0.2">
      <c r="F3080" s="50"/>
    </row>
    <row r="3081" spans="6:6" x14ac:dyDescent="0.2">
      <c r="F3081" s="50"/>
    </row>
    <row r="3082" spans="6:6" x14ac:dyDescent="0.2">
      <c r="F3082" s="50"/>
    </row>
    <row r="3083" spans="6:6" x14ac:dyDescent="0.2">
      <c r="F3083" s="50"/>
    </row>
    <row r="3084" spans="6:6" x14ac:dyDescent="0.2">
      <c r="F3084" s="50"/>
    </row>
    <row r="3085" spans="6:6" x14ac:dyDescent="0.2">
      <c r="F3085" s="50"/>
    </row>
    <row r="3086" spans="6:6" x14ac:dyDescent="0.2">
      <c r="F3086" s="50"/>
    </row>
    <row r="3087" spans="6:6" x14ac:dyDescent="0.2">
      <c r="F3087" s="50"/>
    </row>
    <row r="3088" spans="6:6" x14ac:dyDescent="0.2">
      <c r="F3088" s="50"/>
    </row>
    <row r="3089" spans="6:6" x14ac:dyDescent="0.2">
      <c r="F3089" s="50"/>
    </row>
    <row r="3090" spans="6:6" x14ac:dyDescent="0.2">
      <c r="F3090" s="50"/>
    </row>
    <row r="3091" spans="6:6" x14ac:dyDescent="0.2">
      <c r="F3091" s="50"/>
    </row>
    <row r="3092" spans="6:6" x14ac:dyDescent="0.2">
      <c r="F3092" s="50"/>
    </row>
    <row r="3093" spans="6:6" x14ac:dyDescent="0.2">
      <c r="F3093" s="50"/>
    </row>
    <row r="3094" spans="6:6" x14ac:dyDescent="0.2">
      <c r="F3094" s="50"/>
    </row>
    <row r="3095" spans="6:6" x14ac:dyDescent="0.2">
      <c r="F3095" s="50"/>
    </row>
    <row r="3096" spans="6:6" x14ac:dyDescent="0.2">
      <c r="F3096" s="50"/>
    </row>
    <row r="3097" spans="6:6" x14ac:dyDescent="0.2">
      <c r="F3097" s="50"/>
    </row>
    <row r="3098" spans="6:6" x14ac:dyDescent="0.2">
      <c r="F3098" s="50"/>
    </row>
    <row r="3099" spans="6:6" x14ac:dyDescent="0.2">
      <c r="F3099" s="50"/>
    </row>
    <row r="3100" spans="6:6" x14ac:dyDescent="0.2">
      <c r="F3100" s="50"/>
    </row>
    <row r="3101" spans="6:6" x14ac:dyDescent="0.2">
      <c r="F3101" s="50"/>
    </row>
    <row r="3102" spans="6:6" x14ac:dyDescent="0.2">
      <c r="F3102" s="50"/>
    </row>
    <row r="3103" spans="6:6" x14ac:dyDescent="0.2">
      <c r="F3103" s="50"/>
    </row>
    <row r="3104" spans="6:6" x14ac:dyDescent="0.2">
      <c r="F3104" s="50"/>
    </row>
    <row r="3105" spans="6:6" x14ac:dyDescent="0.2">
      <c r="F3105" s="50"/>
    </row>
    <row r="3106" spans="6:6" x14ac:dyDescent="0.2">
      <c r="F3106" s="50"/>
    </row>
    <row r="3107" spans="6:6" x14ac:dyDescent="0.2">
      <c r="F3107" s="50"/>
    </row>
    <row r="3108" spans="6:6" x14ac:dyDescent="0.2">
      <c r="F3108" s="50"/>
    </row>
    <row r="3109" spans="6:6" x14ac:dyDescent="0.2">
      <c r="F3109" s="50"/>
    </row>
    <row r="3110" spans="6:6" x14ac:dyDescent="0.2">
      <c r="F3110" s="50"/>
    </row>
    <row r="3111" spans="6:6" x14ac:dyDescent="0.2">
      <c r="F3111" s="50"/>
    </row>
    <row r="3112" spans="6:6" x14ac:dyDescent="0.2">
      <c r="F3112" s="50"/>
    </row>
    <row r="3113" spans="6:6" x14ac:dyDescent="0.2">
      <c r="F3113" s="50"/>
    </row>
    <row r="3114" spans="6:6" x14ac:dyDescent="0.2">
      <c r="F3114" s="50"/>
    </row>
    <row r="3115" spans="6:6" x14ac:dyDescent="0.2">
      <c r="F3115" s="50"/>
    </row>
    <row r="3116" spans="6:6" x14ac:dyDescent="0.2">
      <c r="F3116" s="50"/>
    </row>
    <row r="3117" spans="6:6" x14ac:dyDescent="0.2">
      <c r="F3117" s="50"/>
    </row>
    <row r="3118" spans="6:6" ht="12" customHeight="1" x14ac:dyDescent="0.2">
      <c r="F3118" s="50"/>
    </row>
    <row r="3119" spans="6:6" x14ac:dyDescent="0.2">
      <c r="F3119" s="50"/>
    </row>
    <row r="3120" spans="6:6" x14ac:dyDescent="0.2">
      <c r="F3120" s="50"/>
    </row>
    <row r="3121" spans="6:6" x14ac:dyDescent="0.2">
      <c r="F3121" s="50"/>
    </row>
    <row r="3122" spans="6:6" x14ac:dyDescent="0.2">
      <c r="F3122" s="50"/>
    </row>
    <row r="3123" spans="6:6" x14ac:dyDescent="0.2">
      <c r="F3123" s="50"/>
    </row>
    <row r="3124" spans="6:6" x14ac:dyDescent="0.2">
      <c r="F3124" s="50"/>
    </row>
    <row r="3125" spans="6:6" x14ac:dyDescent="0.2">
      <c r="F3125" s="50"/>
    </row>
    <row r="3126" spans="6:6" x14ac:dyDescent="0.2">
      <c r="F3126" s="50"/>
    </row>
    <row r="3127" spans="6:6" x14ac:dyDescent="0.2">
      <c r="F3127" s="50"/>
    </row>
    <row r="3128" spans="6:6" x14ac:dyDescent="0.2">
      <c r="F3128" s="50"/>
    </row>
    <row r="3129" spans="6:6" x14ac:dyDescent="0.2">
      <c r="F3129" s="50"/>
    </row>
    <row r="3130" spans="6:6" x14ac:dyDescent="0.2">
      <c r="F3130" s="50"/>
    </row>
    <row r="3131" spans="6:6" x14ac:dyDescent="0.2">
      <c r="F3131" s="50"/>
    </row>
    <row r="3132" spans="6:6" x14ac:dyDescent="0.2">
      <c r="F3132" s="50"/>
    </row>
    <row r="3133" spans="6:6" x14ac:dyDescent="0.2">
      <c r="F3133" s="50"/>
    </row>
    <row r="3134" spans="6:6" x14ac:dyDescent="0.2">
      <c r="F3134" s="50"/>
    </row>
    <row r="3135" spans="6:6" x14ac:dyDescent="0.2">
      <c r="F3135" s="50"/>
    </row>
    <row r="3136" spans="6:6" x14ac:dyDescent="0.2">
      <c r="F3136" s="50"/>
    </row>
    <row r="3137" spans="6:6" x14ac:dyDescent="0.2">
      <c r="F3137" s="50"/>
    </row>
    <row r="3138" spans="6:6" x14ac:dyDescent="0.2">
      <c r="F3138" s="50"/>
    </row>
    <row r="3139" spans="6:6" x14ac:dyDescent="0.2">
      <c r="F3139" s="50"/>
    </row>
    <row r="3140" spans="6:6" x14ac:dyDescent="0.2">
      <c r="F3140" s="50"/>
    </row>
    <row r="3141" spans="6:6" x14ac:dyDescent="0.2">
      <c r="F3141" s="50"/>
    </row>
    <row r="3142" spans="6:6" x14ac:dyDescent="0.2">
      <c r="F3142" s="50"/>
    </row>
    <row r="3143" spans="6:6" x14ac:dyDescent="0.2">
      <c r="F3143" s="50"/>
    </row>
    <row r="3144" spans="6:6" x14ac:dyDescent="0.2">
      <c r="F3144" s="50"/>
    </row>
    <row r="3145" spans="6:6" x14ac:dyDescent="0.2">
      <c r="F3145" s="50"/>
    </row>
    <row r="3146" spans="6:6" x14ac:dyDescent="0.2">
      <c r="F3146" s="50"/>
    </row>
    <row r="3147" spans="6:6" x14ac:dyDescent="0.2">
      <c r="F3147" s="50"/>
    </row>
    <row r="3148" spans="6:6" x14ac:dyDescent="0.2">
      <c r="F3148" s="50"/>
    </row>
    <row r="3149" spans="6:6" x14ac:dyDescent="0.2">
      <c r="F3149" s="50"/>
    </row>
    <row r="3150" spans="6:6" x14ac:dyDescent="0.2">
      <c r="F3150" s="50"/>
    </row>
    <row r="3151" spans="6:6" x14ac:dyDescent="0.2">
      <c r="F3151" s="50"/>
    </row>
    <row r="3152" spans="6:6" x14ac:dyDescent="0.2">
      <c r="F3152" s="50"/>
    </row>
    <row r="3153" spans="6:6" x14ac:dyDescent="0.2">
      <c r="F3153" s="50"/>
    </row>
    <row r="3154" spans="6:6" x14ac:dyDescent="0.2">
      <c r="F3154" s="50"/>
    </row>
    <row r="3155" spans="6:6" x14ac:dyDescent="0.2">
      <c r="F3155" s="50"/>
    </row>
    <row r="3156" spans="6:6" x14ac:dyDescent="0.2">
      <c r="F3156" s="50"/>
    </row>
    <row r="3157" spans="6:6" x14ac:dyDescent="0.2">
      <c r="F3157" s="50"/>
    </row>
    <row r="3158" spans="6:6" x14ac:dyDescent="0.2">
      <c r="F3158" s="50"/>
    </row>
    <row r="3159" spans="6:6" x14ac:dyDescent="0.2">
      <c r="F3159" s="50"/>
    </row>
    <row r="3160" spans="6:6" x14ac:dyDescent="0.2">
      <c r="F3160" s="50"/>
    </row>
    <row r="3161" spans="6:6" x14ac:dyDescent="0.2">
      <c r="F3161" s="50"/>
    </row>
    <row r="3162" spans="6:6" x14ac:dyDescent="0.2">
      <c r="F3162" s="50"/>
    </row>
    <row r="3163" spans="6:6" x14ac:dyDescent="0.2">
      <c r="F3163" s="50"/>
    </row>
    <row r="3164" spans="6:6" x14ac:dyDescent="0.2">
      <c r="F3164" s="50"/>
    </row>
    <row r="3165" spans="6:6" x14ac:dyDescent="0.2">
      <c r="F3165" s="50"/>
    </row>
    <row r="3166" spans="6:6" x14ac:dyDescent="0.2">
      <c r="F3166" s="50"/>
    </row>
    <row r="3167" spans="6:6" x14ac:dyDescent="0.2">
      <c r="F3167" s="50"/>
    </row>
    <row r="3168" spans="6:6" x14ac:dyDescent="0.2">
      <c r="F3168" s="50"/>
    </row>
    <row r="3169" spans="6:6" x14ac:dyDescent="0.2">
      <c r="F3169" s="50"/>
    </row>
    <row r="3170" spans="6:6" x14ac:dyDescent="0.2">
      <c r="F3170" s="50"/>
    </row>
    <row r="3171" spans="6:6" x14ac:dyDescent="0.2">
      <c r="F3171" s="50"/>
    </row>
    <row r="3172" spans="6:6" x14ac:dyDescent="0.2">
      <c r="F3172" s="50"/>
    </row>
    <row r="3173" spans="6:6" x14ac:dyDescent="0.2">
      <c r="F3173" s="50"/>
    </row>
    <row r="3174" spans="6:6" x14ac:dyDescent="0.2">
      <c r="F3174" s="50"/>
    </row>
    <row r="3175" spans="6:6" x14ac:dyDescent="0.2">
      <c r="F3175" s="50"/>
    </row>
    <row r="3176" spans="6:6" x14ac:dyDescent="0.2">
      <c r="F3176" s="50"/>
    </row>
    <row r="3177" spans="6:6" x14ac:dyDescent="0.2">
      <c r="F3177" s="50"/>
    </row>
    <row r="3178" spans="6:6" x14ac:dyDescent="0.2">
      <c r="F3178" s="50"/>
    </row>
    <row r="3179" spans="6:6" x14ac:dyDescent="0.2">
      <c r="F3179" s="50"/>
    </row>
    <row r="3180" spans="6:6" x14ac:dyDescent="0.2">
      <c r="F3180" s="50"/>
    </row>
    <row r="3181" spans="6:6" x14ac:dyDescent="0.2">
      <c r="F3181" s="50"/>
    </row>
    <row r="3182" spans="6:6" x14ac:dyDescent="0.2">
      <c r="F3182" s="50"/>
    </row>
    <row r="3183" spans="6:6" x14ac:dyDescent="0.2">
      <c r="F3183" s="50"/>
    </row>
    <row r="3184" spans="6:6" x14ac:dyDescent="0.2">
      <c r="F3184" s="50"/>
    </row>
    <row r="3185" spans="6:6" x14ac:dyDescent="0.2">
      <c r="F3185" s="50"/>
    </row>
    <row r="3186" spans="6:6" x14ac:dyDescent="0.2">
      <c r="F3186" s="50"/>
    </row>
    <row r="3187" spans="6:6" x14ac:dyDescent="0.2">
      <c r="F3187" s="50"/>
    </row>
    <row r="3188" spans="6:6" x14ac:dyDescent="0.2">
      <c r="F3188" s="50"/>
    </row>
    <row r="3189" spans="6:6" x14ac:dyDescent="0.2">
      <c r="F3189" s="50"/>
    </row>
    <row r="3190" spans="6:6" x14ac:dyDescent="0.2">
      <c r="F3190" s="50"/>
    </row>
    <row r="3191" spans="6:6" x14ac:dyDescent="0.2">
      <c r="F3191" s="50"/>
    </row>
    <row r="3192" spans="6:6" x14ac:dyDescent="0.2">
      <c r="F3192" s="50"/>
    </row>
    <row r="3193" spans="6:6" x14ac:dyDescent="0.2">
      <c r="F3193" s="50"/>
    </row>
    <row r="3194" spans="6:6" x14ac:dyDescent="0.2">
      <c r="F3194" s="50"/>
    </row>
    <row r="3195" spans="6:6" x14ac:dyDescent="0.2">
      <c r="F3195" s="50"/>
    </row>
    <row r="3196" spans="6:6" x14ac:dyDescent="0.2">
      <c r="F3196" s="50"/>
    </row>
    <row r="3197" spans="6:6" x14ac:dyDescent="0.2">
      <c r="F3197" s="50"/>
    </row>
    <row r="3198" spans="6:6" x14ac:dyDescent="0.2">
      <c r="F3198" s="50"/>
    </row>
    <row r="3199" spans="6:6" x14ac:dyDescent="0.2">
      <c r="F3199" s="50"/>
    </row>
    <row r="3201" spans="6:6" x14ac:dyDescent="0.2">
      <c r="F3201" s="50"/>
    </row>
    <row r="3202" spans="6:6" x14ac:dyDescent="0.2">
      <c r="F3202" s="50"/>
    </row>
    <row r="3203" spans="6:6" x14ac:dyDescent="0.2">
      <c r="F3203" s="50"/>
    </row>
    <row r="3204" spans="6:6" x14ac:dyDescent="0.2">
      <c r="F3204" s="50"/>
    </row>
    <row r="3205" spans="6:6" x14ac:dyDescent="0.2">
      <c r="F3205" s="50"/>
    </row>
    <row r="3206" spans="6:6" x14ac:dyDescent="0.2">
      <c r="F3206" s="50"/>
    </row>
    <row r="3207" spans="6:6" x14ac:dyDescent="0.2">
      <c r="F3207" s="50"/>
    </row>
    <row r="3208" spans="6:6" x14ac:dyDescent="0.2">
      <c r="F3208" s="50"/>
    </row>
    <row r="3209" spans="6:6" x14ac:dyDescent="0.2">
      <c r="F3209" s="50"/>
    </row>
    <row r="3210" spans="6:6" x14ac:dyDescent="0.2">
      <c r="F3210" s="50"/>
    </row>
    <row r="3211" spans="6:6" x14ac:dyDescent="0.2">
      <c r="F3211" s="50"/>
    </row>
    <row r="3212" spans="6:6" x14ac:dyDescent="0.2">
      <c r="F3212" s="50"/>
    </row>
    <row r="3214" spans="6:6" x14ac:dyDescent="0.2">
      <c r="F3214" s="50"/>
    </row>
    <row r="3215" spans="6:6" x14ac:dyDescent="0.2">
      <c r="F3215" s="50"/>
    </row>
    <row r="3216" spans="6:6" x14ac:dyDescent="0.2">
      <c r="F3216" s="50"/>
    </row>
    <row r="3217" spans="6:8" x14ac:dyDescent="0.2">
      <c r="F3217" s="50"/>
    </row>
    <row r="3218" spans="6:8" x14ac:dyDescent="0.2">
      <c r="F3218" s="50"/>
    </row>
    <row r="3219" spans="6:8" x14ac:dyDescent="0.2">
      <c r="F3219" s="50"/>
    </row>
    <row r="3220" spans="6:8" x14ac:dyDescent="0.2">
      <c r="F3220" s="50"/>
    </row>
    <row r="3221" spans="6:8" x14ac:dyDescent="0.2">
      <c r="F3221" s="50"/>
    </row>
    <row r="3222" spans="6:8" x14ac:dyDescent="0.2">
      <c r="F3222" s="50"/>
    </row>
    <row r="3223" spans="6:8" x14ac:dyDescent="0.2">
      <c r="F3223" s="50"/>
    </row>
    <row r="3224" spans="6:8" x14ac:dyDescent="0.2">
      <c r="F3224" s="50"/>
    </row>
    <row r="3225" spans="6:8" x14ac:dyDescent="0.2">
      <c r="F3225" s="50"/>
    </row>
    <row r="3226" spans="6:8" x14ac:dyDescent="0.2">
      <c r="F3226" s="50"/>
    </row>
    <row r="3227" spans="6:8" x14ac:dyDescent="0.2">
      <c r="F3227" s="50"/>
    </row>
    <row r="3228" spans="6:8" x14ac:dyDescent="0.2">
      <c r="F3228" s="50"/>
    </row>
    <row r="3229" spans="6:8" x14ac:dyDescent="0.2">
      <c r="F3229" s="50"/>
    </row>
    <row r="3230" spans="6:8" x14ac:dyDescent="0.2">
      <c r="F3230" s="50"/>
    </row>
    <row r="3231" spans="6:8" x14ac:dyDescent="0.2">
      <c r="F3231" s="50"/>
      <c r="G3231" s="50"/>
      <c r="H3231" s="50"/>
    </row>
    <row r="3232" spans="6:8" x14ac:dyDescent="0.2">
      <c r="F3232" s="50"/>
    </row>
    <row r="3233" spans="6:6" x14ac:dyDescent="0.2">
      <c r="F3233" s="50"/>
    </row>
    <row r="3234" spans="6:6" x14ac:dyDescent="0.2">
      <c r="F3234" s="50"/>
    </row>
    <row r="3235" spans="6:6" x14ac:dyDescent="0.2">
      <c r="F3235" s="50"/>
    </row>
    <row r="3236" spans="6:6" x14ac:dyDescent="0.2">
      <c r="F3236" s="50"/>
    </row>
    <row r="3237" spans="6:6" x14ac:dyDescent="0.2">
      <c r="F3237" s="50"/>
    </row>
    <row r="3238" spans="6:6" x14ac:dyDescent="0.2">
      <c r="F3238" s="50"/>
    </row>
    <row r="3239" spans="6:6" x14ac:dyDescent="0.2">
      <c r="F3239" s="50"/>
    </row>
    <row r="3240" spans="6:6" x14ac:dyDescent="0.2">
      <c r="F3240" s="50"/>
    </row>
    <row r="3241" spans="6:6" x14ac:dyDescent="0.2">
      <c r="F3241" s="50"/>
    </row>
    <row r="3242" spans="6:6" x14ac:dyDescent="0.2">
      <c r="F3242" s="50"/>
    </row>
    <row r="3243" spans="6:6" x14ac:dyDescent="0.2">
      <c r="F3243" s="50"/>
    </row>
    <row r="3244" spans="6:6" x14ac:dyDescent="0.2">
      <c r="F3244" s="50"/>
    </row>
    <row r="3245" spans="6:6" x14ac:dyDescent="0.2">
      <c r="F3245" s="50"/>
    </row>
    <row r="3246" spans="6:6" x14ac:dyDescent="0.2">
      <c r="F3246" s="50"/>
    </row>
    <row r="3247" spans="6:6" x14ac:dyDescent="0.2">
      <c r="F3247" s="50"/>
    </row>
    <row r="3248" spans="6:6" x14ac:dyDescent="0.2">
      <c r="F3248" s="50"/>
    </row>
    <row r="3249" spans="6:6" x14ac:dyDescent="0.2">
      <c r="F3249" s="50"/>
    </row>
    <row r="3250" spans="6:6" x14ac:dyDescent="0.2">
      <c r="F3250" s="50"/>
    </row>
    <row r="3251" spans="6:6" x14ac:dyDescent="0.2">
      <c r="F3251" s="50"/>
    </row>
    <row r="3252" spans="6:6" x14ac:dyDescent="0.2">
      <c r="F3252" s="50"/>
    </row>
    <row r="3253" spans="6:6" x14ac:dyDescent="0.2">
      <c r="F3253" s="50"/>
    </row>
    <row r="3254" spans="6:6" x14ac:dyDescent="0.2">
      <c r="F3254" s="50"/>
    </row>
    <row r="3255" spans="6:6" x14ac:dyDescent="0.2">
      <c r="F3255" s="50"/>
    </row>
    <row r="3259" spans="6:6" x14ac:dyDescent="0.2">
      <c r="F3259" s="50"/>
    </row>
    <row r="3260" spans="6:6" x14ac:dyDescent="0.2">
      <c r="F3260" s="50"/>
    </row>
    <row r="3261" spans="6:6" x14ac:dyDescent="0.2">
      <c r="F3261" s="50"/>
    </row>
    <row r="3262" spans="6:6" x14ac:dyDescent="0.2">
      <c r="F3262" s="50"/>
    </row>
    <row r="3263" spans="6:6" x14ac:dyDescent="0.2">
      <c r="F3263" s="50"/>
    </row>
    <row r="3264" spans="6:6" x14ac:dyDescent="0.2">
      <c r="F3264" s="50"/>
    </row>
    <row r="3265" spans="6:6" x14ac:dyDescent="0.2">
      <c r="F3265" s="50"/>
    </row>
    <row r="3266" spans="6:6" x14ac:dyDescent="0.2">
      <c r="F3266" s="50"/>
    </row>
    <row r="3267" spans="6:6" x14ac:dyDescent="0.2">
      <c r="F3267" s="50"/>
    </row>
    <row r="3268" spans="6:6" x14ac:dyDescent="0.2">
      <c r="F3268" s="50"/>
    </row>
    <row r="3269" spans="6:6" x14ac:dyDescent="0.2">
      <c r="F3269" s="50"/>
    </row>
    <row r="3270" spans="6:6" x14ac:dyDescent="0.2">
      <c r="F3270" s="50"/>
    </row>
    <row r="3271" spans="6:6" x14ac:dyDescent="0.2">
      <c r="F3271" s="50"/>
    </row>
    <row r="3272" spans="6:6" x14ac:dyDescent="0.2">
      <c r="F3272" s="50"/>
    </row>
    <row r="3273" spans="6:6" x14ac:dyDescent="0.2">
      <c r="F3273" s="50"/>
    </row>
    <row r="3274" spans="6:6" x14ac:dyDescent="0.2">
      <c r="F3274" s="50"/>
    </row>
    <row r="3275" spans="6:6" x14ac:dyDescent="0.2">
      <c r="F3275" s="50"/>
    </row>
    <row r="3276" spans="6:6" x14ac:dyDescent="0.2">
      <c r="F3276" s="50"/>
    </row>
    <row r="3277" spans="6:6" x14ac:dyDescent="0.2">
      <c r="F3277" s="50"/>
    </row>
    <row r="3278" spans="6:6" x14ac:dyDescent="0.2">
      <c r="F3278" s="50"/>
    </row>
    <row r="3279" spans="6:6" x14ac:dyDescent="0.2">
      <c r="F3279" s="50"/>
    </row>
    <row r="3281" spans="6:6" x14ac:dyDescent="0.2">
      <c r="F3281" s="50"/>
    </row>
    <row r="3282" spans="6:6" x14ac:dyDescent="0.2">
      <c r="F3282" s="50"/>
    </row>
    <row r="3283" spans="6:6" x14ac:dyDescent="0.2">
      <c r="F3283" s="50"/>
    </row>
    <row r="3284" spans="6:6" x14ac:dyDescent="0.2">
      <c r="F3284" s="50"/>
    </row>
    <row r="3285" spans="6:6" x14ac:dyDescent="0.2">
      <c r="F3285" s="50"/>
    </row>
    <row r="3286" spans="6:6" x14ac:dyDescent="0.2">
      <c r="F3286" s="50"/>
    </row>
    <row r="3287" spans="6:6" x14ac:dyDescent="0.2">
      <c r="F3287" s="50"/>
    </row>
    <row r="3288" spans="6:6" x14ac:dyDescent="0.2">
      <c r="F3288" s="50"/>
    </row>
    <row r="3289" spans="6:6" x14ac:dyDescent="0.2">
      <c r="F3289" s="50"/>
    </row>
    <row r="3290" spans="6:6" x14ac:dyDescent="0.2">
      <c r="F3290" s="50"/>
    </row>
    <row r="3291" spans="6:6" x14ac:dyDescent="0.2">
      <c r="F3291" s="50"/>
    </row>
    <row r="3292" spans="6:6" x14ac:dyDescent="0.2">
      <c r="F3292" s="50"/>
    </row>
    <row r="3293" spans="6:6" x14ac:dyDescent="0.2">
      <c r="F3293" s="50"/>
    </row>
    <row r="3294" spans="6:6" x14ac:dyDescent="0.2">
      <c r="F3294" s="50"/>
    </row>
    <row r="3295" spans="6:6" x14ac:dyDescent="0.2">
      <c r="F3295" s="50"/>
    </row>
    <row r="3296" spans="6:6" x14ac:dyDescent="0.2">
      <c r="F3296" s="50"/>
    </row>
    <row r="3297" spans="1:8" x14ac:dyDescent="0.2">
      <c r="F3297" s="50"/>
    </row>
    <row r="3298" spans="1:8" x14ac:dyDescent="0.2">
      <c r="F3298" s="50"/>
    </row>
    <row r="3299" spans="1:8" x14ac:dyDescent="0.2">
      <c r="F3299" s="50"/>
    </row>
    <row r="3300" spans="1:8" ht="15" thickBot="1" x14ac:dyDescent="0.25">
      <c r="F3300" s="50"/>
    </row>
    <row r="3301" spans="1:8" ht="15.75" thickBot="1" x14ac:dyDescent="0.25">
      <c r="A3301" s="63"/>
      <c r="C3301" s="63"/>
    </row>
    <row r="3302" spans="1:8" ht="15.75" thickBot="1" x14ac:dyDescent="0.25">
      <c r="A3302" s="59"/>
      <c r="C3302" s="59"/>
    </row>
    <row r="3303" spans="1:8" ht="15.75" thickBot="1" x14ac:dyDescent="0.25">
      <c r="A3303" s="59"/>
      <c r="C3303" s="59"/>
    </row>
    <row r="3304" spans="1:8" ht="15.75" thickBot="1" x14ac:dyDescent="0.25">
      <c r="A3304" s="59"/>
      <c r="C3304" s="59"/>
    </row>
    <row r="3305" spans="1:8" ht="15.75" thickBot="1" x14ac:dyDescent="0.25">
      <c r="A3305" s="59"/>
      <c r="C3305" s="59"/>
      <c r="F3305" s="50"/>
      <c r="G3305" s="50"/>
      <c r="H3305" s="50"/>
    </row>
    <row r="3306" spans="1:8" x14ac:dyDescent="0.2">
      <c r="F3306" s="50"/>
    </row>
    <row r="3307" spans="1:8" ht="15.75" thickBot="1" x14ac:dyDescent="0.25">
      <c r="A3307" s="59"/>
      <c r="C3307" s="59"/>
    </row>
    <row r="3308" spans="1:8" ht="15.75" thickBot="1" x14ac:dyDescent="0.25">
      <c r="A3308" s="63"/>
      <c r="C3308" s="63"/>
    </row>
    <row r="3309" spans="1:8" ht="15.75" thickBot="1" x14ac:dyDescent="0.25">
      <c r="A3309" s="59"/>
      <c r="C3309" s="59"/>
    </row>
    <row r="3310" spans="1:8" ht="15.75" thickBot="1" x14ac:dyDescent="0.25">
      <c r="A3310" s="59"/>
      <c r="C3310" s="59"/>
    </row>
    <row r="3311" spans="1:8" ht="15.75" thickBot="1" x14ac:dyDescent="0.25">
      <c r="A3311" s="59"/>
      <c r="C3311" s="59"/>
    </row>
    <row r="3312" spans="1:8" ht="15.75" thickBot="1" x14ac:dyDescent="0.25">
      <c r="A3312" s="59"/>
      <c r="C3312" s="59"/>
    </row>
    <row r="3313" spans="1:6" ht="15" thickBot="1" x14ac:dyDescent="0.25">
      <c r="A3313" s="55"/>
      <c r="C3313" s="55"/>
    </row>
    <row r="3314" spans="1:6" ht="15.75" thickBot="1" x14ac:dyDescent="0.25">
      <c r="A3314" s="63"/>
      <c r="C3314" s="63"/>
    </row>
    <row r="3315" spans="1:6" ht="15.75" thickBot="1" x14ac:dyDescent="0.25">
      <c r="A3315" s="59"/>
      <c r="C3315" s="59"/>
    </row>
    <row r="3316" spans="1:6" x14ac:dyDescent="0.2">
      <c r="A3316" s="65"/>
      <c r="C3316" s="65"/>
    </row>
    <row r="3317" spans="1:6" x14ac:dyDescent="0.2">
      <c r="F3317" s="50"/>
    </row>
    <row r="3318" spans="1:6" x14ac:dyDescent="0.2">
      <c r="F3318" s="50"/>
    </row>
    <row r="3320" spans="1:6" x14ac:dyDescent="0.2">
      <c r="F3320" s="50"/>
    </row>
    <row r="3321" spans="1:6" x14ac:dyDescent="0.2">
      <c r="F3321" s="50"/>
    </row>
    <row r="3322" spans="1:6" x14ac:dyDescent="0.2">
      <c r="F3322" s="50"/>
    </row>
    <row r="3323" spans="1:6" x14ac:dyDescent="0.2">
      <c r="F3323" s="50"/>
    </row>
    <row r="3324" spans="1:6" x14ac:dyDescent="0.2">
      <c r="F3324" s="50"/>
    </row>
    <row r="3325" spans="1:6" x14ac:dyDescent="0.2">
      <c r="F3325" s="50"/>
    </row>
    <row r="3326" spans="1:6" x14ac:dyDescent="0.2">
      <c r="F3326" s="50"/>
    </row>
    <row r="3327" spans="1:6" x14ac:dyDescent="0.2">
      <c r="F3327" s="50"/>
    </row>
    <row r="3328" spans="1:6" x14ac:dyDescent="0.2">
      <c r="F3328" s="50"/>
    </row>
    <row r="3329" spans="6:6" x14ac:dyDescent="0.2">
      <c r="F3329" s="50"/>
    </row>
    <row r="3330" spans="6:6" x14ac:dyDescent="0.2">
      <c r="F3330" s="50"/>
    </row>
    <row r="3331" spans="6:6" x14ac:dyDescent="0.2">
      <c r="F3331" s="50"/>
    </row>
    <row r="3332" spans="6:6" x14ac:dyDescent="0.2">
      <c r="F3332" s="50"/>
    </row>
    <row r="3333" spans="6:6" x14ac:dyDescent="0.2">
      <c r="F3333" s="50"/>
    </row>
    <row r="3334" spans="6:6" x14ac:dyDescent="0.2">
      <c r="F3334" s="50"/>
    </row>
    <row r="3335" spans="6:6" x14ac:dyDescent="0.2">
      <c r="F3335" s="50"/>
    </row>
    <row r="3336" spans="6:6" x14ac:dyDescent="0.2">
      <c r="F3336" s="50"/>
    </row>
    <row r="3337" spans="6:6" x14ac:dyDescent="0.2">
      <c r="F3337" s="50"/>
    </row>
    <row r="3338" spans="6:6" x14ac:dyDescent="0.2">
      <c r="F3338" s="50"/>
    </row>
    <row r="3339" spans="6:6" x14ac:dyDescent="0.2">
      <c r="F3339" s="50"/>
    </row>
    <row r="3340" spans="6:6" x14ac:dyDescent="0.2">
      <c r="F3340" s="50"/>
    </row>
    <row r="3341" spans="6:6" x14ac:dyDescent="0.2">
      <c r="F3341" s="50"/>
    </row>
    <row r="3342" spans="6:6" x14ac:dyDescent="0.2">
      <c r="F3342" s="50"/>
    </row>
    <row r="3343" spans="6:6" x14ac:dyDescent="0.2">
      <c r="F3343" s="50"/>
    </row>
    <row r="3344" spans="6:6" x14ac:dyDescent="0.2">
      <c r="F3344" s="50"/>
    </row>
    <row r="3345" spans="6:6" x14ac:dyDescent="0.2">
      <c r="F3345" s="50"/>
    </row>
    <row r="3346" spans="6:6" x14ac:dyDescent="0.2">
      <c r="F3346" s="50"/>
    </row>
    <row r="3347" spans="6:6" x14ac:dyDescent="0.2">
      <c r="F3347" s="50"/>
    </row>
    <row r="3348" spans="6:6" x14ac:dyDescent="0.2">
      <c r="F3348" s="50"/>
    </row>
    <row r="3349" spans="6:6" x14ac:dyDescent="0.2">
      <c r="F3349" s="50"/>
    </row>
    <row r="3350" spans="6:6" x14ac:dyDescent="0.2">
      <c r="F3350" s="50"/>
    </row>
    <row r="3351" spans="6:6" x14ac:dyDescent="0.2">
      <c r="F3351" s="50"/>
    </row>
    <row r="3352" spans="6:6" x14ac:dyDescent="0.2">
      <c r="F3352" s="50"/>
    </row>
    <row r="3353" spans="6:6" x14ac:dyDescent="0.2">
      <c r="F3353" s="50"/>
    </row>
    <row r="3354" spans="6:6" x14ac:dyDescent="0.2">
      <c r="F3354" s="50"/>
    </row>
    <row r="3355" spans="6:6" x14ac:dyDescent="0.2">
      <c r="F3355" s="50"/>
    </row>
    <row r="3356" spans="6:6" x14ac:dyDescent="0.2">
      <c r="F3356" s="50"/>
    </row>
    <row r="3357" spans="6:6" x14ac:dyDescent="0.2">
      <c r="F3357" s="50"/>
    </row>
    <row r="3358" spans="6:6" x14ac:dyDescent="0.2">
      <c r="F3358" s="50"/>
    </row>
    <row r="3359" spans="6:6" x14ac:dyDescent="0.2">
      <c r="F3359" s="50"/>
    </row>
    <row r="3360" spans="6:6" x14ac:dyDescent="0.2">
      <c r="F3360" s="50"/>
    </row>
    <row r="3361" spans="6:6" x14ac:dyDescent="0.2">
      <c r="F3361" s="50"/>
    </row>
    <row r="3362" spans="6:6" x14ac:dyDescent="0.2">
      <c r="F3362" s="50"/>
    </row>
    <row r="3363" spans="6:6" x14ac:dyDescent="0.2">
      <c r="F3363" s="50"/>
    </row>
    <row r="3364" spans="6:6" x14ac:dyDescent="0.2">
      <c r="F3364" s="50"/>
    </row>
    <row r="3365" spans="6:6" x14ac:dyDescent="0.2">
      <c r="F3365" s="50"/>
    </row>
    <row r="3366" spans="6:6" x14ac:dyDescent="0.2">
      <c r="F3366" s="50"/>
    </row>
    <row r="3367" spans="6:6" x14ac:dyDescent="0.2">
      <c r="F3367" s="50"/>
    </row>
    <row r="3368" spans="6:6" x14ac:dyDescent="0.2">
      <c r="F3368" s="50"/>
    </row>
    <row r="3369" spans="6:6" x14ac:dyDescent="0.2">
      <c r="F3369" s="50"/>
    </row>
    <row r="3370" spans="6:6" x14ac:dyDescent="0.2">
      <c r="F3370" s="50"/>
    </row>
    <row r="3371" spans="6:6" x14ac:dyDescent="0.2">
      <c r="F3371" s="50"/>
    </row>
    <row r="3372" spans="6:6" x14ac:dyDescent="0.2">
      <c r="F3372" s="50"/>
    </row>
    <row r="3373" spans="6:6" x14ac:dyDescent="0.2">
      <c r="F3373" s="50"/>
    </row>
    <row r="3374" spans="6:6" x14ac:dyDescent="0.2">
      <c r="F3374" s="50"/>
    </row>
    <row r="3375" spans="6:6" x14ac:dyDescent="0.2">
      <c r="F3375" s="50"/>
    </row>
    <row r="3378" spans="6:6" x14ac:dyDescent="0.2">
      <c r="F3378" s="50"/>
    </row>
    <row r="3379" spans="6:6" x14ac:dyDescent="0.2">
      <c r="F3379" s="50"/>
    </row>
    <row r="3380" spans="6:6" x14ac:dyDescent="0.2">
      <c r="F3380" s="50"/>
    </row>
    <row r="3381" spans="6:6" x14ac:dyDescent="0.2">
      <c r="F3381" s="50"/>
    </row>
    <row r="3385" spans="6:6" x14ac:dyDescent="0.2">
      <c r="F3385" s="50"/>
    </row>
    <row r="3386" spans="6:6" x14ac:dyDescent="0.2">
      <c r="F3386" s="50"/>
    </row>
    <row r="3387" spans="6:6" x14ac:dyDescent="0.2">
      <c r="F3387" s="50"/>
    </row>
    <row r="3388" spans="6:6" x14ac:dyDescent="0.2">
      <c r="F3388" s="50"/>
    </row>
    <row r="3389" spans="6:6" x14ac:dyDescent="0.2">
      <c r="F3389" s="50"/>
    </row>
    <row r="3390" spans="6:6" x14ac:dyDescent="0.2">
      <c r="F3390" s="50"/>
    </row>
    <row r="3391" spans="6:6" x14ac:dyDescent="0.2">
      <c r="F3391" s="50"/>
    </row>
    <row r="3392" spans="6:6" x14ac:dyDescent="0.2">
      <c r="F3392" s="50"/>
    </row>
    <row r="3393" spans="6:6" x14ac:dyDescent="0.2">
      <c r="F3393" s="50"/>
    </row>
    <row r="3395" spans="6:6" x14ac:dyDescent="0.2">
      <c r="F3395" s="50"/>
    </row>
    <row r="3396" spans="6:6" x14ac:dyDescent="0.2">
      <c r="F3396" s="50"/>
    </row>
    <row r="3397" spans="6:6" x14ac:dyDescent="0.2">
      <c r="F3397" s="50"/>
    </row>
    <row r="3398" spans="6:6" x14ac:dyDescent="0.2">
      <c r="F3398" s="50"/>
    </row>
    <row r="3399" spans="6:6" x14ac:dyDescent="0.2">
      <c r="F3399" s="50"/>
    </row>
    <row r="3400" spans="6:6" x14ac:dyDescent="0.2">
      <c r="F3400" s="50"/>
    </row>
    <row r="3401" spans="6:6" x14ac:dyDescent="0.2">
      <c r="F3401" s="50"/>
    </row>
    <row r="3402" spans="6:6" x14ac:dyDescent="0.2">
      <c r="F3402" s="50"/>
    </row>
    <row r="3403" spans="6:6" x14ac:dyDescent="0.2">
      <c r="F3403" s="50"/>
    </row>
    <row r="3404" spans="6:6" x14ac:dyDescent="0.2">
      <c r="F3404" s="50"/>
    </row>
    <row r="3406" spans="6:6" x14ac:dyDescent="0.2">
      <c r="F3406" s="50"/>
    </row>
    <row r="3407" spans="6:6" x14ac:dyDescent="0.2">
      <c r="F3407" s="50"/>
    </row>
    <row r="3408" spans="6:6" x14ac:dyDescent="0.2">
      <c r="F3408" s="50"/>
    </row>
    <row r="3409" spans="3:6" x14ac:dyDescent="0.2">
      <c r="F3409" s="50"/>
    </row>
    <row r="3410" spans="3:6" x14ac:dyDescent="0.2">
      <c r="F3410" s="50"/>
    </row>
    <row r="3411" spans="3:6" x14ac:dyDescent="0.2">
      <c r="F3411" s="50"/>
    </row>
    <row r="3412" spans="3:6" x14ac:dyDescent="0.2">
      <c r="F3412" s="50"/>
    </row>
    <row r="3413" spans="3:6" x14ac:dyDescent="0.2">
      <c r="F3413" s="50"/>
    </row>
    <row r="3414" spans="3:6" x14ac:dyDescent="0.2">
      <c r="F3414" s="50"/>
    </row>
    <row r="3416" spans="3:6" x14ac:dyDescent="0.2">
      <c r="F3416" s="50"/>
    </row>
    <row r="3417" spans="3:6" ht="15.75" thickBot="1" x14ac:dyDescent="0.25">
      <c r="C3417" s="59"/>
      <c r="F3417" s="50"/>
    </row>
    <row r="3418" spans="3:6" x14ac:dyDescent="0.2">
      <c r="F3418" s="50"/>
    </row>
    <row r="3419" spans="3:6" x14ac:dyDescent="0.2">
      <c r="F3419" s="50"/>
    </row>
    <row r="3420" spans="3:6" x14ac:dyDescent="0.2">
      <c r="F3420" s="50"/>
    </row>
    <row r="3421" spans="3:6" x14ac:dyDescent="0.2">
      <c r="F3421" s="50"/>
    </row>
    <row r="3422" spans="3:6" x14ac:dyDescent="0.2">
      <c r="F3422" s="50"/>
    </row>
    <row r="3423" spans="3:6" x14ac:dyDescent="0.2">
      <c r="F3423" s="50"/>
    </row>
    <row r="3424" spans="3:6" x14ac:dyDescent="0.2">
      <c r="F3424" s="50"/>
    </row>
    <row r="3425" spans="6:6" x14ac:dyDescent="0.2">
      <c r="F3425" s="50"/>
    </row>
    <row r="3426" spans="6:6" x14ac:dyDescent="0.2">
      <c r="F3426" s="50"/>
    </row>
    <row r="3427" spans="6:6" x14ac:dyDescent="0.2">
      <c r="F3427" s="50"/>
    </row>
    <row r="3428" spans="6:6" x14ac:dyDescent="0.2">
      <c r="F3428" s="50"/>
    </row>
    <row r="3429" spans="6:6" x14ac:dyDescent="0.2">
      <c r="F3429" s="50"/>
    </row>
    <row r="3438" spans="6:6" x14ac:dyDescent="0.2">
      <c r="F3438" s="50"/>
    </row>
    <row r="3439" spans="6:6" x14ac:dyDescent="0.2">
      <c r="F3439" s="50"/>
    </row>
    <row r="3440" spans="6:6" x14ac:dyDescent="0.2">
      <c r="F3440" s="50"/>
    </row>
    <row r="3441" spans="6:6" x14ac:dyDescent="0.2">
      <c r="F3441" s="50"/>
    </row>
    <row r="3442" spans="6:6" x14ac:dyDescent="0.2">
      <c r="F3442" s="50"/>
    </row>
    <row r="3443" spans="6:6" x14ac:dyDescent="0.2">
      <c r="F3443" s="50"/>
    </row>
    <row r="3444" spans="6:6" x14ac:dyDescent="0.2">
      <c r="F3444" s="50"/>
    </row>
    <row r="3445" spans="6:6" x14ac:dyDescent="0.2">
      <c r="F3445" s="50"/>
    </row>
    <row r="3446" spans="6:6" x14ac:dyDescent="0.2">
      <c r="F3446" s="50"/>
    </row>
    <row r="3447" spans="6:6" x14ac:dyDescent="0.2">
      <c r="F3447" s="50"/>
    </row>
    <row r="3448" spans="6:6" x14ac:dyDescent="0.2">
      <c r="F3448" s="50"/>
    </row>
    <row r="3449" spans="6:6" x14ac:dyDescent="0.2">
      <c r="F3449" s="50"/>
    </row>
    <row r="3450" spans="6:6" x14ac:dyDescent="0.2">
      <c r="F3450" s="50"/>
    </row>
    <row r="3451" spans="6:6" x14ac:dyDescent="0.2">
      <c r="F3451" s="50"/>
    </row>
    <row r="3452" spans="6:6" x14ac:dyDescent="0.2">
      <c r="F3452" s="50"/>
    </row>
    <row r="3453" spans="6:6" x14ac:dyDescent="0.2">
      <c r="F3453" s="50"/>
    </row>
    <row r="3454" spans="6:6" x14ac:dyDescent="0.2">
      <c r="F3454" s="50"/>
    </row>
    <row r="3455" spans="6:6" x14ac:dyDescent="0.2">
      <c r="F3455" s="50"/>
    </row>
    <row r="3456" spans="6:6" x14ac:dyDescent="0.2">
      <c r="F3456" s="50"/>
    </row>
    <row r="3457" spans="6:6" x14ac:dyDescent="0.2">
      <c r="F3457" s="50"/>
    </row>
    <row r="3458" spans="6:6" x14ac:dyDescent="0.2">
      <c r="F3458" s="50"/>
    </row>
    <row r="3459" spans="6:6" x14ac:dyDescent="0.2">
      <c r="F3459" s="50"/>
    </row>
    <row r="3460" spans="6:6" x14ac:dyDescent="0.2">
      <c r="F3460" s="50"/>
    </row>
    <row r="3461" spans="6:6" x14ac:dyDescent="0.2">
      <c r="F3461" s="50"/>
    </row>
    <row r="3462" spans="6:6" x14ac:dyDescent="0.2">
      <c r="F3462" s="50"/>
    </row>
    <row r="3463" spans="6:6" x14ac:dyDescent="0.2">
      <c r="F3463" s="50"/>
    </row>
    <row r="3464" spans="6:6" x14ac:dyDescent="0.2">
      <c r="F3464" s="50"/>
    </row>
    <row r="3465" spans="6:6" x14ac:dyDescent="0.2">
      <c r="F3465" s="50"/>
    </row>
    <row r="3487" spans="6:7" x14ac:dyDescent="0.2">
      <c r="F3487" s="50"/>
      <c r="G3487" s="50"/>
    </row>
    <row r="3495" spans="6:8" x14ac:dyDescent="0.2">
      <c r="F3495" s="50"/>
    </row>
    <row r="3496" spans="6:8" x14ac:dyDescent="0.2">
      <c r="F3496" s="50"/>
      <c r="G3496" s="50"/>
      <c r="H3496" s="50"/>
    </row>
    <row r="3497" spans="6:8" x14ac:dyDescent="0.2">
      <c r="F3497" s="50"/>
    </row>
    <row r="3498" spans="6:8" x14ac:dyDescent="0.2">
      <c r="F3498" s="50"/>
    </row>
    <row r="3499" spans="6:8" x14ac:dyDescent="0.2">
      <c r="F3499" s="50"/>
    </row>
    <row r="3500" spans="6:8" x14ac:dyDescent="0.2">
      <c r="F3500" s="50"/>
    </row>
    <row r="3501" spans="6:8" x14ac:dyDescent="0.2">
      <c r="F3501" s="50"/>
    </row>
    <row r="3502" spans="6:8" x14ac:dyDescent="0.2">
      <c r="F3502" s="50"/>
    </row>
    <row r="3503" spans="6:8" x14ac:dyDescent="0.2">
      <c r="F3503" s="50"/>
    </row>
    <row r="3504" spans="6:8" x14ac:dyDescent="0.2">
      <c r="F3504" s="50"/>
    </row>
    <row r="3505" spans="6:6" x14ac:dyDescent="0.2">
      <c r="F3505" s="50"/>
    </row>
    <row r="3506" spans="6:6" x14ac:dyDescent="0.2">
      <c r="F3506" s="50"/>
    </row>
    <row r="3507" spans="6:6" x14ac:dyDescent="0.2">
      <c r="F3507" s="50"/>
    </row>
    <row r="3508" spans="6:6" x14ac:dyDescent="0.2">
      <c r="F3508" s="50"/>
    </row>
    <row r="3509" spans="6:6" x14ac:dyDescent="0.2">
      <c r="F3509" s="50"/>
    </row>
    <row r="3510" spans="6:6" x14ac:dyDescent="0.2">
      <c r="F3510" s="50"/>
    </row>
    <row r="3511" spans="6:6" x14ac:dyDescent="0.2">
      <c r="F3511" s="50"/>
    </row>
    <row r="3512" spans="6:6" x14ac:dyDescent="0.2">
      <c r="F3512" s="50"/>
    </row>
    <row r="3513" spans="6:6" x14ac:dyDescent="0.2">
      <c r="F3513" s="50"/>
    </row>
    <row r="3514" spans="6:6" x14ac:dyDescent="0.2">
      <c r="F3514" s="50"/>
    </row>
    <row r="3515" spans="6:6" x14ac:dyDescent="0.2">
      <c r="F3515" s="50"/>
    </row>
    <row r="3516" spans="6:6" x14ac:dyDescent="0.2">
      <c r="F3516" s="50"/>
    </row>
    <row r="3517" spans="6:6" x14ac:dyDescent="0.2">
      <c r="F3517" s="50"/>
    </row>
    <row r="3518" spans="6:6" x14ac:dyDescent="0.2">
      <c r="F3518" s="50"/>
    </row>
    <row r="3519" spans="6:6" x14ac:dyDescent="0.2">
      <c r="F3519" s="50"/>
    </row>
    <row r="3520" spans="6:6" x14ac:dyDescent="0.2">
      <c r="F3520" s="50"/>
    </row>
    <row r="3534" spans="6:6" x14ac:dyDescent="0.2">
      <c r="F3534" s="50"/>
    </row>
    <row r="3535" spans="6:6" x14ac:dyDescent="0.2">
      <c r="F3535" s="50"/>
    </row>
    <row r="3536" spans="6:6" x14ac:dyDescent="0.2">
      <c r="F3536" s="50"/>
    </row>
    <row r="3537" spans="6:8" x14ac:dyDescent="0.2">
      <c r="F3537" s="50"/>
    </row>
    <row r="3538" spans="6:8" x14ac:dyDescent="0.2">
      <c r="F3538" s="50"/>
    </row>
    <row r="3539" spans="6:8" x14ac:dyDescent="0.2">
      <c r="F3539" s="50"/>
    </row>
    <row r="3540" spans="6:8" x14ac:dyDescent="0.2">
      <c r="F3540" s="50"/>
    </row>
    <row r="3541" spans="6:8" x14ac:dyDescent="0.2">
      <c r="F3541" s="50"/>
      <c r="G3541" s="50"/>
      <c r="H3541" s="50"/>
    </row>
    <row r="3542" spans="6:8" x14ac:dyDescent="0.2">
      <c r="F3542" s="50"/>
    </row>
    <row r="3543" spans="6:8" x14ac:dyDescent="0.2">
      <c r="F3543" s="50"/>
    </row>
    <row r="3544" spans="6:8" x14ac:dyDescent="0.2">
      <c r="F3544" s="50"/>
    </row>
    <row r="3545" spans="6:8" x14ac:dyDescent="0.2">
      <c r="F3545" s="50"/>
    </row>
    <row r="3546" spans="6:8" x14ac:dyDescent="0.2">
      <c r="F3546" s="50"/>
    </row>
    <row r="3547" spans="6:8" x14ac:dyDescent="0.2">
      <c r="F3547" s="50"/>
    </row>
    <row r="3548" spans="6:8" x14ac:dyDescent="0.2">
      <c r="F3548" s="50"/>
    </row>
    <row r="3549" spans="6:8" x14ac:dyDescent="0.2">
      <c r="F3549" s="50"/>
      <c r="H3549"/>
    </row>
    <row r="3550" spans="6:8" x14ac:dyDescent="0.2">
      <c r="F3550" s="50"/>
    </row>
    <row r="3551" spans="6:8" x14ac:dyDescent="0.2">
      <c r="F3551" s="50"/>
    </row>
    <row r="3558" spans="6:6" x14ac:dyDescent="0.2">
      <c r="F3558" s="50"/>
    </row>
    <row r="3559" spans="6:6" x14ac:dyDescent="0.2">
      <c r="F3559" s="50"/>
    </row>
    <row r="3560" spans="6:6" x14ac:dyDescent="0.2">
      <c r="F3560" s="50"/>
    </row>
    <row r="3561" spans="6:6" x14ac:dyDescent="0.2">
      <c r="F3561" s="50"/>
    </row>
    <row r="3562" spans="6:6" x14ac:dyDescent="0.2">
      <c r="F3562" s="50"/>
    </row>
    <row r="3563" spans="6:6" x14ac:dyDescent="0.2">
      <c r="F3563" s="50"/>
    </row>
    <row r="3564" spans="6:6" x14ac:dyDescent="0.2">
      <c r="F3564" s="50"/>
    </row>
    <row r="3565" spans="6:6" x14ac:dyDescent="0.2">
      <c r="F3565" s="50"/>
    </row>
    <row r="3566" spans="6:6" x14ac:dyDescent="0.2">
      <c r="F3566" s="50"/>
    </row>
    <row r="3567" spans="6:6" x14ac:dyDescent="0.2">
      <c r="F3567" s="50"/>
    </row>
    <row r="3568" spans="6:6" x14ac:dyDescent="0.2">
      <c r="F3568" s="50"/>
    </row>
    <row r="3569" spans="6:6" x14ac:dyDescent="0.2">
      <c r="F3569" s="50"/>
    </row>
    <row r="3570" spans="6:6" x14ac:dyDescent="0.2">
      <c r="F3570" s="50"/>
    </row>
    <row r="3571" spans="6:6" x14ac:dyDescent="0.2">
      <c r="F3571" s="50"/>
    </row>
    <row r="3572" spans="6:6" x14ac:dyDescent="0.2">
      <c r="F3572" s="50"/>
    </row>
    <row r="3573" spans="6:6" x14ac:dyDescent="0.2">
      <c r="F3573" s="50"/>
    </row>
    <row r="3574" spans="6:6" x14ac:dyDescent="0.2">
      <c r="F3574" s="50"/>
    </row>
    <row r="3575" spans="6:6" x14ac:dyDescent="0.2">
      <c r="F3575" s="50"/>
    </row>
    <row r="3576" spans="6:6" x14ac:dyDescent="0.2">
      <c r="F3576" s="50"/>
    </row>
    <row r="3577" spans="6:6" x14ac:dyDescent="0.2">
      <c r="F3577" s="50"/>
    </row>
    <row r="3578" spans="6:6" x14ac:dyDescent="0.2">
      <c r="F3578" s="50"/>
    </row>
    <row r="3579" spans="6:6" x14ac:dyDescent="0.2">
      <c r="F3579" s="50"/>
    </row>
    <row r="3580" spans="6:6" x14ac:dyDescent="0.2">
      <c r="F3580" s="50"/>
    </row>
    <row r="3581" spans="6:6" x14ac:dyDescent="0.2">
      <c r="F3581" s="50"/>
    </row>
    <row r="3582" spans="6:6" x14ac:dyDescent="0.2">
      <c r="F3582" s="50"/>
    </row>
    <row r="3583" spans="6:6" x14ac:dyDescent="0.2">
      <c r="F3583" s="50"/>
    </row>
    <row r="3584" spans="6:6" x14ac:dyDescent="0.2">
      <c r="F3584" s="50"/>
    </row>
    <row r="3585" spans="1:6" x14ac:dyDescent="0.2">
      <c r="F3585" s="50"/>
    </row>
    <row r="3586" spans="1:6" x14ac:dyDescent="0.2">
      <c r="F3586" s="50"/>
    </row>
    <row r="3587" spans="1:6" ht="15" thickBot="1" x14ac:dyDescent="0.25">
      <c r="F3587" s="50"/>
    </row>
    <row r="3588" spans="1:6" ht="15.75" thickBot="1" x14ac:dyDescent="0.25">
      <c r="A3588" s="63"/>
      <c r="C3588" s="63"/>
    </row>
    <row r="3589" spans="1:6" ht="15.75" thickBot="1" x14ac:dyDescent="0.25">
      <c r="A3589" s="59"/>
      <c r="C3589" s="59"/>
    </row>
    <row r="3590" spans="1:6" ht="15.75" thickBot="1" x14ac:dyDescent="0.25">
      <c r="A3590" s="59"/>
      <c r="C3590" s="59"/>
    </row>
    <row r="3591" spans="1:6" x14ac:dyDescent="0.2">
      <c r="F3591" s="50"/>
    </row>
    <row r="3592" spans="1:6" x14ac:dyDescent="0.2">
      <c r="F3592" s="50"/>
    </row>
    <row r="3594" spans="1:6" x14ac:dyDescent="0.2">
      <c r="F3594" s="50"/>
    </row>
    <row r="3595" spans="1:6" x14ac:dyDescent="0.2">
      <c r="F3595" s="50"/>
    </row>
    <row r="3596" spans="1:6" x14ac:dyDescent="0.2">
      <c r="F3596" s="50"/>
    </row>
    <row r="3597" spans="1:6" x14ac:dyDescent="0.2">
      <c r="F3597" s="50"/>
    </row>
    <row r="3598" spans="1:6" x14ac:dyDescent="0.2">
      <c r="F3598" s="50"/>
    </row>
    <row r="3599" spans="1:6" x14ac:dyDescent="0.2">
      <c r="F3599" s="50"/>
    </row>
    <row r="3600" spans="1:6" x14ac:dyDescent="0.2">
      <c r="F3600" s="50"/>
    </row>
    <row r="3601" spans="6:8" x14ac:dyDescent="0.2">
      <c r="F3601" s="50"/>
    </row>
    <row r="3602" spans="6:8" x14ac:dyDescent="0.2">
      <c r="F3602" s="50"/>
    </row>
    <row r="3603" spans="6:8" x14ac:dyDescent="0.2">
      <c r="F3603" s="50"/>
    </row>
    <row r="3604" spans="6:8" x14ac:dyDescent="0.2">
      <c r="F3604" s="50"/>
      <c r="G3604" s="50"/>
      <c r="H3604" s="50"/>
    </row>
    <row r="3605" spans="6:8" x14ac:dyDescent="0.2">
      <c r="F3605" s="50"/>
    </row>
    <row r="3606" spans="6:8" x14ac:dyDescent="0.2">
      <c r="F3606" s="50"/>
    </row>
    <row r="3607" spans="6:8" x14ac:dyDescent="0.2">
      <c r="F3607" s="50"/>
    </row>
    <row r="3608" spans="6:8" x14ac:dyDescent="0.2">
      <c r="F3608" s="50"/>
    </row>
    <row r="3609" spans="6:8" x14ac:dyDescent="0.2">
      <c r="F3609" s="50"/>
    </row>
    <row r="3610" spans="6:8" x14ac:dyDescent="0.2">
      <c r="F3610" s="50"/>
    </row>
    <row r="3611" spans="6:8" x14ac:dyDescent="0.2">
      <c r="F3611" s="50"/>
    </row>
    <row r="3612" spans="6:8" x14ac:dyDescent="0.2">
      <c r="F3612" s="50"/>
    </row>
    <row r="3613" spans="6:8" x14ac:dyDescent="0.2">
      <c r="F3613" s="50"/>
    </row>
    <row r="3614" spans="6:8" x14ac:dyDescent="0.2">
      <c r="F3614" s="50"/>
    </row>
    <row r="3615" spans="6:8" x14ac:dyDescent="0.2">
      <c r="F3615" s="50"/>
    </row>
    <row r="3616" spans="6:8" x14ac:dyDescent="0.2">
      <c r="F3616" s="50"/>
    </row>
    <row r="3617" spans="6:6" x14ac:dyDescent="0.2">
      <c r="F3617" s="50"/>
    </row>
    <row r="3618" spans="6:6" x14ac:dyDescent="0.2">
      <c r="F3618" s="50"/>
    </row>
    <row r="3619" spans="6:6" x14ac:dyDescent="0.2">
      <c r="F3619" s="50"/>
    </row>
    <row r="3620" spans="6:6" x14ac:dyDescent="0.2">
      <c r="F3620" s="50"/>
    </row>
    <row r="3621" spans="6:6" x14ac:dyDescent="0.2">
      <c r="F3621" s="50"/>
    </row>
    <row r="3622" spans="6:6" x14ac:dyDescent="0.2">
      <c r="F3622" s="50"/>
    </row>
    <row r="3623" spans="6:6" x14ac:dyDescent="0.2">
      <c r="F3623" s="50"/>
    </row>
    <row r="3624" spans="6:6" x14ac:dyDescent="0.2">
      <c r="F3624" s="50"/>
    </row>
    <row r="3625" spans="6:6" x14ac:dyDescent="0.2">
      <c r="F3625" s="50"/>
    </row>
    <row r="3626" spans="6:6" x14ac:dyDescent="0.2">
      <c r="F3626" s="50"/>
    </row>
    <row r="3627" spans="6:6" x14ac:dyDescent="0.2">
      <c r="F3627" s="50"/>
    </row>
    <row r="3628" spans="6:6" x14ac:dyDescent="0.2">
      <c r="F3628" s="50"/>
    </row>
    <row r="3630" spans="6:6" x14ac:dyDescent="0.2">
      <c r="F3630" s="50"/>
    </row>
    <row r="3631" spans="6:6" x14ac:dyDescent="0.2">
      <c r="F3631" s="50"/>
    </row>
    <row r="3632" spans="6:6" x14ac:dyDescent="0.2">
      <c r="F3632" s="50"/>
    </row>
    <row r="3633" spans="1:8" x14ac:dyDescent="0.2">
      <c r="F3633" s="50"/>
    </row>
    <row r="3634" spans="1:8" x14ac:dyDescent="0.2">
      <c r="F3634" s="50"/>
    </row>
    <row r="3636" spans="1:8" x14ac:dyDescent="0.2">
      <c r="F3636" s="50"/>
    </row>
    <row r="3637" spans="1:8" x14ac:dyDescent="0.2">
      <c r="F3637" s="50"/>
    </row>
    <row r="3638" spans="1:8" ht="15.75" thickBot="1" x14ac:dyDescent="0.25">
      <c r="A3638" s="59"/>
      <c r="C3638" s="59"/>
    </row>
    <row r="3639" spans="1:8" ht="15.75" thickBot="1" x14ac:dyDescent="0.25">
      <c r="A3639" s="63"/>
      <c r="C3639" s="63"/>
    </row>
    <row r="3640" spans="1:8" x14ac:dyDescent="0.2">
      <c r="F3640" s="50"/>
    </row>
    <row r="3641" spans="1:8" x14ac:dyDescent="0.2">
      <c r="F3641" s="50"/>
    </row>
    <row r="3642" spans="1:8" x14ac:dyDescent="0.2">
      <c r="F3642" s="50"/>
    </row>
    <row r="3643" spans="1:8" x14ac:dyDescent="0.2">
      <c r="F3643" s="50"/>
    </row>
    <row r="3644" spans="1:8" x14ac:dyDescent="0.2">
      <c r="F3644" s="50"/>
    </row>
    <row r="3647" spans="1:8" x14ac:dyDescent="0.2">
      <c r="F3647" s="50"/>
      <c r="G3647" s="50"/>
      <c r="H3647" s="50"/>
    </row>
    <row r="3648" spans="1:8" x14ac:dyDescent="0.2">
      <c r="F3648" s="50"/>
    </row>
    <row r="3649" spans="6:6" x14ac:dyDescent="0.2">
      <c r="F3649" s="50"/>
    </row>
    <row r="3650" spans="6:6" x14ac:dyDescent="0.2">
      <c r="F3650" s="50"/>
    </row>
    <row r="3652" spans="6:6" x14ac:dyDescent="0.2">
      <c r="F3652" s="50"/>
    </row>
    <row r="3653" spans="6:6" x14ac:dyDescent="0.2">
      <c r="F3653" s="50"/>
    </row>
    <row r="3655" spans="6:6" x14ac:dyDescent="0.2">
      <c r="F3655" s="50"/>
    </row>
    <row r="3656" spans="6:6" x14ac:dyDescent="0.2">
      <c r="F3656" s="50"/>
    </row>
    <row r="3657" spans="6:6" x14ac:dyDescent="0.2">
      <c r="F3657" s="50"/>
    </row>
    <row r="3658" spans="6:6" x14ac:dyDescent="0.2">
      <c r="F3658" s="50"/>
    </row>
    <row r="3659" spans="6:6" x14ac:dyDescent="0.2">
      <c r="F3659" s="50"/>
    </row>
    <row r="3660" spans="6:6" x14ac:dyDescent="0.2">
      <c r="F3660" s="50"/>
    </row>
    <row r="3661" spans="6:6" x14ac:dyDescent="0.2">
      <c r="F3661" s="50"/>
    </row>
    <row r="3662" spans="6:6" x14ac:dyDescent="0.2">
      <c r="F3662" s="50"/>
    </row>
    <row r="3663" spans="6:6" x14ac:dyDescent="0.2">
      <c r="F3663" s="50"/>
    </row>
    <row r="3664" spans="6:6" x14ac:dyDescent="0.2">
      <c r="F3664" s="50"/>
    </row>
    <row r="3666" spans="6:8" x14ac:dyDescent="0.2">
      <c r="F3666" s="50"/>
    </row>
    <row r="3667" spans="6:8" x14ac:dyDescent="0.2">
      <c r="F3667" s="50"/>
    </row>
    <row r="3668" spans="6:8" x14ac:dyDescent="0.2">
      <c r="F3668" s="50"/>
    </row>
    <row r="3669" spans="6:8" ht="15" x14ac:dyDescent="0.25">
      <c r="F3669" s="50"/>
      <c r="H3669" s="62"/>
    </row>
    <row r="3670" spans="6:8" x14ac:dyDescent="0.2">
      <c r="F3670" s="50"/>
    </row>
    <row r="3671" spans="6:8" x14ac:dyDescent="0.2">
      <c r="F3671" s="50"/>
    </row>
    <row r="3672" spans="6:8" x14ac:dyDescent="0.2">
      <c r="F3672" s="50"/>
    </row>
    <row r="3673" spans="6:8" x14ac:dyDescent="0.2">
      <c r="F3673" s="50"/>
    </row>
    <row r="3674" spans="6:8" x14ac:dyDescent="0.2">
      <c r="F3674" s="50"/>
    </row>
    <row r="3675" spans="6:8" x14ac:dyDescent="0.2">
      <c r="F3675" s="50"/>
    </row>
    <row r="3677" spans="6:8" x14ac:dyDescent="0.2">
      <c r="F3677" s="50"/>
    </row>
    <row r="3678" spans="6:8" x14ac:dyDescent="0.2">
      <c r="F3678" s="50"/>
    </row>
    <row r="3679" spans="6:8" x14ac:dyDescent="0.2">
      <c r="F3679" s="50"/>
    </row>
    <row r="3681" spans="6:6" x14ac:dyDescent="0.2">
      <c r="F3681" s="50"/>
    </row>
    <row r="3683" spans="6:6" x14ac:dyDescent="0.2">
      <c r="F3683" s="50"/>
    </row>
    <row r="3684" spans="6:6" x14ac:dyDescent="0.2">
      <c r="F3684" s="50"/>
    </row>
    <row r="3685" spans="6:6" x14ac:dyDescent="0.2">
      <c r="F3685" s="50"/>
    </row>
    <row r="3686" spans="6:6" x14ac:dyDescent="0.2">
      <c r="F3686" s="50"/>
    </row>
    <row r="3687" spans="6:6" x14ac:dyDescent="0.2">
      <c r="F3687" s="50"/>
    </row>
    <row r="3692" spans="6:6" x14ac:dyDescent="0.2">
      <c r="F3692" s="50"/>
    </row>
    <row r="3693" spans="6:6" x14ac:dyDescent="0.2">
      <c r="F3693" s="50"/>
    </row>
    <row r="3694" spans="6:6" x14ac:dyDescent="0.2">
      <c r="F3694" s="50"/>
    </row>
    <row r="3695" spans="6:6" x14ac:dyDescent="0.2">
      <c r="F3695" s="50"/>
    </row>
    <row r="3696" spans="6:6" x14ac:dyDescent="0.2">
      <c r="F3696" s="50"/>
    </row>
    <row r="3697" spans="6:6" x14ac:dyDescent="0.2">
      <c r="F3697" s="50"/>
    </row>
    <row r="3698" spans="6:6" x14ac:dyDescent="0.2">
      <c r="F3698" s="50"/>
    </row>
    <row r="3699" spans="6:6" x14ac:dyDescent="0.2">
      <c r="F3699" s="50"/>
    </row>
    <row r="3700" spans="6:6" x14ac:dyDescent="0.2">
      <c r="F3700" s="50"/>
    </row>
    <row r="3701" spans="6:6" x14ac:dyDescent="0.2">
      <c r="F3701" s="50"/>
    </row>
    <row r="3705" spans="6:6" x14ac:dyDescent="0.2">
      <c r="F3705" s="50"/>
    </row>
    <row r="3707" spans="6:6" x14ac:dyDescent="0.2">
      <c r="F3707" s="50"/>
    </row>
    <row r="3708" spans="6:6" x14ac:dyDescent="0.2">
      <c r="F3708" s="50"/>
    </row>
    <row r="3709" spans="6:6" x14ac:dyDescent="0.2">
      <c r="F3709" s="50"/>
    </row>
    <row r="3710" spans="6:6" x14ac:dyDescent="0.2">
      <c r="F3710" s="50"/>
    </row>
    <row r="3711" spans="6:6" x14ac:dyDescent="0.2">
      <c r="F3711" s="50"/>
    </row>
    <row r="3712" spans="6:6" x14ac:dyDescent="0.2">
      <c r="F3712" s="50"/>
    </row>
    <row r="3713" spans="6:6" x14ac:dyDescent="0.2">
      <c r="F3713" s="50"/>
    </row>
    <row r="3714" spans="6:6" x14ac:dyDescent="0.2">
      <c r="F3714" s="50"/>
    </row>
    <row r="3715" spans="6:6" x14ac:dyDescent="0.2">
      <c r="F3715" s="50"/>
    </row>
    <row r="3716" spans="6:6" x14ac:dyDescent="0.2">
      <c r="F3716" s="50"/>
    </row>
    <row r="3717" spans="6:6" x14ac:dyDescent="0.2">
      <c r="F3717" s="50"/>
    </row>
    <row r="3718" spans="6:6" x14ac:dyDescent="0.2">
      <c r="F3718" s="50"/>
    </row>
    <row r="3719" spans="6:6" x14ac:dyDescent="0.2">
      <c r="F3719" s="50"/>
    </row>
    <row r="3720" spans="6:6" x14ac:dyDescent="0.2">
      <c r="F3720" s="50"/>
    </row>
    <row r="3721" spans="6:6" x14ac:dyDescent="0.2">
      <c r="F3721" s="50"/>
    </row>
    <row r="3722" spans="6:6" x14ac:dyDescent="0.2">
      <c r="F3722" s="50"/>
    </row>
    <row r="3723" spans="6:6" x14ac:dyDescent="0.2">
      <c r="F3723" s="50"/>
    </row>
    <row r="3724" spans="6:6" x14ac:dyDescent="0.2">
      <c r="F3724" s="50"/>
    </row>
    <row r="3725" spans="6:6" x14ac:dyDescent="0.2">
      <c r="F3725" s="50"/>
    </row>
    <row r="3726" spans="6:6" x14ac:dyDescent="0.2">
      <c r="F3726" s="50"/>
    </row>
    <row r="3727" spans="6:6" x14ac:dyDescent="0.2">
      <c r="F3727" s="50"/>
    </row>
    <row r="3728" spans="6:6" x14ac:dyDescent="0.2">
      <c r="F3728" s="50"/>
    </row>
    <row r="3729" spans="6:6" x14ac:dyDescent="0.2">
      <c r="F3729" s="50"/>
    </row>
    <row r="3734" spans="6:6" x14ac:dyDescent="0.2">
      <c r="F3734" s="50"/>
    </row>
    <row r="3735" spans="6:6" x14ac:dyDescent="0.2">
      <c r="F3735" s="50"/>
    </row>
    <row r="3737" spans="6:6" x14ac:dyDescent="0.2">
      <c r="F3737" s="50"/>
    </row>
    <row r="3738" spans="6:6" x14ac:dyDescent="0.2">
      <c r="F3738" s="50"/>
    </row>
    <row r="3739" spans="6:6" x14ac:dyDescent="0.2">
      <c r="F3739" s="50"/>
    </row>
    <row r="3740" spans="6:6" x14ac:dyDescent="0.2">
      <c r="F3740" s="50"/>
    </row>
    <row r="3741" spans="6:6" x14ac:dyDescent="0.2">
      <c r="F3741" s="50"/>
    </row>
    <row r="3742" spans="6:6" x14ac:dyDescent="0.2">
      <c r="F3742" s="50"/>
    </row>
    <row r="3743" spans="6:6" x14ac:dyDescent="0.2">
      <c r="F3743" s="50"/>
    </row>
    <row r="3744" spans="6:6" x14ac:dyDescent="0.2">
      <c r="F3744" s="50"/>
    </row>
    <row r="3745" spans="6:6" x14ac:dyDescent="0.2">
      <c r="F3745" s="50"/>
    </row>
    <row r="3746" spans="6:6" x14ac:dyDescent="0.2">
      <c r="F3746" s="50"/>
    </row>
    <row r="3749" spans="6:6" x14ac:dyDescent="0.2">
      <c r="F3749" s="50"/>
    </row>
    <row r="3750" spans="6:6" x14ac:dyDescent="0.2">
      <c r="F3750" s="50"/>
    </row>
    <row r="3752" spans="6:6" x14ac:dyDescent="0.2">
      <c r="F3752" s="50"/>
    </row>
    <row r="3753" spans="6:6" x14ac:dyDescent="0.2">
      <c r="F3753" s="50"/>
    </row>
    <row r="3754" spans="6:6" x14ac:dyDescent="0.2">
      <c r="F3754" s="50"/>
    </row>
    <row r="3755" spans="6:6" x14ac:dyDescent="0.2">
      <c r="F3755" s="50"/>
    </row>
    <row r="3756" spans="6:6" x14ac:dyDescent="0.2">
      <c r="F3756" s="50"/>
    </row>
    <row r="3757" spans="6:6" x14ac:dyDescent="0.2">
      <c r="F3757" s="50"/>
    </row>
    <row r="3758" spans="6:6" x14ac:dyDescent="0.2">
      <c r="F3758" s="50"/>
    </row>
    <row r="3765" spans="6:6" x14ac:dyDescent="0.2">
      <c r="F3765" s="50"/>
    </row>
    <row r="3767" spans="6:6" x14ac:dyDescent="0.2">
      <c r="F3767" s="50"/>
    </row>
    <row r="3768" spans="6:6" x14ac:dyDescent="0.2">
      <c r="F3768" s="50"/>
    </row>
    <row r="3769" spans="6:6" x14ac:dyDescent="0.2">
      <c r="F3769" s="50"/>
    </row>
    <row r="3770" spans="6:6" x14ac:dyDescent="0.2">
      <c r="F3770" s="50"/>
    </row>
    <row r="3771" spans="6:6" x14ac:dyDescent="0.2">
      <c r="F3771" s="50"/>
    </row>
    <row r="3772" spans="6:6" x14ac:dyDescent="0.2">
      <c r="F3772" s="50"/>
    </row>
    <row r="3773" spans="6:6" x14ac:dyDescent="0.2">
      <c r="F3773" s="50"/>
    </row>
    <row r="3775" spans="6:6" x14ac:dyDescent="0.2">
      <c r="F3775" s="50"/>
    </row>
    <row r="3776" spans="6:6" x14ac:dyDescent="0.2">
      <c r="F3776" s="50"/>
    </row>
    <row r="3780" spans="6:6" x14ac:dyDescent="0.2">
      <c r="F3780" s="50"/>
    </row>
    <row r="3782" spans="6:6" x14ac:dyDescent="0.2">
      <c r="F3782" s="50"/>
    </row>
    <row r="3785" spans="6:6" x14ac:dyDescent="0.2">
      <c r="F3785" s="50"/>
    </row>
    <row r="3786" spans="6:6" x14ac:dyDescent="0.2">
      <c r="F3786" s="50"/>
    </row>
    <row r="3788" spans="6:6" x14ac:dyDescent="0.2">
      <c r="F3788" s="50"/>
    </row>
    <row r="3789" spans="6:6" x14ac:dyDescent="0.2">
      <c r="F3789" s="50"/>
    </row>
    <row r="3791" spans="6:6" x14ac:dyDescent="0.2">
      <c r="F3791" s="50"/>
    </row>
    <row r="3794" spans="6:6" x14ac:dyDescent="0.2">
      <c r="F3794" s="50"/>
    </row>
    <row r="3795" spans="6:6" x14ac:dyDescent="0.2">
      <c r="F3795" s="50"/>
    </row>
    <row r="3796" spans="6:6" x14ac:dyDescent="0.2">
      <c r="F3796" s="50"/>
    </row>
    <row r="3797" spans="6:6" x14ac:dyDescent="0.2">
      <c r="F3797" s="50"/>
    </row>
    <row r="3798" spans="6:6" x14ac:dyDescent="0.2">
      <c r="F3798" s="50"/>
    </row>
    <row r="3799" spans="6:6" x14ac:dyDescent="0.2">
      <c r="F3799" s="50"/>
    </row>
    <row r="3800" spans="6:6" x14ac:dyDescent="0.2">
      <c r="F3800" s="50"/>
    </row>
    <row r="3801" spans="6:6" x14ac:dyDescent="0.2">
      <c r="F3801" s="50"/>
    </row>
    <row r="3802" spans="6:6" x14ac:dyDescent="0.2">
      <c r="F3802" s="50"/>
    </row>
    <row r="3803" spans="6:6" x14ac:dyDescent="0.2">
      <c r="F3803" s="50"/>
    </row>
    <row r="3804" spans="6:6" x14ac:dyDescent="0.2">
      <c r="F3804" s="50"/>
    </row>
    <row r="3807" spans="6:6" x14ac:dyDescent="0.2">
      <c r="F3807" s="50"/>
    </row>
    <row r="3808" spans="6:6" x14ac:dyDescent="0.2">
      <c r="F3808" s="50"/>
    </row>
    <row r="3821" spans="6:8" x14ac:dyDescent="0.2">
      <c r="F3821" s="50"/>
      <c r="G3821" s="50"/>
      <c r="H3821" s="50"/>
    </row>
    <row r="3827" spans="1:6" x14ac:dyDescent="0.2">
      <c r="F3827" s="50"/>
    </row>
    <row r="3828" spans="1:6" x14ac:dyDescent="0.2">
      <c r="F3828" s="50"/>
    </row>
    <row r="3829" spans="1:6" x14ac:dyDescent="0.2">
      <c r="F3829" s="50"/>
    </row>
    <row r="3830" spans="1:6" x14ac:dyDescent="0.2">
      <c r="A3830" s="60"/>
      <c r="C3830" s="60"/>
    </row>
    <row r="3834" spans="1:6" x14ac:dyDescent="0.2">
      <c r="F3834" s="50"/>
    </row>
    <row r="3835" spans="1:6" x14ac:dyDescent="0.2">
      <c r="F3835" s="50"/>
    </row>
    <row r="3839" spans="1:6" x14ac:dyDescent="0.2">
      <c r="F3839" s="50"/>
    </row>
    <row r="3840" spans="1:6" x14ac:dyDescent="0.2">
      <c r="F3840" s="50"/>
    </row>
    <row r="3841" spans="6:6" x14ac:dyDescent="0.2">
      <c r="F3841" s="50"/>
    </row>
    <row r="3847" spans="6:6" x14ac:dyDescent="0.2">
      <c r="F3847" s="50"/>
    </row>
    <row r="3848" spans="6:6" x14ac:dyDescent="0.2">
      <c r="F3848" s="50"/>
    </row>
    <row r="3849" spans="6:6" x14ac:dyDescent="0.2">
      <c r="F3849" s="50"/>
    </row>
    <row r="3853" spans="6:6" x14ac:dyDescent="0.2">
      <c r="F3853" s="50"/>
    </row>
    <row r="3857" spans="6:6" x14ac:dyDescent="0.2">
      <c r="F3857" s="50"/>
    </row>
    <row r="3859" spans="6:6" x14ac:dyDescent="0.2">
      <c r="F3859" s="50"/>
    </row>
    <row r="3860" spans="6:6" x14ac:dyDescent="0.2">
      <c r="F3860" s="50"/>
    </row>
    <row r="3862" spans="6:6" x14ac:dyDescent="0.2">
      <c r="F3862" s="50"/>
    </row>
    <row r="3866" spans="6:6" x14ac:dyDescent="0.2">
      <c r="F3866" s="50"/>
    </row>
    <row r="3867" spans="6:6" x14ac:dyDescent="0.2">
      <c r="F3867" s="50"/>
    </row>
    <row r="3868" spans="6:6" x14ac:dyDescent="0.2">
      <c r="F3868" s="50"/>
    </row>
    <row r="3869" spans="6:6" x14ac:dyDescent="0.2">
      <c r="F3869" s="50"/>
    </row>
    <row r="3870" spans="6:6" x14ac:dyDescent="0.2">
      <c r="F3870" s="50"/>
    </row>
    <row r="3872" spans="6:6" x14ac:dyDescent="0.2">
      <c r="F3872" s="50"/>
    </row>
    <row r="3883" spans="6:6" x14ac:dyDescent="0.2">
      <c r="F3883" s="50"/>
    </row>
    <row r="3884" spans="6:6" x14ac:dyDescent="0.2">
      <c r="F3884" s="50"/>
    </row>
    <row r="3887" spans="6:6" x14ac:dyDescent="0.2">
      <c r="F3887" s="50"/>
    </row>
    <row r="3896" spans="6:6" x14ac:dyDescent="0.2">
      <c r="F3896" s="50"/>
    </row>
    <row r="3999" spans="6:6" x14ac:dyDescent="0.2">
      <c r="F3999" s="50"/>
    </row>
    <row r="4020" spans="6:6" x14ac:dyDescent="0.2">
      <c r="F4020" s="50"/>
    </row>
    <row r="4034" spans="6:6" x14ac:dyDescent="0.2">
      <c r="F4034" s="50"/>
    </row>
    <row r="4068" spans="6:6" x14ac:dyDescent="0.2">
      <c r="F4068" s="50"/>
    </row>
    <row r="4074" spans="6:6" x14ac:dyDescent="0.2">
      <c r="F4074" s="50"/>
    </row>
    <row r="4075" spans="6:6" x14ac:dyDescent="0.2">
      <c r="F4075" s="50"/>
    </row>
    <row r="4076" spans="6:6" x14ac:dyDescent="0.2">
      <c r="F4076" s="50"/>
    </row>
    <row r="4082" spans="6:6" x14ac:dyDescent="0.2">
      <c r="F4082" s="50"/>
    </row>
    <row r="4102" spans="6:6" x14ac:dyDescent="0.2">
      <c r="F4102" s="50"/>
    </row>
    <row r="4103" spans="6:6" x14ac:dyDescent="0.2">
      <c r="F4103" s="50"/>
    </row>
    <row r="4104" spans="6:6" x14ac:dyDescent="0.2">
      <c r="F4104" s="50"/>
    </row>
    <row r="4121" spans="6:6" x14ac:dyDescent="0.2">
      <c r="F4121" s="50"/>
    </row>
    <row r="4122" spans="6:6" x14ac:dyDescent="0.2">
      <c r="F4122" s="50"/>
    </row>
    <row r="4150" spans="6:6" x14ac:dyDescent="0.2">
      <c r="F4150" s="50"/>
    </row>
    <row r="4191" spans="6:6" x14ac:dyDescent="0.2">
      <c r="F4191" s="50"/>
    </row>
    <row r="4192" spans="6:6" x14ac:dyDescent="0.2">
      <c r="F4192" s="50"/>
    </row>
    <row r="4202" spans="6:6" x14ac:dyDescent="0.2">
      <c r="F4202" s="50"/>
    </row>
    <row r="4229" spans="6:6" x14ac:dyDescent="0.2">
      <c r="F4229" s="50"/>
    </row>
    <row r="4241" spans="6:6" x14ac:dyDescent="0.2">
      <c r="F4241" s="50"/>
    </row>
    <row r="4248" spans="6:6" x14ac:dyDescent="0.2">
      <c r="F4248" s="50"/>
    </row>
    <row r="4249" spans="6:6" x14ac:dyDescent="0.2">
      <c r="F4249" s="50"/>
    </row>
    <row r="4269" spans="6:6" x14ac:dyDescent="0.2">
      <c r="F4269" s="50"/>
    </row>
    <row r="4270" spans="6:6" x14ac:dyDescent="0.2">
      <c r="F4270" s="50"/>
    </row>
    <row r="4282" spans="6:6" x14ac:dyDescent="0.2">
      <c r="F4282" s="50"/>
    </row>
    <row r="4293" spans="6:6" x14ac:dyDescent="0.2">
      <c r="F4293" s="50"/>
    </row>
    <row r="4295" spans="6:6" x14ac:dyDescent="0.2">
      <c r="F4295" s="50"/>
    </row>
    <row r="4324" spans="6:6" x14ac:dyDescent="0.2">
      <c r="F4324" s="50"/>
    </row>
    <row r="4325" spans="6:6" x14ac:dyDescent="0.2">
      <c r="F4325" s="50"/>
    </row>
    <row r="4378" spans="6:6" x14ac:dyDescent="0.2">
      <c r="F4378" s="50"/>
    </row>
    <row r="4382" spans="6:6" x14ac:dyDescent="0.2">
      <c r="F4382" s="50"/>
    </row>
    <row r="4383" spans="6:6" x14ac:dyDescent="0.2">
      <c r="F4383" s="50"/>
    </row>
    <row r="4385" spans="6:6" x14ac:dyDescent="0.2">
      <c r="F4385" s="50"/>
    </row>
    <row r="4400" spans="6:6" x14ac:dyDescent="0.2">
      <c r="F4400" s="50"/>
    </row>
    <row r="4404" spans="6:6" x14ac:dyDescent="0.2">
      <c r="F4404" s="50"/>
    </row>
    <row r="4558" spans="6:6" x14ac:dyDescent="0.2">
      <c r="F4558" s="50"/>
    </row>
    <row r="4613" spans="6:6" x14ac:dyDescent="0.2">
      <c r="F4613" s="50"/>
    </row>
    <row r="4649" spans="6:6" x14ac:dyDescent="0.2">
      <c r="F4649" s="50"/>
    </row>
    <row r="4650" spans="6:6" x14ac:dyDescent="0.2">
      <c r="F4650" s="50"/>
    </row>
    <row r="4753" spans="6:6" x14ac:dyDescent="0.2">
      <c r="F4753" s="50"/>
    </row>
    <row r="4754" spans="6:6" x14ac:dyDescent="0.2">
      <c r="F4754" s="50"/>
    </row>
    <row r="4763" spans="6:6" x14ac:dyDescent="0.2">
      <c r="F4763" s="50"/>
    </row>
    <row r="4764" spans="6:6" x14ac:dyDescent="0.2">
      <c r="F4764" s="50"/>
    </row>
    <row r="4787" spans="6:6" x14ac:dyDescent="0.2">
      <c r="F4787" s="50"/>
    </row>
    <row r="4798" spans="6:6" x14ac:dyDescent="0.2">
      <c r="F4798" s="50"/>
    </row>
    <row r="4799" spans="6:6" x14ac:dyDescent="0.2">
      <c r="F4799" s="50"/>
    </row>
    <row r="4826" spans="6:6" x14ac:dyDescent="0.2">
      <c r="F4826" s="50"/>
    </row>
    <row r="4832" spans="6:6" x14ac:dyDescent="0.2">
      <c r="F4832" s="50"/>
    </row>
    <row r="4882" spans="6:6" x14ac:dyDescent="0.2">
      <c r="F4882" s="50"/>
    </row>
    <row r="4883" spans="6:6" x14ac:dyDescent="0.2">
      <c r="F4883" s="50"/>
    </row>
    <row r="4916" spans="6:6" x14ac:dyDescent="0.2">
      <c r="F4916" s="50"/>
    </row>
    <row r="4927" spans="6:6" x14ac:dyDescent="0.2">
      <c r="F4927" s="50"/>
    </row>
    <row r="4951" spans="6:6" x14ac:dyDescent="0.2">
      <c r="F4951" s="50"/>
    </row>
    <row r="4994" spans="6:6" x14ac:dyDescent="0.2">
      <c r="F4994" s="50"/>
    </row>
    <row r="5014" spans="6:6" x14ac:dyDescent="0.2">
      <c r="F5014" s="50"/>
    </row>
    <row r="5016" spans="6:6" x14ac:dyDescent="0.2">
      <c r="F5016" s="50"/>
    </row>
    <row r="5017" spans="6:6" x14ac:dyDescent="0.2">
      <c r="F5017" s="50"/>
    </row>
    <row r="5018" spans="6:6" x14ac:dyDescent="0.2">
      <c r="F5018" s="50"/>
    </row>
    <row r="5028" spans="6:6" x14ac:dyDescent="0.2">
      <c r="F5028" s="50"/>
    </row>
    <row r="5031" spans="6:6" x14ac:dyDescent="0.2">
      <c r="F5031" s="50"/>
    </row>
    <row r="5032" spans="6:6" x14ac:dyDescent="0.2">
      <c r="F5032" s="50"/>
    </row>
    <row r="5037" spans="6:6" x14ac:dyDescent="0.2">
      <c r="F5037" s="50"/>
    </row>
    <row r="5120" spans="6:6" x14ac:dyDescent="0.2">
      <c r="F5120" s="50"/>
    </row>
    <row r="5140" spans="6:6" x14ac:dyDescent="0.2">
      <c r="F5140" s="50"/>
    </row>
    <row r="5151" spans="6:6" x14ac:dyDescent="0.2">
      <c r="F5151" s="50"/>
    </row>
    <row r="5152" spans="6:6" x14ac:dyDescent="0.2">
      <c r="F5152" s="50"/>
    </row>
    <row r="5153" spans="6:6" x14ac:dyDescent="0.2">
      <c r="F5153" s="50"/>
    </row>
    <row r="5210" spans="6:6" x14ac:dyDescent="0.2">
      <c r="F5210" s="50"/>
    </row>
    <row r="5223" spans="6:6" x14ac:dyDescent="0.2">
      <c r="F5223" s="50"/>
    </row>
    <row r="5268" spans="6:6" x14ac:dyDescent="0.2">
      <c r="F5268" s="50"/>
    </row>
    <row r="5269" spans="6:6" x14ac:dyDescent="0.2">
      <c r="F5269" s="50"/>
    </row>
    <row r="5270" spans="6:6" x14ac:dyDescent="0.2">
      <c r="F5270" s="50"/>
    </row>
    <row r="5271" spans="6:6" x14ac:dyDescent="0.2">
      <c r="F5271" s="50"/>
    </row>
    <row r="5416" spans="6:6" x14ac:dyDescent="0.2">
      <c r="F5416" s="50"/>
    </row>
    <row r="5417" spans="6:6" x14ac:dyDescent="0.2">
      <c r="F5417" s="50"/>
    </row>
    <row r="5418" spans="6:6" x14ac:dyDescent="0.2">
      <c r="F5418" s="50"/>
    </row>
    <row r="5419" spans="6:6" x14ac:dyDescent="0.2">
      <c r="F5419" s="50"/>
    </row>
    <row r="5436" spans="6:6" x14ac:dyDescent="0.2">
      <c r="F5436" s="50"/>
    </row>
    <row r="5461" spans="6:6" x14ac:dyDescent="0.2">
      <c r="F5461" s="50"/>
    </row>
    <row r="5479" spans="1:3" x14ac:dyDescent="0.2">
      <c r="A5479" s="60"/>
      <c r="C5479" s="60"/>
    </row>
    <row r="5590" spans="6:6" x14ac:dyDescent="0.2">
      <c r="F5590" s="50"/>
    </row>
    <row r="5604" spans="6:6" x14ac:dyDescent="0.2">
      <c r="F5604" s="50"/>
    </row>
    <row r="5658" spans="6:6" x14ac:dyDescent="0.2">
      <c r="F5658" s="50"/>
    </row>
  </sheetData>
  <autoFilter ref="A2:H5693" xr:uid="{AF5E859A-4802-4B87-BF6B-BC8EA6BDC997}"/>
  <customSheetViews>
    <customSheetView guid="{3088DA8C-CA5B-4D0B-B766-601A6252A1BC}" scale="115" showGridLines="0" showAutoFilter="1">
      <pane ySplit="2" topLeftCell="A3" activePane="bottomLeft" state="frozen"/>
      <selection pane="bottomLeft" activeCell="A4991" activeCellId="1" sqref="A4849 A4991"/>
      <pageMargins left="0.7" right="0.7" top="0.75" bottom="0.75" header="0.3" footer="0.3"/>
      <pageSetup orientation="portrait" r:id="rId1"/>
      <autoFilter ref="A2:H5693" xr:uid="{ED91707A-C2B6-42E3-B71E-5EEF3CD3B638}"/>
    </customSheetView>
    <customSheetView guid="{2C9D0022-6FEB-4503-9A3D-1134E9EB4ABD}" scale="115" showGridLines="0" showAutoFilter="1">
      <pane ySplit="2" topLeftCell="A5479" activePane="bottomLeft" state="frozen"/>
      <selection pane="bottomLeft" activeCell="C5500" sqref="C5500"/>
      <pageMargins left="0.7" right="0.7" top="0.75" bottom="0.75" header="0.3" footer="0.3"/>
      <pageSetup orientation="portrait" r:id="rId2"/>
      <autoFilter ref="A2:H5642" xr:uid="{11ECC0D6-0DE8-48E0-BCA9-D5DB5BEA3DB1}"/>
    </customSheetView>
    <customSheetView guid="{13FE0DC8-EF6C-4CDA-BD49-DC570D2B6582}" showGridLines="0" showAutoFilter="1">
      <selection activeCell="C3497" sqref="C3497"/>
      <pageMargins left="0.7" right="0.7" top="0.75" bottom="0.75" header="0.3" footer="0.3"/>
      <pageSetup orientation="portrait" r:id="rId3"/>
      <autoFilter ref="A2:H5642" xr:uid="{1FA85A8F-C324-4E19-981C-C8297EC8F553}"/>
    </customSheetView>
    <customSheetView guid="{B4395361-3CED-435D-A8C1-8E5C741E5B5A}" showGridLines="0" showAutoFilter="1">
      <pane ySplit="2" topLeftCell="A3856" activePane="bottomLeft" state="frozen"/>
      <selection pane="bottomLeft" activeCell="F3873" sqref="F3873"/>
      <pageMargins left="0.7" right="0.7" top="0.75" bottom="0.75" header="0.3" footer="0.3"/>
      <pageSetup orientation="portrait" r:id="rId4"/>
      <autoFilter ref="A2:H3913" xr:uid="{111A1E88-5432-4EAA-BE6E-E0CAE3F1C50B}"/>
    </customSheetView>
    <customSheetView guid="{50E2BFBF-272C-4DEF-B188-80DD2782F903}" showGridLines="0" showAutoFilter="1">
      <pane xSplit="1" ySplit="2" topLeftCell="B1893" activePane="bottomRight" state="frozen"/>
      <selection pane="bottomRight" activeCell="G1912" sqref="G1912"/>
      <pageMargins left="0.7" right="0.7" top="0.75" bottom="0.75" header="0.3" footer="0.3"/>
      <pageSetup orientation="portrait" r:id="rId5"/>
      <autoFilter ref="A2:H1921" xr:uid="{DA5F2D3B-1682-4A9A-A3B2-50139850710E}"/>
    </customSheetView>
    <customSheetView guid="{16C42120-8ADA-4135-A282-991D16C151FE}" scale="110" showGridLines="0" showAutoFilter="1">
      <pane ySplit="2" topLeftCell="A5612" activePane="bottomLeft" state="frozen"/>
      <selection pane="bottomLeft" activeCell="B5620" sqref="B5620"/>
      <pageMargins left="0.7" right="0.7" top="0.75" bottom="0.75" header="0.3" footer="0.3"/>
      <pageSetup orientation="portrait" r:id="rId6"/>
      <autoFilter ref="A2:H5693" xr:uid="{0E05D4C6-3FE8-41A8-B513-13F047530A6F}"/>
    </customSheetView>
  </customSheetViews>
  <conditionalFormatting sqref="A3:H20007">
    <cfRule type="expression" dxfId="68" priority="2">
      <formula>$A3&lt;&gt;""</formula>
    </cfRule>
  </conditionalFormatting>
  <pageMargins left="0.7" right="0.7" top="0.75" bottom="0.75" header="0.3" footer="0.3"/>
  <pageSetup orientation="portrait" r:id="rId7"/>
  <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7030A0"/>
  </sheetPr>
  <dimension ref="A1:I1476"/>
  <sheetViews>
    <sheetView showGridLines="0" zoomScaleNormal="100" workbookViewId="0">
      <pane ySplit="2" topLeftCell="A3" activePane="bottomLeft" state="frozen"/>
      <selection pane="bottomLeft" activeCell="C7" sqref="C7"/>
    </sheetView>
  </sheetViews>
  <sheetFormatPr defaultColWidth="0" defaultRowHeight="14.25" x14ac:dyDescent="0.2"/>
  <cols>
    <col min="1" max="1" width="16.125" customWidth="1"/>
    <col min="2" max="2" width="18.125" style="50" customWidth="1"/>
    <col min="3" max="3" width="16.75" customWidth="1"/>
    <col min="4" max="4" width="16.75" style="50" bestFit="1" customWidth="1"/>
    <col min="5" max="5" width="14.625" bestFit="1" customWidth="1"/>
    <col min="6" max="6" width="18.125" style="51" customWidth="1"/>
    <col min="7" max="7" width="26.875" customWidth="1"/>
    <col min="8" max="8" width="57.375" customWidth="1"/>
    <col min="9" max="9" width="1.375" customWidth="1"/>
    <col min="10" max="16384" width="9" hidden="1"/>
  </cols>
  <sheetData>
    <row r="1" spans="1:8" ht="27" customHeight="1" x14ac:dyDescent="0.2"/>
    <row r="2" spans="1:8" ht="15" x14ac:dyDescent="0.2">
      <c r="A2" s="3" t="s">
        <v>170</v>
      </c>
      <c r="B2" s="49" t="s">
        <v>0</v>
      </c>
      <c r="C2" s="3" t="s">
        <v>1</v>
      </c>
      <c r="D2" s="49" t="s">
        <v>2</v>
      </c>
      <c r="E2" s="3" t="s">
        <v>3</v>
      </c>
      <c r="F2" s="3" t="s">
        <v>4</v>
      </c>
      <c r="G2" s="3" t="s">
        <v>5</v>
      </c>
      <c r="H2" s="57" t="s">
        <v>6</v>
      </c>
    </row>
    <row r="3" spans="1:8" x14ac:dyDescent="0.2">
      <c r="A3" t="s">
        <v>1069</v>
      </c>
      <c r="B3" s="50">
        <v>44900.72760416667</v>
      </c>
      <c r="C3" t="s">
        <v>1069</v>
      </c>
      <c r="D3" s="50">
        <v>44943.53800925926</v>
      </c>
      <c r="E3" t="s">
        <v>1070</v>
      </c>
      <c r="F3" t="s">
        <v>861</v>
      </c>
      <c r="G3" t="s">
        <v>861</v>
      </c>
    </row>
    <row r="4" spans="1:8" x14ac:dyDescent="0.2">
      <c r="A4" t="s">
        <v>1071</v>
      </c>
      <c r="B4" s="50">
        <v>44901.657835648148</v>
      </c>
      <c r="C4" t="s">
        <v>1071</v>
      </c>
      <c r="D4" s="50">
        <v>44943.53800925926</v>
      </c>
      <c r="E4" t="s">
        <v>1070</v>
      </c>
      <c r="F4" t="s">
        <v>861</v>
      </c>
      <c r="G4" t="s">
        <v>861</v>
      </c>
    </row>
    <row r="5" spans="1:8" x14ac:dyDescent="0.2">
      <c r="A5" t="s">
        <v>1072</v>
      </c>
      <c r="B5" s="50">
        <v>44901.657870370371</v>
      </c>
      <c r="C5" t="s">
        <v>1072</v>
      </c>
      <c r="D5" s="50">
        <v>44943.53800925926</v>
      </c>
      <c r="E5" t="s">
        <v>1070</v>
      </c>
      <c r="F5" t="s">
        <v>861</v>
      </c>
      <c r="G5" t="s">
        <v>861</v>
      </c>
    </row>
    <row r="6" spans="1:8" x14ac:dyDescent="0.2">
      <c r="A6" t="s">
        <v>1073</v>
      </c>
      <c r="B6" s="50">
        <v>44901.657905092594</v>
      </c>
      <c r="C6" t="s">
        <v>1073</v>
      </c>
      <c r="D6" s="50">
        <v>44943.53800925926</v>
      </c>
      <c r="E6" t="s">
        <v>1070</v>
      </c>
      <c r="F6" t="s">
        <v>861</v>
      </c>
      <c r="G6" t="s">
        <v>861</v>
      </c>
    </row>
    <row r="7" spans="1:8" x14ac:dyDescent="0.2">
      <c r="A7" t="s">
        <v>1074</v>
      </c>
      <c r="B7" s="50">
        <v>44901.722743055558</v>
      </c>
      <c r="C7" t="s">
        <v>1074</v>
      </c>
      <c r="D7" s="50">
        <v>44943.53800925926</v>
      </c>
      <c r="E7" t="s">
        <v>1070</v>
      </c>
      <c r="F7" t="s">
        <v>861</v>
      </c>
      <c r="G7" t="s">
        <v>861</v>
      </c>
    </row>
    <row r="8" spans="1:8" x14ac:dyDescent="0.2">
      <c r="A8" t="s">
        <v>1075</v>
      </c>
      <c r="B8" s="50">
        <v>44904.584039351852</v>
      </c>
      <c r="C8" t="s">
        <v>1075</v>
      </c>
      <c r="D8" s="50">
        <v>44943.53800925926</v>
      </c>
      <c r="E8" t="s">
        <v>1070</v>
      </c>
      <c r="F8" t="s">
        <v>861</v>
      </c>
      <c r="G8" t="s">
        <v>861</v>
      </c>
    </row>
    <row r="9" spans="1:8" x14ac:dyDescent="0.2">
      <c r="A9" t="s">
        <v>1076</v>
      </c>
      <c r="B9" s="50">
        <v>44904.584074074075</v>
      </c>
      <c r="C9" t="s">
        <v>1076</v>
      </c>
      <c r="D9" s="50">
        <v>44943.53800925926</v>
      </c>
      <c r="E9" t="s">
        <v>1070</v>
      </c>
      <c r="F9" t="s">
        <v>861</v>
      </c>
      <c r="G9" t="s">
        <v>861</v>
      </c>
    </row>
    <row r="10" spans="1:8" x14ac:dyDescent="0.2">
      <c r="A10" t="s">
        <v>1077</v>
      </c>
      <c r="B10" s="50">
        <v>44911.374814814815</v>
      </c>
      <c r="C10" t="s">
        <v>1077</v>
      </c>
      <c r="D10" s="50">
        <v>44943.53800925926</v>
      </c>
      <c r="E10" t="s">
        <v>1070</v>
      </c>
      <c r="F10" t="s">
        <v>861</v>
      </c>
      <c r="G10" t="s">
        <v>861</v>
      </c>
    </row>
    <row r="11" spans="1:8" x14ac:dyDescent="0.2">
      <c r="A11" t="s">
        <v>1078</v>
      </c>
      <c r="B11" s="50">
        <v>44911.374930555554</v>
      </c>
      <c r="C11" t="s">
        <v>1078</v>
      </c>
      <c r="D11" s="50">
        <v>44943.53800925926</v>
      </c>
      <c r="E11" t="s">
        <v>1070</v>
      </c>
      <c r="F11" t="s">
        <v>861</v>
      </c>
      <c r="G11" t="s">
        <v>861</v>
      </c>
    </row>
    <row r="12" spans="1:8" x14ac:dyDescent="0.2">
      <c r="A12" t="s">
        <v>1079</v>
      </c>
      <c r="B12" s="50">
        <v>44911.65185185185</v>
      </c>
      <c r="C12" t="s">
        <v>1079</v>
      </c>
      <c r="D12" s="50">
        <v>44943.53800925926</v>
      </c>
      <c r="E12" t="s">
        <v>1070</v>
      </c>
      <c r="F12" t="s">
        <v>861</v>
      </c>
      <c r="G12" t="s">
        <v>861</v>
      </c>
    </row>
    <row r="13" spans="1:8" x14ac:dyDescent="0.2">
      <c r="A13" t="s">
        <v>1080</v>
      </c>
      <c r="B13" s="50">
        <v>44911.651909722219</v>
      </c>
      <c r="C13" t="s">
        <v>1080</v>
      </c>
      <c r="D13" s="50">
        <v>44943.53800925926</v>
      </c>
      <c r="E13" t="s">
        <v>1070</v>
      </c>
      <c r="F13" t="s">
        <v>861</v>
      </c>
      <c r="G13" t="s">
        <v>861</v>
      </c>
    </row>
    <row r="14" spans="1:8" x14ac:dyDescent="0.2">
      <c r="A14" t="s">
        <v>1081</v>
      </c>
      <c r="B14" s="50">
        <v>44912.383402777778</v>
      </c>
      <c r="C14" t="s">
        <v>1081</v>
      </c>
      <c r="D14" s="50">
        <v>44943.53800925926</v>
      </c>
      <c r="E14" t="s">
        <v>1070</v>
      </c>
      <c r="F14" t="s">
        <v>861</v>
      </c>
      <c r="G14" t="s">
        <v>861</v>
      </c>
    </row>
    <row r="15" spans="1:8" x14ac:dyDescent="0.2">
      <c r="A15" t="s">
        <v>1082</v>
      </c>
      <c r="B15" s="50">
        <v>44915.377280092594</v>
      </c>
      <c r="C15" t="s">
        <v>1082</v>
      </c>
      <c r="D15" s="50">
        <v>44943.53800925926</v>
      </c>
      <c r="E15" t="s">
        <v>1070</v>
      </c>
      <c r="F15" t="s">
        <v>861</v>
      </c>
      <c r="G15" t="s">
        <v>861</v>
      </c>
    </row>
    <row r="16" spans="1:8" x14ac:dyDescent="0.2">
      <c r="A16" t="s">
        <v>1083</v>
      </c>
      <c r="B16" s="50">
        <v>44915.444699074076</v>
      </c>
      <c r="C16" t="s">
        <v>1083</v>
      </c>
      <c r="D16" s="50">
        <v>44943.53800925926</v>
      </c>
      <c r="E16" t="s">
        <v>1070</v>
      </c>
      <c r="F16" t="s">
        <v>861</v>
      </c>
      <c r="G16" t="s">
        <v>861</v>
      </c>
    </row>
    <row r="17" spans="1:8" x14ac:dyDescent="0.2">
      <c r="A17" t="s">
        <v>1084</v>
      </c>
      <c r="B17" s="50">
        <v>44915.700555555559</v>
      </c>
      <c r="C17" t="s">
        <v>1084</v>
      </c>
      <c r="D17" s="50">
        <v>44943.53800925926</v>
      </c>
      <c r="E17" t="s">
        <v>1070</v>
      </c>
      <c r="F17" t="s">
        <v>861</v>
      </c>
      <c r="G17" t="s">
        <v>861</v>
      </c>
    </row>
    <row r="18" spans="1:8" x14ac:dyDescent="0.2">
      <c r="A18" t="s">
        <v>1085</v>
      </c>
      <c r="B18" s="50">
        <v>44915.701342592591</v>
      </c>
      <c r="C18" t="s">
        <v>1085</v>
      </c>
      <c r="D18" s="50">
        <v>44943.53800925926</v>
      </c>
      <c r="E18" t="s">
        <v>1070</v>
      </c>
      <c r="F18" t="s">
        <v>861</v>
      </c>
      <c r="G18" t="s">
        <v>861</v>
      </c>
    </row>
    <row r="19" spans="1:8" x14ac:dyDescent="0.2">
      <c r="A19" t="s">
        <v>1086</v>
      </c>
      <c r="B19" s="50">
        <v>44916.393726851849</v>
      </c>
      <c r="C19" t="s">
        <v>1086</v>
      </c>
      <c r="D19" s="50">
        <v>44943.53800925926</v>
      </c>
      <c r="E19" t="s">
        <v>1070</v>
      </c>
      <c r="F19" t="s">
        <v>861</v>
      </c>
      <c r="G19" t="s">
        <v>861</v>
      </c>
    </row>
    <row r="20" spans="1:8" x14ac:dyDescent="0.2">
      <c r="A20" t="s">
        <v>1087</v>
      </c>
      <c r="B20" s="50">
        <v>44917.658032407409</v>
      </c>
      <c r="C20" t="s">
        <v>1087</v>
      </c>
      <c r="D20" s="50">
        <v>44943.53800925926</v>
      </c>
      <c r="E20" t="s">
        <v>1070</v>
      </c>
      <c r="F20" t="s">
        <v>861</v>
      </c>
      <c r="G20" t="s">
        <v>861</v>
      </c>
    </row>
    <row r="21" spans="1:8" x14ac:dyDescent="0.2">
      <c r="A21" t="s">
        <v>1088</v>
      </c>
      <c r="B21" s="50">
        <v>44918.758333333331</v>
      </c>
      <c r="C21" t="s">
        <v>1088</v>
      </c>
      <c r="D21" s="50">
        <v>44943.53800925926</v>
      </c>
      <c r="E21" t="s">
        <v>1070</v>
      </c>
      <c r="F21" t="s">
        <v>861</v>
      </c>
      <c r="G21" t="s">
        <v>861</v>
      </c>
    </row>
    <row r="22" spans="1:8" x14ac:dyDescent="0.2">
      <c r="A22" t="s">
        <v>1089</v>
      </c>
      <c r="B22" s="50">
        <v>44921.374282407407</v>
      </c>
      <c r="C22" t="s">
        <v>1089</v>
      </c>
      <c r="D22" s="50">
        <v>44943.53800925926</v>
      </c>
      <c r="E22" t="s">
        <v>1070</v>
      </c>
      <c r="F22" t="s">
        <v>861</v>
      </c>
      <c r="G22" t="s">
        <v>861</v>
      </c>
    </row>
    <row r="23" spans="1:8" x14ac:dyDescent="0.2">
      <c r="A23" t="s">
        <v>1090</v>
      </c>
      <c r="B23" s="50">
        <v>44926.675659722219</v>
      </c>
      <c r="C23" t="s">
        <v>1090</v>
      </c>
      <c r="D23" s="50">
        <v>44943.53800925926</v>
      </c>
      <c r="E23" t="s">
        <v>1070</v>
      </c>
      <c r="F23" t="s">
        <v>861</v>
      </c>
      <c r="G23" t="s">
        <v>861</v>
      </c>
    </row>
    <row r="24" spans="1:8" x14ac:dyDescent="0.2">
      <c r="A24" t="s">
        <v>1091</v>
      </c>
      <c r="B24" s="50">
        <v>44985.59170138889</v>
      </c>
      <c r="C24" t="s">
        <v>1091</v>
      </c>
      <c r="D24" s="50">
        <v>44930.459432870368</v>
      </c>
      <c r="E24" t="s">
        <v>1070</v>
      </c>
      <c r="F24" s="51" t="s">
        <v>707</v>
      </c>
      <c r="G24" t="s">
        <v>1057</v>
      </c>
      <c r="H24" t="s">
        <v>1092</v>
      </c>
    </row>
    <row r="25" spans="1:8" x14ac:dyDescent="0.2">
      <c r="A25" t="s">
        <v>1093</v>
      </c>
      <c r="B25" s="50">
        <v>44929.47446759259</v>
      </c>
      <c r="C25" t="s">
        <v>1093</v>
      </c>
      <c r="D25" s="50">
        <v>44937.473668981482</v>
      </c>
      <c r="E25" t="s">
        <v>1070</v>
      </c>
      <c r="F25" s="51" t="s">
        <v>7</v>
      </c>
      <c r="G25" t="s">
        <v>694</v>
      </c>
      <c r="H25" t="s">
        <v>1092</v>
      </c>
    </row>
    <row r="26" spans="1:8" x14ac:dyDescent="0.2">
      <c r="A26" t="s">
        <v>1094</v>
      </c>
      <c r="B26" s="50">
        <v>44929.559027777781</v>
      </c>
      <c r="C26" t="s">
        <v>1094</v>
      </c>
      <c r="D26" s="50">
        <v>44930.46429398148</v>
      </c>
      <c r="E26" t="s">
        <v>1070</v>
      </c>
      <c r="F26" s="51" t="s">
        <v>707</v>
      </c>
      <c r="G26" t="s">
        <v>694</v>
      </c>
      <c r="H26" t="s">
        <v>1095</v>
      </c>
    </row>
    <row r="27" spans="1:8" x14ac:dyDescent="0.2">
      <c r="A27" t="s">
        <v>1096</v>
      </c>
      <c r="B27" s="50">
        <v>44929.642164351855</v>
      </c>
      <c r="C27" t="s">
        <v>1096</v>
      </c>
      <c r="D27" s="50">
        <v>44929.652453703704</v>
      </c>
      <c r="E27" t="s">
        <v>1070</v>
      </c>
      <c r="F27" s="51" t="s">
        <v>7</v>
      </c>
      <c r="G27" t="s">
        <v>723</v>
      </c>
      <c r="H27" t="s">
        <v>1092</v>
      </c>
    </row>
    <row r="28" spans="1:8" x14ac:dyDescent="0.2">
      <c r="A28" t="s">
        <v>1097</v>
      </c>
      <c r="B28" s="50">
        <v>44929.642210648148</v>
      </c>
      <c r="C28" t="s">
        <v>1097</v>
      </c>
      <c r="D28" s="50">
        <v>44929.647129629629</v>
      </c>
      <c r="E28" t="s">
        <v>1070</v>
      </c>
      <c r="F28" s="51" t="s">
        <v>707</v>
      </c>
      <c r="G28" t="s">
        <v>694</v>
      </c>
      <c r="H28" t="s">
        <v>1092</v>
      </c>
    </row>
    <row r="29" spans="1:8" x14ac:dyDescent="0.2">
      <c r="A29" t="s">
        <v>1098</v>
      </c>
      <c r="B29" s="50">
        <v>44929.642233796294</v>
      </c>
      <c r="C29" t="s">
        <v>1098</v>
      </c>
      <c r="D29" s="50">
        <v>44930.456377314818</v>
      </c>
      <c r="E29" t="s">
        <v>1070</v>
      </c>
      <c r="F29" s="51" t="s">
        <v>707</v>
      </c>
      <c r="G29" t="s">
        <v>716</v>
      </c>
      <c r="H29" t="s">
        <v>1092</v>
      </c>
    </row>
    <row r="30" spans="1:8" x14ac:dyDescent="0.2">
      <c r="A30" t="s">
        <v>1099</v>
      </c>
      <c r="B30" s="50">
        <v>44929.642245370371</v>
      </c>
      <c r="C30" t="s">
        <v>1099</v>
      </c>
      <c r="D30" s="50">
        <v>44930.479432870372</v>
      </c>
      <c r="E30" t="s">
        <v>1070</v>
      </c>
      <c r="F30" s="51" t="s">
        <v>7</v>
      </c>
      <c r="G30" t="s">
        <v>1100</v>
      </c>
      <c r="H30" t="s">
        <v>1092</v>
      </c>
    </row>
    <row r="31" spans="1:8" x14ac:dyDescent="0.2">
      <c r="A31" t="s">
        <v>1101</v>
      </c>
      <c r="B31" s="50">
        <v>44985.591585648152</v>
      </c>
      <c r="C31" t="s">
        <v>1101</v>
      </c>
      <c r="D31" s="50">
        <v>44930.532743055555</v>
      </c>
      <c r="E31" t="s">
        <v>1070</v>
      </c>
      <c r="F31" s="51" t="s">
        <v>707</v>
      </c>
      <c r="G31" t="s">
        <v>1057</v>
      </c>
      <c r="H31" t="s">
        <v>1092</v>
      </c>
    </row>
    <row r="32" spans="1:8" x14ac:dyDescent="0.2">
      <c r="A32" t="s">
        <v>1102</v>
      </c>
      <c r="B32" s="50">
        <v>44985.591817129629</v>
      </c>
      <c r="C32" t="s">
        <v>1102</v>
      </c>
      <c r="D32" s="50">
        <v>44930.455682870372</v>
      </c>
      <c r="E32" t="s">
        <v>1070</v>
      </c>
      <c r="F32" s="51" t="s">
        <v>707</v>
      </c>
      <c r="G32" t="s">
        <v>1057</v>
      </c>
      <c r="H32" t="s">
        <v>1092</v>
      </c>
    </row>
    <row r="33" spans="1:8" x14ac:dyDescent="0.2">
      <c r="A33" t="s">
        <v>1103</v>
      </c>
      <c r="B33" s="50">
        <v>44929.671226851853</v>
      </c>
      <c r="C33" t="s">
        <v>1103</v>
      </c>
      <c r="D33" s="50">
        <v>44930.540439814817</v>
      </c>
      <c r="E33" t="s">
        <v>1070</v>
      </c>
      <c r="F33" s="51" t="s">
        <v>707</v>
      </c>
      <c r="G33" t="s">
        <v>1057</v>
      </c>
      <c r="H33" t="s">
        <v>1092</v>
      </c>
    </row>
    <row r="34" spans="1:8" x14ac:dyDescent="0.2">
      <c r="A34" t="s">
        <v>1104</v>
      </c>
      <c r="B34" s="50">
        <v>44929.671307870369</v>
      </c>
      <c r="C34" t="s">
        <v>1104</v>
      </c>
      <c r="D34" s="50">
        <v>44930.459513888891</v>
      </c>
      <c r="E34" t="s">
        <v>1070</v>
      </c>
      <c r="F34" s="51" t="s">
        <v>707</v>
      </c>
      <c r="G34" t="s">
        <v>1057</v>
      </c>
      <c r="H34" t="s">
        <v>1092</v>
      </c>
    </row>
    <row r="35" spans="1:8" x14ac:dyDescent="0.2">
      <c r="A35" t="s">
        <v>1105</v>
      </c>
      <c r="B35" s="50">
        <v>44929.72074074074</v>
      </c>
      <c r="C35" t="s">
        <v>1105</v>
      </c>
      <c r="D35" s="50">
        <v>44929.739166666666</v>
      </c>
      <c r="E35" t="s">
        <v>1070</v>
      </c>
      <c r="F35" s="51" t="s">
        <v>7</v>
      </c>
      <c r="G35" t="s">
        <v>694</v>
      </c>
      <c r="H35" t="s">
        <v>1092</v>
      </c>
    </row>
    <row r="36" spans="1:8" x14ac:dyDescent="0.2">
      <c r="A36" t="s">
        <v>1106</v>
      </c>
      <c r="B36" s="50">
        <v>44929.72079861111</v>
      </c>
      <c r="C36" t="s">
        <v>1106</v>
      </c>
      <c r="D36" s="50">
        <v>44929.739293981482</v>
      </c>
      <c r="E36" t="s">
        <v>1070</v>
      </c>
      <c r="F36" s="51" t="s">
        <v>7</v>
      </c>
      <c r="G36" t="s">
        <v>694</v>
      </c>
      <c r="H36" t="s">
        <v>1092</v>
      </c>
    </row>
    <row r="37" spans="1:8" x14ac:dyDescent="0.2">
      <c r="A37" t="s">
        <v>1107</v>
      </c>
      <c r="B37" s="50">
        <v>44929.720960648148</v>
      </c>
      <c r="C37" t="s">
        <v>1107</v>
      </c>
      <c r="D37" s="50">
        <v>44930.436516203707</v>
      </c>
      <c r="E37" t="s">
        <v>1070</v>
      </c>
      <c r="F37" s="51" t="s">
        <v>707</v>
      </c>
      <c r="G37" t="s">
        <v>1100</v>
      </c>
      <c r="H37" t="s">
        <v>1092</v>
      </c>
    </row>
    <row r="38" spans="1:8" x14ac:dyDescent="0.2">
      <c r="A38" t="s">
        <v>1108</v>
      </c>
      <c r="B38" s="50">
        <v>44929.721076388887</v>
      </c>
      <c r="C38" t="s">
        <v>1108</v>
      </c>
      <c r="D38" s="50">
        <v>44930.444756944446</v>
      </c>
      <c r="E38" t="s">
        <v>1070</v>
      </c>
      <c r="F38" s="51" t="s">
        <v>707</v>
      </c>
      <c r="G38" t="s">
        <v>1057</v>
      </c>
      <c r="H38" t="s">
        <v>1092</v>
      </c>
    </row>
    <row r="39" spans="1:8" x14ac:dyDescent="0.2">
      <c r="A39" t="s">
        <v>1109</v>
      </c>
      <c r="B39" s="50">
        <v>44929.721226851849</v>
      </c>
      <c r="C39" t="s">
        <v>1109</v>
      </c>
      <c r="D39" s="50">
        <v>44930.436226851853</v>
      </c>
      <c r="E39" t="s">
        <v>1070</v>
      </c>
      <c r="F39" s="51" t="s">
        <v>707</v>
      </c>
      <c r="G39" t="s">
        <v>1100</v>
      </c>
      <c r="H39" t="s">
        <v>1092</v>
      </c>
    </row>
    <row r="40" spans="1:8" x14ac:dyDescent="0.2">
      <c r="A40" t="s">
        <v>1110</v>
      </c>
      <c r="B40" s="50">
        <v>44929.721458333333</v>
      </c>
      <c r="C40" t="s">
        <v>1110</v>
      </c>
      <c r="D40" s="50">
        <v>44929.739444444444</v>
      </c>
      <c r="E40" t="s">
        <v>1070</v>
      </c>
      <c r="F40" s="51" t="s">
        <v>7</v>
      </c>
      <c r="G40" t="s">
        <v>694</v>
      </c>
      <c r="H40" t="s">
        <v>1092</v>
      </c>
    </row>
    <row r="41" spans="1:8" x14ac:dyDescent="0.2">
      <c r="A41" t="s">
        <v>1111</v>
      </c>
      <c r="B41" s="50">
        <v>44930.409490740742</v>
      </c>
      <c r="C41" t="s">
        <v>1111</v>
      </c>
      <c r="D41" s="50">
        <v>44936.374363425923</v>
      </c>
      <c r="E41" t="s">
        <v>1070</v>
      </c>
      <c r="F41" s="51" t="s">
        <v>707</v>
      </c>
      <c r="G41" t="s">
        <v>1112</v>
      </c>
      <c r="H41" t="s">
        <v>1113</v>
      </c>
    </row>
    <row r="42" spans="1:8" x14ac:dyDescent="0.2">
      <c r="A42" t="s">
        <v>1114</v>
      </c>
      <c r="B42" s="50">
        <v>44930.409525462965</v>
      </c>
      <c r="C42" t="s">
        <v>1114</v>
      </c>
      <c r="D42" s="50">
        <v>44930.419120370374</v>
      </c>
      <c r="E42" t="s">
        <v>1070</v>
      </c>
      <c r="F42" s="51" t="s">
        <v>707</v>
      </c>
      <c r="G42" t="s">
        <v>1112</v>
      </c>
      <c r="H42" t="s">
        <v>1092</v>
      </c>
    </row>
    <row r="43" spans="1:8" x14ac:dyDescent="0.2">
      <c r="A43" t="s">
        <v>1115</v>
      </c>
      <c r="B43" s="50">
        <v>44930.409560185188</v>
      </c>
      <c r="C43" t="s">
        <v>1115</v>
      </c>
      <c r="D43" s="50">
        <v>44930.422812500001</v>
      </c>
      <c r="E43" t="s">
        <v>1070</v>
      </c>
      <c r="F43" s="51" t="s">
        <v>707</v>
      </c>
      <c r="G43" t="s">
        <v>1112</v>
      </c>
      <c r="H43" t="s">
        <v>1092</v>
      </c>
    </row>
    <row r="44" spans="1:8" x14ac:dyDescent="0.2">
      <c r="A44" t="s">
        <v>1116</v>
      </c>
      <c r="B44" s="50">
        <v>44930.409583333334</v>
      </c>
      <c r="C44" t="s">
        <v>1116</v>
      </c>
      <c r="D44" s="50">
        <v>44930.581446759257</v>
      </c>
      <c r="E44" t="s">
        <v>1117</v>
      </c>
      <c r="F44" s="51" t="s">
        <v>707</v>
      </c>
      <c r="G44" t="s">
        <v>1118</v>
      </c>
      <c r="H44" t="s">
        <v>1092</v>
      </c>
    </row>
    <row r="45" spans="1:8" x14ac:dyDescent="0.2">
      <c r="A45" t="s">
        <v>1119</v>
      </c>
      <c r="B45" s="50">
        <v>44930.40965277778</v>
      </c>
      <c r="C45" t="s">
        <v>1119</v>
      </c>
      <c r="D45" s="50">
        <v>44930.424444444441</v>
      </c>
      <c r="E45" t="s">
        <v>1070</v>
      </c>
      <c r="F45" s="51" t="s">
        <v>1120</v>
      </c>
      <c r="G45" t="s">
        <v>723</v>
      </c>
      <c r="H45" t="s">
        <v>1092</v>
      </c>
    </row>
    <row r="46" spans="1:8" x14ac:dyDescent="0.2">
      <c r="A46" t="s">
        <v>1121</v>
      </c>
      <c r="B46" s="50">
        <v>44930.409826388888</v>
      </c>
      <c r="C46" t="s">
        <v>1121</v>
      </c>
      <c r="D46" s="50">
        <v>44930.551608796297</v>
      </c>
      <c r="E46" t="s">
        <v>1070</v>
      </c>
      <c r="F46" s="51" t="s">
        <v>707</v>
      </c>
      <c r="G46" t="s">
        <v>1100</v>
      </c>
      <c r="H46" t="s">
        <v>1122</v>
      </c>
    </row>
    <row r="47" spans="1:8" x14ac:dyDescent="0.2">
      <c r="A47" t="s">
        <v>1123</v>
      </c>
      <c r="B47" s="50">
        <v>44930.662754629629</v>
      </c>
      <c r="C47" t="s">
        <v>1123</v>
      </c>
      <c r="D47" s="50">
        <v>44930.696435185186</v>
      </c>
      <c r="E47" t="s">
        <v>1070</v>
      </c>
      <c r="F47" s="51" t="s">
        <v>7</v>
      </c>
      <c r="G47" t="s">
        <v>694</v>
      </c>
      <c r="H47" t="s">
        <v>1113</v>
      </c>
    </row>
    <row r="48" spans="1:8" x14ac:dyDescent="0.2">
      <c r="A48" t="s">
        <v>1124</v>
      </c>
      <c r="B48" s="50">
        <v>44937.534525462965</v>
      </c>
      <c r="C48" t="s">
        <v>1124</v>
      </c>
      <c r="D48" s="50">
        <v>44937.534560185188</v>
      </c>
      <c r="E48" t="s">
        <v>1070</v>
      </c>
      <c r="F48" s="51" t="s">
        <v>707</v>
      </c>
      <c r="H48" t="s">
        <v>1092</v>
      </c>
    </row>
    <row r="49" spans="1:8" x14ac:dyDescent="0.2">
      <c r="A49" t="s">
        <v>1125</v>
      </c>
      <c r="B49" s="50">
        <v>44936.596076388887</v>
      </c>
      <c r="C49" t="s">
        <v>1125</v>
      </c>
      <c r="D49" s="50">
        <v>44937.473854166667</v>
      </c>
      <c r="E49" t="s">
        <v>1070</v>
      </c>
      <c r="F49" s="51" t="s">
        <v>7</v>
      </c>
      <c r="G49" t="s">
        <v>694</v>
      </c>
      <c r="H49" t="s">
        <v>1092</v>
      </c>
    </row>
    <row r="50" spans="1:8" x14ac:dyDescent="0.2">
      <c r="A50" t="s">
        <v>1126</v>
      </c>
      <c r="B50" s="50">
        <v>44931.429629629631</v>
      </c>
      <c r="C50" t="s">
        <v>1126</v>
      </c>
      <c r="D50" s="50">
        <v>44937.473993055559</v>
      </c>
      <c r="E50" t="s">
        <v>1070</v>
      </c>
      <c r="F50" s="51" t="s">
        <v>7</v>
      </c>
      <c r="G50" t="s">
        <v>694</v>
      </c>
      <c r="H50" t="s">
        <v>1092</v>
      </c>
    </row>
    <row r="51" spans="1:8" x14ac:dyDescent="0.2">
      <c r="A51" t="s">
        <v>1127</v>
      </c>
      <c r="B51" s="50">
        <v>44931.591377314813</v>
      </c>
      <c r="C51" t="s">
        <v>1127</v>
      </c>
      <c r="D51" s="50">
        <v>44936.360335648147</v>
      </c>
      <c r="E51" t="s">
        <v>1070</v>
      </c>
      <c r="F51" s="51" t="s">
        <v>707</v>
      </c>
      <c r="G51" t="s">
        <v>1100</v>
      </c>
      <c r="H51" t="s">
        <v>1092</v>
      </c>
    </row>
    <row r="52" spans="1:8" x14ac:dyDescent="0.2">
      <c r="A52" t="s">
        <v>1128</v>
      </c>
      <c r="B52" s="50">
        <v>44931.591608796298</v>
      </c>
      <c r="C52" t="s">
        <v>1128</v>
      </c>
      <c r="D52" s="50">
        <v>44932.423634259256</v>
      </c>
      <c r="E52" t="s">
        <v>1070</v>
      </c>
      <c r="F52" s="51" t="s">
        <v>7</v>
      </c>
      <c r="G52" t="s">
        <v>1092</v>
      </c>
      <c r="H52" t="s">
        <v>1092</v>
      </c>
    </row>
    <row r="53" spans="1:8" x14ac:dyDescent="0.2">
      <c r="A53" t="s">
        <v>1129</v>
      </c>
      <c r="B53" s="50">
        <v>44936.597986111112</v>
      </c>
      <c r="C53" t="s">
        <v>1129</v>
      </c>
      <c r="D53" s="50">
        <v>44936.598020833335</v>
      </c>
      <c r="E53" t="s">
        <v>1070</v>
      </c>
      <c r="F53" s="51" t="s">
        <v>707</v>
      </c>
      <c r="G53" t="s">
        <v>1112</v>
      </c>
      <c r="H53" t="s">
        <v>1092</v>
      </c>
    </row>
    <row r="54" spans="1:8" x14ac:dyDescent="0.2">
      <c r="A54" s="52" t="s">
        <v>1130</v>
      </c>
      <c r="B54" s="50">
        <v>44931.707152777781</v>
      </c>
      <c r="C54" s="52" t="s">
        <v>1130</v>
      </c>
      <c r="D54" s="50">
        <v>44935.711365740739</v>
      </c>
      <c r="E54" t="s">
        <v>1070</v>
      </c>
      <c r="F54" s="51" t="s">
        <v>707</v>
      </c>
      <c r="G54" t="s">
        <v>1100</v>
      </c>
      <c r="H54" t="s">
        <v>1092</v>
      </c>
    </row>
    <row r="55" spans="1:8" x14ac:dyDescent="0.2">
      <c r="A55" t="s">
        <v>1131</v>
      </c>
      <c r="B55" s="50">
        <v>44932.412731481483</v>
      </c>
      <c r="C55" t="s">
        <v>1131</v>
      </c>
      <c r="D55" s="50">
        <v>44936.360543981478</v>
      </c>
      <c r="E55" t="s">
        <v>1070</v>
      </c>
      <c r="F55" s="51" t="s">
        <v>707</v>
      </c>
      <c r="G55" t="s">
        <v>1100</v>
      </c>
      <c r="H55" t="s">
        <v>1092</v>
      </c>
    </row>
    <row r="56" spans="1:8" x14ac:dyDescent="0.2">
      <c r="A56" t="s">
        <v>1132</v>
      </c>
      <c r="B56" s="50">
        <v>44932.412881944445</v>
      </c>
      <c r="C56" t="s">
        <v>1132</v>
      </c>
      <c r="D56" s="50">
        <v>44935.589895833335</v>
      </c>
      <c r="E56" t="s">
        <v>1070</v>
      </c>
      <c r="F56" s="51" t="s">
        <v>707</v>
      </c>
      <c r="G56" t="s">
        <v>694</v>
      </c>
      <c r="H56" t="s">
        <v>1092</v>
      </c>
    </row>
    <row r="57" spans="1:8" x14ac:dyDescent="0.2">
      <c r="A57" t="s">
        <v>1133</v>
      </c>
      <c r="B57" s="50">
        <v>44932.412916666668</v>
      </c>
      <c r="C57" t="s">
        <v>1133</v>
      </c>
      <c r="D57" s="50">
        <v>44935.711215277777</v>
      </c>
      <c r="E57" t="s">
        <v>1070</v>
      </c>
      <c r="F57" s="51" t="s">
        <v>707</v>
      </c>
      <c r="G57" t="s">
        <v>1100</v>
      </c>
      <c r="H57" t="s">
        <v>1092</v>
      </c>
    </row>
    <row r="58" spans="1:8" x14ac:dyDescent="0.2">
      <c r="A58" t="s">
        <v>1134</v>
      </c>
      <c r="B58" s="50">
        <v>44932.455694444441</v>
      </c>
      <c r="C58" t="s">
        <v>1134</v>
      </c>
      <c r="D58" s="50">
        <v>44935.577407407407</v>
      </c>
      <c r="E58" t="s">
        <v>1070</v>
      </c>
      <c r="F58" s="51" t="s">
        <v>7</v>
      </c>
      <c r="G58" t="s">
        <v>769</v>
      </c>
      <c r="H58" t="s">
        <v>1092</v>
      </c>
    </row>
    <row r="59" spans="1:8" x14ac:dyDescent="0.2">
      <c r="A59" t="s">
        <v>1135</v>
      </c>
      <c r="B59" s="50">
        <v>44932.69734953704</v>
      </c>
      <c r="C59" t="s">
        <v>1135</v>
      </c>
      <c r="D59" s="50">
        <v>44935.711076388892</v>
      </c>
      <c r="E59" t="s">
        <v>1070</v>
      </c>
      <c r="F59" s="51" t="s">
        <v>707</v>
      </c>
      <c r="G59" t="s">
        <v>1100</v>
      </c>
      <c r="H59" t="s">
        <v>1092</v>
      </c>
    </row>
    <row r="60" spans="1:8" x14ac:dyDescent="0.2">
      <c r="A60" t="s">
        <v>1136</v>
      </c>
      <c r="B60" s="50">
        <v>44932.697372685187</v>
      </c>
      <c r="C60" t="s">
        <v>1136</v>
      </c>
      <c r="D60" s="50">
        <v>44935.466597222221</v>
      </c>
      <c r="E60" t="s">
        <v>1117</v>
      </c>
      <c r="F60" s="51" t="s">
        <v>707</v>
      </c>
      <c r="G60" t="s">
        <v>1057</v>
      </c>
      <c r="H60" t="s">
        <v>1092</v>
      </c>
    </row>
    <row r="61" spans="1:8" x14ac:dyDescent="0.2">
      <c r="A61" t="s">
        <v>1137</v>
      </c>
      <c r="B61" s="50">
        <v>44932.697430555556</v>
      </c>
      <c r="C61" t="s">
        <v>1137</v>
      </c>
      <c r="D61" s="50">
        <v>44935.601331018515</v>
      </c>
      <c r="E61" t="s">
        <v>1070</v>
      </c>
      <c r="F61" s="51" t="s">
        <v>707</v>
      </c>
      <c r="G61" t="s">
        <v>769</v>
      </c>
      <c r="H61" t="s">
        <v>1092</v>
      </c>
    </row>
    <row r="62" spans="1:8" x14ac:dyDescent="0.2">
      <c r="A62" t="s">
        <v>1138</v>
      </c>
      <c r="B62" s="50">
        <v>44932.697453703702</v>
      </c>
      <c r="C62" t="s">
        <v>1138</v>
      </c>
      <c r="D62" s="50">
        <v>44935.608275462961</v>
      </c>
      <c r="E62" t="s">
        <v>1070</v>
      </c>
      <c r="F62" s="51" t="s">
        <v>707</v>
      </c>
      <c r="G62" t="s">
        <v>769</v>
      </c>
      <c r="H62" t="s">
        <v>1092</v>
      </c>
    </row>
    <row r="63" spans="1:8" x14ac:dyDescent="0.2">
      <c r="A63" t="s">
        <v>1139</v>
      </c>
      <c r="B63" s="50">
        <v>44932.697488425925</v>
      </c>
      <c r="C63" t="s">
        <v>1139</v>
      </c>
      <c r="D63" s="50">
        <v>44935.713703703703</v>
      </c>
      <c r="E63" t="s">
        <v>1117</v>
      </c>
      <c r="F63" s="51" t="s">
        <v>707</v>
      </c>
      <c r="G63" t="s">
        <v>1140</v>
      </c>
      <c r="H63" t="s">
        <v>1092</v>
      </c>
    </row>
    <row r="64" spans="1:8" x14ac:dyDescent="0.2">
      <c r="A64" t="s">
        <v>1141</v>
      </c>
      <c r="B64" s="50">
        <v>44932.697534722225</v>
      </c>
      <c r="C64" t="s">
        <v>1141</v>
      </c>
      <c r="D64" s="50">
        <v>44936.474895833337</v>
      </c>
      <c r="E64" t="s">
        <v>1070</v>
      </c>
      <c r="F64" s="51" t="s">
        <v>707</v>
      </c>
      <c r="G64" t="s">
        <v>1100</v>
      </c>
      <c r="H64" t="s">
        <v>1092</v>
      </c>
    </row>
    <row r="65" spans="1:8" x14ac:dyDescent="0.2">
      <c r="A65" t="s">
        <v>1142</v>
      </c>
      <c r="B65" s="50">
        <v>44932.718819444446</v>
      </c>
      <c r="C65" t="s">
        <v>1142</v>
      </c>
      <c r="D65" s="50">
        <v>44933.714224537034</v>
      </c>
      <c r="E65" t="s">
        <v>1117</v>
      </c>
      <c r="F65" s="51" t="s">
        <v>707</v>
      </c>
      <c r="G65" t="s">
        <v>769</v>
      </c>
      <c r="H65" t="s">
        <v>1092</v>
      </c>
    </row>
    <row r="66" spans="1:8" x14ac:dyDescent="0.2">
      <c r="A66" t="s">
        <v>1143</v>
      </c>
      <c r="B66" s="50">
        <v>44933.386689814812</v>
      </c>
      <c r="C66" t="s">
        <v>1143</v>
      </c>
      <c r="D66" s="50">
        <v>44933.525243055556</v>
      </c>
      <c r="E66" t="s">
        <v>1070</v>
      </c>
      <c r="F66" s="51" t="s">
        <v>707</v>
      </c>
      <c r="G66" t="s">
        <v>716</v>
      </c>
      <c r="H66" t="s">
        <v>1092</v>
      </c>
    </row>
    <row r="67" spans="1:8" x14ac:dyDescent="0.2">
      <c r="A67" t="s">
        <v>1144</v>
      </c>
      <c r="B67" s="50">
        <v>44933.386724537035</v>
      </c>
      <c r="C67" t="s">
        <v>1144</v>
      </c>
      <c r="D67" s="50">
        <v>44933.52888888889</v>
      </c>
      <c r="E67" t="s">
        <v>1070</v>
      </c>
      <c r="F67" s="51" t="s">
        <v>707</v>
      </c>
      <c r="G67" t="s">
        <v>716</v>
      </c>
      <c r="H67" t="s">
        <v>1092</v>
      </c>
    </row>
    <row r="68" spans="1:8" x14ac:dyDescent="0.2">
      <c r="A68" t="s">
        <v>1145</v>
      </c>
      <c r="B68" s="50">
        <v>44933.386828703704</v>
      </c>
      <c r="C68" t="s">
        <v>1145</v>
      </c>
      <c r="D68" s="50">
        <v>44935.635196759256</v>
      </c>
      <c r="E68" t="s">
        <v>1070</v>
      </c>
      <c r="F68" s="51" t="s">
        <v>707</v>
      </c>
      <c r="G68" t="s">
        <v>1100</v>
      </c>
      <c r="H68" t="s">
        <v>1113</v>
      </c>
    </row>
    <row r="69" spans="1:8" x14ac:dyDescent="0.2">
      <c r="A69" t="s">
        <v>1146</v>
      </c>
      <c r="B69" s="50">
        <v>44933.569699074076</v>
      </c>
      <c r="C69" t="s">
        <v>1146</v>
      </c>
      <c r="D69" s="50">
        <v>44936.598310185182</v>
      </c>
      <c r="E69" t="s">
        <v>1070</v>
      </c>
      <c r="F69" s="51" t="s">
        <v>707</v>
      </c>
      <c r="H69" t="s">
        <v>1092</v>
      </c>
    </row>
    <row r="70" spans="1:8" x14ac:dyDescent="0.2">
      <c r="A70" t="s">
        <v>1147</v>
      </c>
      <c r="B70" s="50">
        <v>44933.64980324074</v>
      </c>
      <c r="C70" t="s">
        <v>1147</v>
      </c>
      <c r="D70" s="50">
        <v>44933.64984953704</v>
      </c>
      <c r="E70" t="s">
        <v>1070</v>
      </c>
      <c r="F70" s="51" t="s">
        <v>7</v>
      </c>
      <c r="G70" t="s">
        <v>694</v>
      </c>
      <c r="H70" t="s">
        <v>1148</v>
      </c>
    </row>
    <row r="71" spans="1:8" x14ac:dyDescent="0.2">
      <c r="A71" t="s">
        <v>1149</v>
      </c>
      <c r="B71" s="50">
        <v>44935.375034722223</v>
      </c>
      <c r="C71" t="s">
        <v>1149</v>
      </c>
      <c r="D71" s="50">
        <v>44936.46465277778</v>
      </c>
      <c r="E71" t="s">
        <v>1070</v>
      </c>
      <c r="F71" s="51" t="s">
        <v>707</v>
      </c>
      <c r="G71" t="s">
        <v>694</v>
      </c>
      <c r="H71" t="s">
        <v>1092</v>
      </c>
    </row>
    <row r="72" spans="1:8" x14ac:dyDescent="0.2">
      <c r="A72" t="s">
        <v>1150</v>
      </c>
      <c r="B72" s="50">
        <v>44985.604814814818</v>
      </c>
      <c r="C72" t="s">
        <v>1150</v>
      </c>
      <c r="D72" s="50">
        <v>44935.466631944444</v>
      </c>
      <c r="E72" t="s">
        <v>1117</v>
      </c>
      <c r="F72" s="51" t="s">
        <v>707</v>
      </c>
      <c r="G72" t="s">
        <v>1057</v>
      </c>
      <c r="H72" t="s">
        <v>1092</v>
      </c>
    </row>
    <row r="73" spans="1:8" x14ac:dyDescent="0.2">
      <c r="A73" t="s">
        <v>1151</v>
      </c>
      <c r="B73" s="50">
        <v>44985.605000000003</v>
      </c>
      <c r="C73" t="s">
        <v>1151</v>
      </c>
      <c r="D73" s="50">
        <v>44936.390370370369</v>
      </c>
      <c r="E73" t="s">
        <v>1070</v>
      </c>
      <c r="F73" s="51" t="s">
        <v>707</v>
      </c>
      <c r="G73" t="s">
        <v>1057</v>
      </c>
      <c r="H73" t="s">
        <v>1092</v>
      </c>
    </row>
    <row r="74" spans="1:8" x14ac:dyDescent="0.2">
      <c r="A74" t="s">
        <v>1152</v>
      </c>
      <c r="B74" s="50">
        <v>44935.476736111108</v>
      </c>
      <c r="C74" t="s">
        <v>1152</v>
      </c>
      <c r="D74" s="50">
        <v>44935.611932870372</v>
      </c>
      <c r="E74" t="s">
        <v>1070</v>
      </c>
      <c r="F74" s="51" t="s">
        <v>707</v>
      </c>
      <c r="G74" t="s">
        <v>1066</v>
      </c>
      <c r="H74" t="s">
        <v>1092</v>
      </c>
    </row>
    <row r="75" spans="1:8" x14ac:dyDescent="0.2">
      <c r="A75" t="s">
        <v>1153</v>
      </c>
      <c r="B75" s="50">
        <v>44935.476782407408</v>
      </c>
      <c r="C75" t="s">
        <v>1153</v>
      </c>
      <c r="D75" s="50">
        <v>44935.608113425929</v>
      </c>
      <c r="E75" t="s">
        <v>1070</v>
      </c>
      <c r="F75" s="51" t="s">
        <v>707</v>
      </c>
      <c r="G75" t="s">
        <v>769</v>
      </c>
      <c r="H75" t="s">
        <v>1092</v>
      </c>
    </row>
    <row r="76" spans="1:8" x14ac:dyDescent="0.2">
      <c r="A76" t="s">
        <v>1154</v>
      </c>
      <c r="B76" s="50">
        <v>44935.476840277777</v>
      </c>
      <c r="C76" t="s">
        <v>1154</v>
      </c>
      <c r="D76" s="50">
        <v>44935.596365740741</v>
      </c>
      <c r="E76" t="s">
        <v>1070</v>
      </c>
      <c r="F76" s="51" t="s">
        <v>707</v>
      </c>
      <c r="G76" t="s">
        <v>769</v>
      </c>
      <c r="H76" t="s">
        <v>1092</v>
      </c>
    </row>
    <row r="77" spans="1:8" x14ac:dyDescent="0.2">
      <c r="A77" t="s">
        <v>1155</v>
      </c>
      <c r="B77" s="50">
        <v>44935.590324074074</v>
      </c>
      <c r="C77" t="s">
        <v>1155</v>
      </c>
      <c r="D77" s="50">
        <v>44936.41306712963</v>
      </c>
      <c r="E77" t="s">
        <v>1070</v>
      </c>
      <c r="F77" s="51" t="s">
        <v>707</v>
      </c>
      <c r="G77" t="s">
        <v>769</v>
      </c>
      <c r="H77" t="s">
        <v>1092</v>
      </c>
    </row>
    <row r="78" spans="1:8" x14ac:dyDescent="0.2">
      <c r="A78" t="s">
        <v>1156</v>
      </c>
      <c r="B78" s="50">
        <v>44935.59033564815</v>
      </c>
      <c r="C78" t="s">
        <v>1156</v>
      </c>
      <c r="D78" s="50">
        <v>44936.475636574076</v>
      </c>
      <c r="E78" t="s">
        <v>1070</v>
      </c>
      <c r="F78" s="51" t="s">
        <v>707</v>
      </c>
      <c r="G78" t="s">
        <v>716</v>
      </c>
      <c r="H78" t="s">
        <v>1157</v>
      </c>
    </row>
    <row r="79" spans="1:8" x14ac:dyDescent="0.2">
      <c r="A79" t="s">
        <v>1158</v>
      </c>
      <c r="B79" s="50">
        <v>44935.714201388888</v>
      </c>
      <c r="C79" t="s">
        <v>1158</v>
      </c>
      <c r="D79" s="50">
        <v>44936.466400462959</v>
      </c>
      <c r="E79" t="s">
        <v>1070</v>
      </c>
      <c r="F79" s="51" t="s">
        <v>7</v>
      </c>
      <c r="G79" t="s">
        <v>823</v>
      </c>
      <c r="H79" t="s">
        <v>1092</v>
      </c>
    </row>
    <row r="80" spans="1:8" x14ac:dyDescent="0.2">
      <c r="A80" t="s">
        <v>1159</v>
      </c>
      <c r="B80" s="50">
        <v>44935.714375000003</v>
      </c>
      <c r="C80" t="s">
        <v>1159</v>
      </c>
      <c r="D80" s="50">
        <v>44936.447696759256</v>
      </c>
      <c r="E80" t="s">
        <v>1070</v>
      </c>
      <c r="F80" s="51" t="s">
        <v>707</v>
      </c>
      <c r="G80" t="s">
        <v>694</v>
      </c>
      <c r="H80" t="s">
        <v>1092</v>
      </c>
    </row>
    <row r="81" spans="1:8" x14ac:dyDescent="0.2">
      <c r="A81" t="s">
        <v>1160</v>
      </c>
      <c r="B81" s="50">
        <v>44935.714421296296</v>
      </c>
      <c r="C81" t="s">
        <v>1160</v>
      </c>
      <c r="D81" s="50">
        <v>44936.44568287037</v>
      </c>
      <c r="E81" t="s">
        <v>1070</v>
      </c>
      <c r="F81" s="51" t="s">
        <v>707</v>
      </c>
      <c r="G81" t="s">
        <v>1057</v>
      </c>
      <c r="H81" t="s">
        <v>1092</v>
      </c>
    </row>
    <row r="82" spans="1:8" x14ac:dyDescent="0.2">
      <c r="A82" t="s">
        <v>1161</v>
      </c>
      <c r="B82" s="50">
        <v>44935.714571759258</v>
      </c>
      <c r="C82" t="s">
        <v>1161</v>
      </c>
      <c r="D82" s="50">
        <v>44936.438784722224</v>
      </c>
      <c r="E82" t="s">
        <v>1070</v>
      </c>
      <c r="F82" s="51" t="s">
        <v>7</v>
      </c>
      <c r="G82" t="s">
        <v>694</v>
      </c>
      <c r="H82" t="s">
        <v>1092</v>
      </c>
    </row>
    <row r="83" spans="1:8" x14ac:dyDescent="0.2">
      <c r="A83" t="s">
        <v>1162</v>
      </c>
      <c r="B83" s="50">
        <v>44935.714629629627</v>
      </c>
      <c r="C83" t="s">
        <v>1162</v>
      </c>
      <c r="D83" s="50">
        <v>44936.435277777775</v>
      </c>
      <c r="E83" t="s">
        <v>1070</v>
      </c>
      <c r="F83" s="51" t="s">
        <v>707</v>
      </c>
      <c r="G83" t="s">
        <v>769</v>
      </c>
      <c r="H83" t="s">
        <v>1092</v>
      </c>
    </row>
    <row r="84" spans="1:8" x14ac:dyDescent="0.2">
      <c r="A84" t="s">
        <v>1163</v>
      </c>
      <c r="B84" s="50">
        <v>44935.714641203704</v>
      </c>
      <c r="C84" t="s">
        <v>1163</v>
      </c>
      <c r="D84" s="50">
        <v>44936.424641203703</v>
      </c>
      <c r="E84" t="s">
        <v>1070</v>
      </c>
      <c r="F84" s="51" t="s">
        <v>707</v>
      </c>
      <c r="G84" t="s">
        <v>769</v>
      </c>
      <c r="H84" t="s">
        <v>1092</v>
      </c>
    </row>
    <row r="85" spans="1:8" x14ac:dyDescent="0.2">
      <c r="A85" t="s">
        <v>1164</v>
      </c>
      <c r="B85" s="50">
        <v>44935.71466435185</v>
      </c>
      <c r="C85" t="s">
        <v>1164</v>
      </c>
      <c r="D85" s="50">
        <v>44936.464756944442</v>
      </c>
      <c r="E85" t="s">
        <v>1070</v>
      </c>
      <c r="F85" s="51" t="s">
        <v>707</v>
      </c>
      <c r="G85" t="s">
        <v>694</v>
      </c>
      <c r="H85" t="s">
        <v>1092</v>
      </c>
    </row>
    <row r="86" spans="1:8" x14ac:dyDescent="0.2">
      <c r="A86" t="s">
        <v>1165</v>
      </c>
      <c r="B86" s="50">
        <v>44935.714722222219</v>
      </c>
      <c r="C86" t="s">
        <v>1165</v>
      </c>
      <c r="D86" s="50">
        <v>44936.410787037035</v>
      </c>
      <c r="E86" t="s">
        <v>1070</v>
      </c>
      <c r="F86" s="51" t="s">
        <v>707</v>
      </c>
      <c r="G86" t="s">
        <v>769</v>
      </c>
      <c r="H86" t="s">
        <v>1092</v>
      </c>
    </row>
    <row r="87" spans="1:8" x14ac:dyDescent="0.2">
      <c r="A87" t="s">
        <v>1166</v>
      </c>
      <c r="B87" s="50">
        <v>44936.413321759261</v>
      </c>
      <c r="C87" t="s">
        <v>1166</v>
      </c>
      <c r="D87" s="50">
        <v>44936.59579861111</v>
      </c>
      <c r="E87" t="s">
        <v>1070</v>
      </c>
      <c r="F87" s="51" t="s">
        <v>707</v>
      </c>
      <c r="G87" t="s">
        <v>1057</v>
      </c>
      <c r="H87" t="s">
        <v>1092</v>
      </c>
    </row>
    <row r="88" spans="1:8" x14ac:dyDescent="0.2">
      <c r="A88" t="s">
        <v>1167</v>
      </c>
      <c r="B88" s="50">
        <v>44936.413344907407</v>
      </c>
      <c r="C88" t="s">
        <v>1167</v>
      </c>
      <c r="D88" s="50">
        <v>44936.579837962963</v>
      </c>
      <c r="E88" t="s">
        <v>1070</v>
      </c>
      <c r="F88" s="51" t="s">
        <v>707</v>
      </c>
      <c r="G88" t="s">
        <v>694</v>
      </c>
      <c r="H88" t="s">
        <v>1092</v>
      </c>
    </row>
    <row r="89" spans="1:8" x14ac:dyDescent="0.2">
      <c r="A89" t="s">
        <v>1168</v>
      </c>
      <c r="B89" s="50">
        <v>44936.41337962963</v>
      </c>
      <c r="C89" t="s">
        <v>1168</v>
      </c>
      <c r="D89" s="50">
        <v>44936.557685185187</v>
      </c>
      <c r="E89" t="s">
        <v>1070</v>
      </c>
      <c r="F89" s="51" t="s">
        <v>707</v>
      </c>
      <c r="G89" t="s">
        <v>1140</v>
      </c>
      <c r="H89" t="s">
        <v>1092</v>
      </c>
    </row>
    <row r="90" spans="1:8" x14ac:dyDescent="0.2">
      <c r="A90" t="s">
        <v>1169</v>
      </c>
      <c r="B90" s="50">
        <v>44936.572256944448</v>
      </c>
      <c r="C90" t="s">
        <v>1169</v>
      </c>
      <c r="D90" s="50">
        <v>44936.571909722225</v>
      </c>
      <c r="E90" t="s">
        <v>1070</v>
      </c>
      <c r="F90" s="51" t="s">
        <v>707</v>
      </c>
      <c r="G90" t="s">
        <v>769</v>
      </c>
      <c r="H90" t="s">
        <v>1092</v>
      </c>
    </row>
    <row r="91" spans="1:8" x14ac:dyDescent="0.2">
      <c r="A91" t="s">
        <v>1170</v>
      </c>
      <c r="B91" s="50">
        <v>44936.413414351853</v>
      </c>
      <c r="C91" t="s">
        <v>1170</v>
      </c>
      <c r="D91" s="50">
        <v>44936.566319444442</v>
      </c>
      <c r="E91" t="s">
        <v>1070</v>
      </c>
      <c r="F91" s="51" t="s">
        <v>707</v>
      </c>
      <c r="G91" t="s">
        <v>716</v>
      </c>
      <c r="H91" t="s">
        <v>1092</v>
      </c>
    </row>
    <row r="92" spans="1:8" x14ac:dyDescent="0.2">
      <c r="A92" t="s">
        <v>1171</v>
      </c>
      <c r="B92" s="50">
        <v>44936.413437499999</v>
      </c>
      <c r="C92" t="s">
        <v>1171</v>
      </c>
      <c r="D92" s="50">
        <v>44936.560833333337</v>
      </c>
      <c r="E92" t="s">
        <v>1070</v>
      </c>
      <c r="F92" s="51" t="s">
        <v>707</v>
      </c>
      <c r="G92" t="s">
        <v>1140</v>
      </c>
      <c r="H92" t="s">
        <v>1092</v>
      </c>
    </row>
    <row r="93" spans="1:8" x14ac:dyDescent="0.2">
      <c r="A93" t="s">
        <v>1172</v>
      </c>
      <c r="B93" s="50">
        <v>44936.413460648146</v>
      </c>
      <c r="C93" t="s">
        <v>1172</v>
      </c>
      <c r="D93" s="50">
        <v>44936.550671296296</v>
      </c>
      <c r="E93" t="s">
        <v>1070</v>
      </c>
      <c r="F93" s="51" t="s">
        <v>707</v>
      </c>
      <c r="G93" t="s">
        <v>1140</v>
      </c>
      <c r="H93" t="s">
        <v>1092</v>
      </c>
    </row>
    <row r="94" spans="1:8" ht="15" x14ac:dyDescent="0.25">
      <c r="A94" t="s">
        <v>1173</v>
      </c>
      <c r="B94" s="50">
        <v>44936.413472222222</v>
      </c>
      <c r="C94" t="s">
        <v>1173</v>
      </c>
      <c r="D94" s="50">
        <v>44936.537731481483</v>
      </c>
      <c r="E94" t="s">
        <v>1070</v>
      </c>
      <c r="F94" s="51" t="s">
        <v>707</v>
      </c>
      <c r="G94" t="s">
        <v>1062</v>
      </c>
      <c r="H94" s="54" t="s">
        <v>1174</v>
      </c>
    </row>
    <row r="95" spans="1:8" x14ac:dyDescent="0.2">
      <c r="A95" t="s">
        <v>1175</v>
      </c>
      <c r="B95" s="50">
        <v>44936.413495370369</v>
      </c>
      <c r="C95" t="s">
        <v>1175</v>
      </c>
      <c r="D95" s="50">
        <v>44936.531215277777</v>
      </c>
      <c r="E95" t="s">
        <v>1070</v>
      </c>
      <c r="F95" s="51" t="s">
        <v>707</v>
      </c>
      <c r="G95" t="s">
        <v>1057</v>
      </c>
      <c r="H95" t="s">
        <v>1092</v>
      </c>
    </row>
    <row r="96" spans="1:8" x14ac:dyDescent="0.2">
      <c r="A96" t="s">
        <v>1176</v>
      </c>
      <c r="B96" s="50">
        <v>44936.413541666669</v>
      </c>
      <c r="C96" t="s">
        <v>1176</v>
      </c>
      <c r="D96" s="50">
        <v>44936.481249999997</v>
      </c>
      <c r="E96" t="s">
        <v>1070</v>
      </c>
      <c r="F96" s="51" t="s">
        <v>707</v>
      </c>
      <c r="G96" t="s">
        <v>1100</v>
      </c>
      <c r="H96" t="s">
        <v>1092</v>
      </c>
    </row>
    <row r="97" spans="1:8" x14ac:dyDescent="0.2">
      <c r="A97" t="s">
        <v>1177</v>
      </c>
      <c r="B97" s="50">
        <v>44936.413831018515</v>
      </c>
      <c r="C97" t="s">
        <v>1177</v>
      </c>
      <c r="D97" s="50">
        <v>44936.542280092595</v>
      </c>
      <c r="E97" t="s">
        <v>1070</v>
      </c>
      <c r="F97" s="51" t="s">
        <v>707</v>
      </c>
      <c r="G97" t="s">
        <v>1100</v>
      </c>
      <c r="H97" t="s">
        <v>1113</v>
      </c>
    </row>
    <row r="98" spans="1:8" x14ac:dyDescent="0.2">
      <c r="A98" t="s">
        <v>1178</v>
      </c>
      <c r="B98" s="50">
        <v>44937.479953703703</v>
      </c>
      <c r="C98" t="s">
        <v>1178</v>
      </c>
      <c r="D98" s="50">
        <v>44937.47997685185</v>
      </c>
      <c r="E98" t="s">
        <v>1070</v>
      </c>
      <c r="F98" s="51" t="s">
        <v>707</v>
      </c>
      <c r="G98" t="s">
        <v>1062</v>
      </c>
      <c r="H98" t="s">
        <v>1092</v>
      </c>
    </row>
    <row r="99" spans="1:8" x14ac:dyDescent="0.2">
      <c r="A99" t="s">
        <v>1179</v>
      </c>
      <c r="B99" s="50">
        <v>44936.632592592592</v>
      </c>
      <c r="C99" t="s">
        <v>1179</v>
      </c>
      <c r="D99" s="50">
        <v>44937.445717592593</v>
      </c>
      <c r="E99" t="s">
        <v>1070</v>
      </c>
      <c r="F99" s="51" t="s">
        <v>707</v>
      </c>
      <c r="G99" t="s">
        <v>769</v>
      </c>
      <c r="H99" t="s">
        <v>1092</v>
      </c>
    </row>
    <row r="100" spans="1:8" x14ac:dyDescent="0.2">
      <c r="A100" t="s">
        <v>1180</v>
      </c>
      <c r="B100" s="50">
        <v>44936.632627314815</v>
      </c>
      <c r="C100" t="s">
        <v>1180</v>
      </c>
      <c r="D100" s="50">
        <v>44937.441828703704</v>
      </c>
      <c r="E100" t="s">
        <v>1070</v>
      </c>
      <c r="F100" s="51" t="s">
        <v>707</v>
      </c>
      <c r="G100" t="s">
        <v>716</v>
      </c>
      <c r="H100" t="s">
        <v>1092</v>
      </c>
    </row>
    <row r="101" spans="1:8" x14ac:dyDescent="0.2">
      <c r="A101" t="s">
        <v>1181</v>
      </c>
      <c r="B101" s="50">
        <v>44936.632650462961</v>
      </c>
      <c r="C101" t="s">
        <v>1181</v>
      </c>
      <c r="D101" s="50">
        <v>44937.448935185188</v>
      </c>
      <c r="E101" t="s">
        <v>1070</v>
      </c>
      <c r="F101" s="51" t="s">
        <v>707</v>
      </c>
      <c r="G101" t="s">
        <v>694</v>
      </c>
      <c r="H101" t="s">
        <v>1092</v>
      </c>
    </row>
    <row r="102" spans="1:8" x14ac:dyDescent="0.2">
      <c r="A102" t="s">
        <v>1182</v>
      </c>
      <c r="B102" s="50">
        <v>44940.525543981479</v>
      </c>
      <c r="C102" t="s">
        <v>1182</v>
      </c>
      <c r="D102" s="50">
        <v>44937.528657407405</v>
      </c>
      <c r="E102" t="s">
        <v>1070</v>
      </c>
      <c r="F102" s="51" t="s">
        <v>707</v>
      </c>
      <c r="G102" t="s">
        <v>1112</v>
      </c>
      <c r="H102" t="s">
        <v>1113</v>
      </c>
    </row>
    <row r="103" spans="1:8" x14ac:dyDescent="0.2">
      <c r="A103" t="s">
        <v>1183</v>
      </c>
      <c r="B103" s="50">
        <v>44937.442245370374</v>
      </c>
      <c r="C103" t="s">
        <v>1183</v>
      </c>
      <c r="D103" s="50">
        <v>44937.505740740744</v>
      </c>
      <c r="E103" t="s">
        <v>1070</v>
      </c>
      <c r="F103" s="51" t="s">
        <v>707</v>
      </c>
      <c r="G103" t="s">
        <v>1057</v>
      </c>
      <c r="H103" t="s">
        <v>1092</v>
      </c>
    </row>
    <row r="104" spans="1:8" x14ac:dyDescent="0.2">
      <c r="A104" t="s">
        <v>1184</v>
      </c>
      <c r="B104" s="50">
        <v>44937.442291666666</v>
      </c>
      <c r="C104" t="s">
        <v>1184</v>
      </c>
      <c r="D104" s="50">
        <v>44937.678356481483</v>
      </c>
      <c r="E104" t="s">
        <v>1070</v>
      </c>
      <c r="F104" s="51" t="s">
        <v>707</v>
      </c>
      <c r="G104" t="s">
        <v>694</v>
      </c>
      <c r="H104" t="s">
        <v>1092</v>
      </c>
    </row>
    <row r="105" spans="1:8" x14ac:dyDescent="0.2">
      <c r="A105" t="s">
        <v>1185</v>
      </c>
      <c r="B105" s="50">
        <v>44937.442326388889</v>
      </c>
      <c r="C105" t="s">
        <v>1185</v>
      </c>
      <c r="D105" s="50">
        <v>44937.483425925922</v>
      </c>
      <c r="E105" t="s">
        <v>1070</v>
      </c>
      <c r="F105" s="51" t="s">
        <v>707</v>
      </c>
      <c r="G105" t="s">
        <v>716</v>
      </c>
      <c r="H105" t="s">
        <v>1092</v>
      </c>
    </row>
    <row r="106" spans="1:8" x14ac:dyDescent="0.2">
      <c r="A106" t="s">
        <v>1186</v>
      </c>
      <c r="B106" s="50">
        <v>44937.442361111112</v>
      </c>
      <c r="C106" t="s">
        <v>1186</v>
      </c>
      <c r="D106" s="50">
        <v>44937.4690625</v>
      </c>
      <c r="E106" t="s">
        <v>1070</v>
      </c>
      <c r="F106" s="51" t="s">
        <v>707</v>
      </c>
      <c r="G106" t="s">
        <v>716</v>
      </c>
      <c r="H106" t="s">
        <v>1092</v>
      </c>
    </row>
    <row r="107" spans="1:8" x14ac:dyDescent="0.2">
      <c r="A107" t="s">
        <v>1187</v>
      </c>
      <c r="B107" s="50">
        <v>44937.534039351849</v>
      </c>
      <c r="C107" t="s">
        <v>1187</v>
      </c>
      <c r="D107" s="50">
        <v>44937.534108796295</v>
      </c>
      <c r="E107" t="s">
        <v>1070</v>
      </c>
      <c r="F107" s="51" t="s">
        <v>707</v>
      </c>
      <c r="G107" t="s">
        <v>716</v>
      </c>
      <c r="H107" t="s">
        <v>1092</v>
      </c>
    </row>
    <row r="108" spans="1:8" x14ac:dyDescent="0.2">
      <c r="A108" t="s">
        <v>1188</v>
      </c>
      <c r="B108" s="50">
        <v>44937.601979166669</v>
      </c>
      <c r="C108" t="s">
        <v>1188</v>
      </c>
      <c r="D108" s="50">
        <v>44937.675821759258</v>
      </c>
      <c r="E108" t="s">
        <v>1070</v>
      </c>
      <c r="F108" s="51" t="s">
        <v>7</v>
      </c>
      <c r="G108" t="s">
        <v>694</v>
      </c>
      <c r="H108" t="s">
        <v>1092</v>
      </c>
    </row>
    <row r="109" spans="1:8" x14ac:dyDescent="0.2">
      <c r="A109" t="s">
        <v>1189</v>
      </c>
      <c r="B109" s="50">
        <v>44937.602013888885</v>
      </c>
      <c r="C109" t="s">
        <v>1189</v>
      </c>
      <c r="D109" s="50">
        <v>44937.671423611115</v>
      </c>
      <c r="E109" t="s">
        <v>1070</v>
      </c>
      <c r="F109" s="51" t="s">
        <v>7</v>
      </c>
      <c r="G109" t="s">
        <v>1092</v>
      </c>
      <c r="H109" t="s">
        <v>694</v>
      </c>
    </row>
    <row r="110" spans="1:8" x14ac:dyDescent="0.2">
      <c r="A110" t="s">
        <v>1190</v>
      </c>
      <c r="B110" s="50">
        <v>44937.602048611108</v>
      </c>
      <c r="C110" t="s">
        <v>1190</v>
      </c>
      <c r="D110" s="50">
        <v>44937.669386574074</v>
      </c>
      <c r="E110" t="s">
        <v>1070</v>
      </c>
      <c r="F110" s="51" t="s">
        <v>707</v>
      </c>
      <c r="G110" t="s">
        <v>1068</v>
      </c>
      <c r="H110" t="s">
        <v>1092</v>
      </c>
    </row>
    <row r="111" spans="1:8" x14ac:dyDescent="0.2">
      <c r="A111" t="s">
        <v>1191</v>
      </c>
      <c r="B111" s="50">
        <v>44985.605300925927</v>
      </c>
      <c r="C111" t="s">
        <v>1191</v>
      </c>
      <c r="D111" s="50">
        <v>44937.665763888886</v>
      </c>
      <c r="E111" t="s">
        <v>1070</v>
      </c>
      <c r="F111" s="51" t="s">
        <v>707</v>
      </c>
      <c r="G111" t="s">
        <v>1057</v>
      </c>
      <c r="H111" t="s">
        <v>1092</v>
      </c>
    </row>
    <row r="112" spans="1:8" x14ac:dyDescent="0.2">
      <c r="A112" t="s">
        <v>1192</v>
      </c>
      <c r="B112" s="50">
        <v>44937.620162037034</v>
      </c>
      <c r="C112" t="s">
        <v>1192</v>
      </c>
      <c r="D112" s="50">
        <v>44937.653090277781</v>
      </c>
      <c r="E112" t="s">
        <v>1070</v>
      </c>
      <c r="F112" s="51" t="s">
        <v>707</v>
      </c>
      <c r="G112" t="s">
        <v>694</v>
      </c>
      <c r="H112" t="s">
        <v>1092</v>
      </c>
    </row>
    <row r="113" spans="1:8" x14ac:dyDescent="0.2">
      <c r="A113" t="s">
        <v>1193</v>
      </c>
      <c r="B113" s="50">
        <v>44937.645925925928</v>
      </c>
      <c r="C113" t="s">
        <v>1193</v>
      </c>
      <c r="D113" s="50">
        <v>44937.706122685187</v>
      </c>
      <c r="E113" t="s">
        <v>1070</v>
      </c>
      <c r="F113" s="51" t="s">
        <v>707</v>
      </c>
      <c r="G113" t="s">
        <v>716</v>
      </c>
      <c r="H113" t="s">
        <v>1092</v>
      </c>
    </row>
    <row r="114" spans="1:8" x14ac:dyDescent="0.2">
      <c r="A114" t="s">
        <v>1194</v>
      </c>
      <c r="B114" s="50">
        <v>44937.646053240744</v>
      </c>
      <c r="C114" t="s">
        <v>1194</v>
      </c>
      <c r="D114" s="50">
        <v>44937.704421296294</v>
      </c>
      <c r="E114" t="s">
        <v>1070</v>
      </c>
      <c r="F114" s="51" t="s">
        <v>707</v>
      </c>
      <c r="G114" t="s">
        <v>716</v>
      </c>
      <c r="H114" t="s">
        <v>1092</v>
      </c>
    </row>
    <row r="115" spans="1:8" x14ac:dyDescent="0.2">
      <c r="A115" t="s">
        <v>1195</v>
      </c>
      <c r="B115" s="50">
        <v>44937.646087962959</v>
      </c>
      <c r="C115" t="s">
        <v>1195</v>
      </c>
      <c r="D115" s="50">
        <v>44937.702673611115</v>
      </c>
      <c r="E115" t="s">
        <v>1070</v>
      </c>
      <c r="F115" s="51" t="s">
        <v>707</v>
      </c>
      <c r="G115" t="s">
        <v>716</v>
      </c>
      <c r="H115" t="s">
        <v>1092</v>
      </c>
    </row>
    <row r="116" spans="1:8" x14ac:dyDescent="0.2">
      <c r="A116" t="s">
        <v>1196</v>
      </c>
      <c r="B116" s="50">
        <v>44937.646145833336</v>
      </c>
      <c r="C116" t="s">
        <v>1196</v>
      </c>
      <c r="D116" s="50">
        <v>44937.696736111109</v>
      </c>
      <c r="E116" t="s">
        <v>1070</v>
      </c>
      <c r="F116" s="51" t="s">
        <v>707</v>
      </c>
      <c r="G116" t="s">
        <v>716</v>
      </c>
      <c r="H116" t="s">
        <v>1092</v>
      </c>
    </row>
    <row r="117" spans="1:8" x14ac:dyDescent="0.2">
      <c r="A117" t="s">
        <v>1197</v>
      </c>
      <c r="B117" s="50">
        <v>44937.646203703705</v>
      </c>
      <c r="C117" t="s">
        <v>1197</v>
      </c>
      <c r="D117" s="50">
        <v>44937.691250000003</v>
      </c>
      <c r="E117" t="s">
        <v>1070</v>
      </c>
      <c r="F117" s="51" t="s">
        <v>707</v>
      </c>
      <c r="G117" t="s">
        <v>1112</v>
      </c>
      <c r="H117" t="s">
        <v>1092</v>
      </c>
    </row>
    <row r="118" spans="1:8" x14ac:dyDescent="0.2">
      <c r="A118" t="s">
        <v>1198</v>
      </c>
      <c r="B118" s="50">
        <v>44937.646249999998</v>
      </c>
      <c r="C118" t="s">
        <v>1198</v>
      </c>
      <c r="D118" s="50">
        <v>44937.694594907407</v>
      </c>
      <c r="E118" t="s">
        <v>1070</v>
      </c>
      <c r="F118" s="51" t="s">
        <v>707</v>
      </c>
      <c r="G118" t="s">
        <v>723</v>
      </c>
      <c r="H118" t="s">
        <v>1092</v>
      </c>
    </row>
    <row r="119" spans="1:8" x14ac:dyDescent="0.2">
      <c r="A119" t="s">
        <v>1199</v>
      </c>
      <c r="B119" s="50">
        <v>44961.362592592595</v>
      </c>
      <c r="C119" t="s">
        <v>1199</v>
      </c>
      <c r="D119" s="50">
        <v>44961.362615740742</v>
      </c>
      <c r="E119" t="s">
        <v>725</v>
      </c>
      <c r="F119" t="s">
        <v>1064</v>
      </c>
      <c r="G119" t="s">
        <v>1112</v>
      </c>
      <c r="H119" t="s">
        <v>1064</v>
      </c>
    </row>
    <row r="120" spans="1:8" x14ac:dyDescent="0.2">
      <c r="A120" t="s">
        <v>1200</v>
      </c>
      <c r="B120" s="50">
        <v>44937.688807870371</v>
      </c>
      <c r="C120" t="s">
        <v>1200</v>
      </c>
      <c r="D120" s="50">
        <v>44938.357800925929</v>
      </c>
      <c r="E120" t="s">
        <v>1070</v>
      </c>
      <c r="F120" s="51" t="s">
        <v>707</v>
      </c>
      <c r="G120" t="s">
        <v>1140</v>
      </c>
      <c r="H120" t="s">
        <v>1092</v>
      </c>
    </row>
    <row r="121" spans="1:8" x14ac:dyDescent="0.2">
      <c r="A121" t="s">
        <v>1201</v>
      </c>
      <c r="B121" s="50">
        <v>44937.688854166663</v>
      </c>
      <c r="C121" t="s">
        <v>1201</v>
      </c>
      <c r="D121" s="50">
        <v>44961.358564814815</v>
      </c>
      <c r="E121" t="s">
        <v>725</v>
      </c>
      <c r="F121" s="51" t="s">
        <v>707</v>
      </c>
      <c r="H121" t="s">
        <v>1064</v>
      </c>
    </row>
    <row r="122" spans="1:8" x14ac:dyDescent="0.2">
      <c r="A122" t="s">
        <v>1202</v>
      </c>
      <c r="B122" s="50">
        <v>44961.362766203703</v>
      </c>
      <c r="C122" t="s">
        <v>1202</v>
      </c>
      <c r="D122" s="50">
        <v>44961.362986111111</v>
      </c>
      <c r="E122" t="s">
        <v>725</v>
      </c>
      <c r="F122" t="s">
        <v>1064</v>
      </c>
      <c r="H122" t="s">
        <v>1064</v>
      </c>
    </row>
    <row r="123" spans="1:8" x14ac:dyDescent="0.2">
      <c r="A123" t="s">
        <v>1203</v>
      </c>
      <c r="B123" s="50">
        <v>44937.697048611109</v>
      </c>
      <c r="C123" t="s">
        <v>1203</v>
      </c>
      <c r="D123" s="50">
        <v>44938.37804398148</v>
      </c>
      <c r="E123" t="s">
        <v>1070</v>
      </c>
      <c r="F123" s="51" t="s">
        <v>707</v>
      </c>
      <c r="G123" t="s">
        <v>1112</v>
      </c>
      <c r="H123" t="s">
        <v>1092</v>
      </c>
    </row>
    <row r="124" spans="1:8" x14ac:dyDescent="0.2">
      <c r="A124" t="s">
        <v>1204</v>
      </c>
      <c r="B124" s="50">
        <v>44937.697094907409</v>
      </c>
      <c r="C124" t="s">
        <v>1204</v>
      </c>
      <c r="D124" s="50">
        <v>44937.720960648148</v>
      </c>
      <c r="E124" t="s">
        <v>1070</v>
      </c>
      <c r="F124" s="51" t="s">
        <v>707</v>
      </c>
      <c r="G124" t="s">
        <v>1140</v>
      </c>
      <c r="H124" t="s">
        <v>1092</v>
      </c>
    </row>
    <row r="125" spans="1:8" x14ac:dyDescent="0.2">
      <c r="A125" t="s">
        <v>1205</v>
      </c>
      <c r="B125" s="50">
        <v>44937.697141203702</v>
      </c>
      <c r="C125" t="s">
        <v>1205</v>
      </c>
      <c r="D125" s="50">
        <v>44938.357662037037</v>
      </c>
      <c r="E125" t="s">
        <v>1070</v>
      </c>
      <c r="F125" s="51" t="s">
        <v>707</v>
      </c>
      <c r="G125" t="s">
        <v>1140</v>
      </c>
      <c r="H125" t="s">
        <v>1092</v>
      </c>
    </row>
    <row r="126" spans="1:8" x14ac:dyDescent="0.2">
      <c r="A126" t="s">
        <v>1206</v>
      </c>
      <c r="B126" s="50">
        <v>44938.471828703703</v>
      </c>
      <c r="C126" t="s">
        <v>1206</v>
      </c>
      <c r="D126" s="50">
        <v>44938.542986111112</v>
      </c>
      <c r="E126" t="s">
        <v>1070</v>
      </c>
      <c r="F126" s="51" t="s">
        <v>707</v>
      </c>
      <c r="G126" t="s">
        <v>1112</v>
      </c>
      <c r="H126" t="s">
        <v>1092</v>
      </c>
    </row>
    <row r="127" spans="1:8" x14ac:dyDescent="0.2">
      <c r="A127" t="s">
        <v>1207</v>
      </c>
      <c r="B127" s="50">
        <v>44938.471863425926</v>
      </c>
      <c r="C127" t="s">
        <v>1207</v>
      </c>
      <c r="D127" s="50">
        <v>44938.534490740742</v>
      </c>
      <c r="E127" t="s">
        <v>1070</v>
      </c>
      <c r="F127" s="51" t="s">
        <v>707</v>
      </c>
      <c r="G127" t="s">
        <v>1068</v>
      </c>
      <c r="H127" t="s">
        <v>1092</v>
      </c>
    </row>
    <row r="128" spans="1:8" x14ac:dyDescent="0.2">
      <c r="A128" t="s">
        <v>1208</v>
      </c>
      <c r="B128" s="50">
        <v>44938.715300925927</v>
      </c>
      <c r="C128" t="s">
        <v>1208</v>
      </c>
      <c r="D128" s="50">
        <v>44939.544606481482</v>
      </c>
      <c r="E128" t="s">
        <v>1117</v>
      </c>
      <c r="F128" s="51" t="s">
        <v>707</v>
      </c>
      <c r="H128" t="s">
        <v>1092</v>
      </c>
    </row>
    <row r="129" spans="1:8" x14ac:dyDescent="0.2">
      <c r="A129" t="s">
        <v>1209</v>
      </c>
      <c r="B129" s="50">
        <v>44938.71534722222</v>
      </c>
      <c r="C129" t="s">
        <v>1209</v>
      </c>
      <c r="D129" s="50">
        <v>44939.602106481485</v>
      </c>
      <c r="E129" t="s">
        <v>1117</v>
      </c>
      <c r="F129" s="51" t="s">
        <v>707</v>
      </c>
      <c r="G129" t="s">
        <v>769</v>
      </c>
      <c r="H129" t="s">
        <v>1092</v>
      </c>
    </row>
    <row r="130" spans="1:8" x14ac:dyDescent="0.2">
      <c r="A130" t="s">
        <v>1210</v>
      </c>
      <c r="B130" s="50">
        <v>44985.605567129627</v>
      </c>
      <c r="C130" t="s">
        <v>1210</v>
      </c>
      <c r="D130" s="50">
        <v>44939.464826388888</v>
      </c>
      <c r="E130" t="s">
        <v>1117</v>
      </c>
      <c r="F130" s="51" t="s">
        <v>7</v>
      </c>
      <c r="G130" t="s">
        <v>1057</v>
      </c>
      <c r="H130" t="s">
        <v>1092</v>
      </c>
    </row>
    <row r="131" spans="1:8" x14ac:dyDescent="0.2">
      <c r="A131" t="s">
        <v>1211</v>
      </c>
      <c r="B131" s="50">
        <v>44938.717650462961</v>
      </c>
      <c r="C131" t="s">
        <v>1211</v>
      </c>
      <c r="D131" s="50">
        <v>44940.40829861111</v>
      </c>
      <c r="E131" t="s">
        <v>1117</v>
      </c>
      <c r="F131" s="51" t="s">
        <v>707</v>
      </c>
      <c r="G131" t="s">
        <v>1068</v>
      </c>
      <c r="H131" t="s">
        <v>1092</v>
      </c>
    </row>
    <row r="132" spans="1:8" x14ac:dyDescent="0.2">
      <c r="A132" t="s">
        <v>1212</v>
      </c>
      <c r="B132" s="50">
        <v>44961.362835648149</v>
      </c>
      <c r="C132" t="s">
        <v>1212</v>
      </c>
      <c r="D132" s="50">
        <v>44961.362997685188</v>
      </c>
      <c r="E132" t="s">
        <v>725</v>
      </c>
      <c r="F132" t="s">
        <v>1064</v>
      </c>
      <c r="G132" t="s">
        <v>1112</v>
      </c>
      <c r="H132" t="s">
        <v>1064</v>
      </c>
    </row>
    <row r="133" spans="1:8" x14ac:dyDescent="0.2">
      <c r="A133" t="s">
        <v>1213</v>
      </c>
      <c r="B133" s="50">
        <v>44938.717789351853</v>
      </c>
      <c r="C133" t="s">
        <v>1213</v>
      </c>
      <c r="D133" s="50">
        <v>44939.620196759257</v>
      </c>
      <c r="E133" t="s">
        <v>1070</v>
      </c>
      <c r="F133" s="51" t="s">
        <v>7</v>
      </c>
      <c r="G133" t="s">
        <v>1112</v>
      </c>
      <c r="H133" t="s">
        <v>1092</v>
      </c>
    </row>
    <row r="134" spans="1:8" x14ac:dyDescent="0.2">
      <c r="A134" t="s">
        <v>1214</v>
      </c>
      <c r="B134" s="50">
        <v>44961.362893518519</v>
      </c>
      <c r="C134" t="s">
        <v>1214</v>
      </c>
      <c r="D134" s="50">
        <v>44961.363032407404</v>
      </c>
      <c r="E134" t="s">
        <v>725</v>
      </c>
      <c r="F134" t="s">
        <v>1064</v>
      </c>
      <c r="H134" t="s">
        <v>1064</v>
      </c>
    </row>
    <row r="135" spans="1:8" x14ac:dyDescent="0.2">
      <c r="A135" t="s">
        <v>1215</v>
      </c>
      <c r="B135" s="50">
        <v>44991.541956018518</v>
      </c>
      <c r="C135" t="s">
        <v>1215</v>
      </c>
      <c r="D135" s="50">
        <v>44939.440567129626</v>
      </c>
      <c r="E135" t="s">
        <v>1070</v>
      </c>
      <c r="F135" s="51" t="s">
        <v>707</v>
      </c>
      <c r="G135" t="s">
        <v>1100</v>
      </c>
      <c r="H135" t="s">
        <v>1216</v>
      </c>
    </row>
    <row r="136" spans="1:8" x14ac:dyDescent="0.2">
      <c r="A136" t="s">
        <v>1217</v>
      </c>
      <c r="B136" s="50">
        <v>44939.438275462962</v>
      </c>
      <c r="C136" t="s">
        <v>1217</v>
      </c>
      <c r="D136" s="50">
        <v>44939.609224537038</v>
      </c>
      <c r="E136" t="s">
        <v>1070</v>
      </c>
      <c r="F136" s="51" t="s">
        <v>7</v>
      </c>
      <c r="G136" t="s">
        <v>1112</v>
      </c>
      <c r="H136" t="s">
        <v>1092</v>
      </c>
    </row>
    <row r="137" spans="1:8" x14ac:dyDescent="0.2">
      <c r="A137" t="s">
        <v>1218</v>
      </c>
      <c r="B137" s="50">
        <v>44939.438321759262</v>
      </c>
      <c r="C137" t="s">
        <v>1218</v>
      </c>
      <c r="D137" s="50">
        <v>44940.441805555558</v>
      </c>
      <c r="E137" t="s">
        <v>1117</v>
      </c>
      <c r="F137" s="51" t="s">
        <v>707</v>
      </c>
      <c r="G137" t="s">
        <v>1068</v>
      </c>
      <c r="H137" t="s">
        <v>1092</v>
      </c>
    </row>
    <row r="138" spans="1:8" x14ac:dyDescent="0.2">
      <c r="A138" t="s">
        <v>1219</v>
      </c>
      <c r="B138" s="50">
        <v>44939.438379629632</v>
      </c>
      <c r="C138" t="s">
        <v>1219</v>
      </c>
      <c r="D138" s="50">
        <v>44939.624155092592</v>
      </c>
      <c r="E138" t="s">
        <v>1117</v>
      </c>
      <c r="F138" s="51" t="s">
        <v>1120</v>
      </c>
      <c r="G138" t="s">
        <v>1112</v>
      </c>
      <c r="H138" t="s">
        <v>1092</v>
      </c>
    </row>
    <row r="139" spans="1:8" x14ac:dyDescent="0.2">
      <c r="A139" t="s">
        <v>1220</v>
      </c>
      <c r="B139" s="50">
        <v>44939.438472222224</v>
      </c>
      <c r="C139" t="s">
        <v>1220</v>
      </c>
      <c r="D139" s="50">
        <v>44939.667673611111</v>
      </c>
      <c r="E139" t="s">
        <v>1117</v>
      </c>
      <c r="F139" s="51" t="s">
        <v>1120</v>
      </c>
      <c r="H139" t="s">
        <v>1092</v>
      </c>
    </row>
    <row r="140" spans="1:8" x14ac:dyDescent="0.2">
      <c r="A140" t="s">
        <v>1221</v>
      </c>
      <c r="B140" s="50">
        <v>44961.362962962965</v>
      </c>
      <c r="C140" t="s">
        <v>1221</v>
      </c>
      <c r="D140" s="50">
        <v>44961.363043981481</v>
      </c>
      <c r="E140" t="s">
        <v>725</v>
      </c>
      <c r="F140" t="s">
        <v>1064</v>
      </c>
      <c r="G140" t="s">
        <v>1112</v>
      </c>
      <c r="H140" t="s">
        <v>1064</v>
      </c>
    </row>
    <row r="141" spans="1:8" x14ac:dyDescent="0.2">
      <c r="A141" t="s">
        <v>1222</v>
      </c>
      <c r="B141" s="50">
        <v>44939.438587962963</v>
      </c>
      <c r="C141" t="s">
        <v>1222</v>
      </c>
      <c r="D141" s="50">
        <v>44939.644988425927</v>
      </c>
      <c r="E141" t="s">
        <v>1070</v>
      </c>
      <c r="F141" s="51" t="s">
        <v>707</v>
      </c>
      <c r="G141" t="s">
        <v>1112</v>
      </c>
      <c r="H141" t="s">
        <v>1092</v>
      </c>
    </row>
    <row r="142" spans="1:8" x14ac:dyDescent="0.2">
      <c r="A142" t="s">
        <v>1223</v>
      </c>
      <c r="B142" s="50">
        <v>44939.550879629627</v>
      </c>
      <c r="C142" t="s">
        <v>1223</v>
      </c>
      <c r="D142" s="50">
        <v>44939.620046296295</v>
      </c>
      <c r="E142" t="s">
        <v>1070</v>
      </c>
      <c r="F142" s="51" t="s">
        <v>7</v>
      </c>
      <c r="G142" t="s">
        <v>1112</v>
      </c>
      <c r="H142" t="s">
        <v>1092</v>
      </c>
    </row>
    <row r="143" spans="1:8" x14ac:dyDescent="0.2">
      <c r="A143" t="s">
        <v>1224</v>
      </c>
      <c r="B143" s="50">
        <v>44939.550925925927</v>
      </c>
      <c r="C143" t="s">
        <v>1224</v>
      </c>
      <c r="D143" s="50">
        <v>44939.594768518517</v>
      </c>
      <c r="E143" t="s">
        <v>1070</v>
      </c>
      <c r="F143" s="51" t="s">
        <v>1225</v>
      </c>
      <c r="G143" t="s">
        <v>1112</v>
      </c>
      <c r="H143" t="s">
        <v>1092</v>
      </c>
    </row>
    <row r="144" spans="1:8" x14ac:dyDescent="0.2">
      <c r="A144" t="s">
        <v>1226</v>
      </c>
      <c r="B144" s="50">
        <v>44985.605729166666</v>
      </c>
      <c r="C144" t="s">
        <v>1226</v>
      </c>
      <c r="D144" s="50">
        <v>44940.524687500001</v>
      </c>
      <c r="E144" t="s">
        <v>1117</v>
      </c>
      <c r="F144" s="51" t="s">
        <v>707</v>
      </c>
      <c r="G144" t="s">
        <v>1057</v>
      </c>
      <c r="H144" t="s">
        <v>1092</v>
      </c>
    </row>
    <row r="145" spans="1:8" x14ac:dyDescent="0.2">
      <c r="A145" t="s">
        <v>1227</v>
      </c>
      <c r="B145" s="50">
        <v>44940.52579861111</v>
      </c>
      <c r="C145" t="s">
        <v>1227</v>
      </c>
      <c r="D145" s="50">
        <v>44939.661458333336</v>
      </c>
      <c r="E145" t="s">
        <v>1070</v>
      </c>
      <c r="F145" s="51" t="s">
        <v>707</v>
      </c>
      <c r="G145" t="s">
        <v>716</v>
      </c>
      <c r="H145" t="s">
        <v>1228</v>
      </c>
    </row>
    <row r="146" spans="1:8" x14ac:dyDescent="0.2">
      <c r="A146" t="s">
        <v>1229</v>
      </c>
      <c r="B146" s="50">
        <v>44939.639247685183</v>
      </c>
      <c r="C146" t="s">
        <v>1229</v>
      </c>
      <c r="D146" s="50">
        <v>44939.641458333332</v>
      </c>
      <c r="E146" t="s">
        <v>1070</v>
      </c>
      <c r="F146" s="51" t="s">
        <v>707</v>
      </c>
      <c r="G146" t="s">
        <v>694</v>
      </c>
      <c r="H146" t="s">
        <v>1092</v>
      </c>
    </row>
    <row r="147" spans="1:8" x14ac:dyDescent="0.2">
      <c r="A147" t="s">
        <v>1230</v>
      </c>
      <c r="B147" s="50">
        <v>44940.401296296295</v>
      </c>
      <c r="C147" t="s">
        <v>1230</v>
      </c>
      <c r="D147" s="50">
        <v>44940.609039351853</v>
      </c>
      <c r="E147" t="s">
        <v>1070</v>
      </c>
      <c r="F147" s="51" t="s">
        <v>707</v>
      </c>
      <c r="G147" t="s">
        <v>1112</v>
      </c>
      <c r="H147" t="s">
        <v>1092</v>
      </c>
    </row>
    <row r="148" spans="1:8" x14ac:dyDescent="0.2">
      <c r="A148" t="s">
        <v>1231</v>
      </c>
      <c r="B148" s="50">
        <v>44940.401331018518</v>
      </c>
      <c r="C148" t="s">
        <v>1231</v>
      </c>
      <c r="D148" s="50">
        <v>44940.627187500002</v>
      </c>
      <c r="E148" t="s">
        <v>1117</v>
      </c>
      <c r="F148" s="51" t="s">
        <v>707</v>
      </c>
      <c r="G148" t="s">
        <v>1112</v>
      </c>
      <c r="H148" t="s">
        <v>1092</v>
      </c>
    </row>
    <row r="149" spans="1:8" x14ac:dyDescent="0.2">
      <c r="A149" t="s">
        <v>1232</v>
      </c>
      <c r="B149" s="50">
        <v>44940.401354166665</v>
      </c>
      <c r="C149" t="s">
        <v>1232</v>
      </c>
      <c r="D149" s="50">
        <v>44942.500289351854</v>
      </c>
      <c r="E149" t="s">
        <v>693</v>
      </c>
      <c r="F149" s="51" t="s">
        <v>783</v>
      </c>
      <c r="G149" t="s">
        <v>1112</v>
      </c>
    </row>
    <row r="150" spans="1:8" x14ac:dyDescent="0.2">
      <c r="A150" t="s">
        <v>1233</v>
      </c>
      <c r="B150" s="50">
        <v>44940.401377314818</v>
      </c>
      <c r="C150" t="s">
        <v>1233</v>
      </c>
      <c r="D150" s="50">
        <v>44940.604618055557</v>
      </c>
      <c r="E150" t="s">
        <v>1070</v>
      </c>
      <c r="F150" s="51" t="s">
        <v>707</v>
      </c>
      <c r="G150" t="s">
        <v>1112</v>
      </c>
      <c r="H150" t="s">
        <v>1092</v>
      </c>
    </row>
    <row r="151" spans="1:8" x14ac:dyDescent="0.2">
      <c r="A151" t="s">
        <v>1234</v>
      </c>
      <c r="B151" s="50">
        <v>44940.401400462964</v>
      </c>
      <c r="C151" t="s">
        <v>1234</v>
      </c>
      <c r="D151" s="50">
        <v>44940.635694444441</v>
      </c>
      <c r="E151" t="s">
        <v>1117</v>
      </c>
      <c r="F151" s="51" t="s">
        <v>707</v>
      </c>
      <c r="G151" t="s">
        <v>716</v>
      </c>
      <c r="H151" t="s">
        <v>1092</v>
      </c>
    </row>
    <row r="152" spans="1:8" x14ac:dyDescent="0.2">
      <c r="A152" t="s">
        <v>1235</v>
      </c>
      <c r="B152" s="50">
        <v>44940.401423611111</v>
      </c>
      <c r="C152" t="s">
        <v>1235</v>
      </c>
      <c r="D152" s="50">
        <v>44940.570277777777</v>
      </c>
      <c r="E152" t="s">
        <v>1117</v>
      </c>
      <c r="F152" s="51" t="s">
        <v>707</v>
      </c>
      <c r="G152" t="s">
        <v>716</v>
      </c>
      <c r="H152" t="s">
        <v>1092</v>
      </c>
    </row>
    <row r="153" spans="1:8" x14ac:dyDescent="0.2">
      <c r="A153" t="s">
        <v>1236</v>
      </c>
      <c r="B153" s="50">
        <v>44944.478946759256</v>
      </c>
      <c r="C153" t="s">
        <v>1236</v>
      </c>
      <c r="D153" s="50">
        <v>44940.603055555555</v>
      </c>
      <c r="E153" t="s">
        <v>1117</v>
      </c>
      <c r="F153" s="51" t="s">
        <v>707</v>
      </c>
      <c r="G153" t="s">
        <v>1057</v>
      </c>
      <c r="H153" t="s">
        <v>1092</v>
      </c>
    </row>
    <row r="154" spans="1:8" x14ac:dyDescent="0.2">
      <c r="A154" t="s">
        <v>1237</v>
      </c>
      <c r="B154" s="50">
        <v>44940.645127314812</v>
      </c>
      <c r="C154" t="s">
        <v>1237</v>
      </c>
      <c r="D154" s="50">
        <v>44940.682569444441</v>
      </c>
      <c r="E154" t="s">
        <v>1117</v>
      </c>
      <c r="F154" s="51" t="s">
        <v>707</v>
      </c>
      <c r="G154" t="s">
        <v>1068</v>
      </c>
      <c r="H154" t="s">
        <v>1092</v>
      </c>
    </row>
    <row r="155" spans="1:8" x14ac:dyDescent="0.2">
      <c r="A155" t="s">
        <v>1238</v>
      </c>
      <c r="B155" s="50">
        <v>44942.639027777775</v>
      </c>
      <c r="C155" t="s">
        <v>1238</v>
      </c>
      <c r="D155" s="50">
        <v>44942.652696759258</v>
      </c>
      <c r="E155" t="s">
        <v>693</v>
      </c>
      <c r="F155" s="51" t="s">
        <v>707</v>
      </c>
      <c r="G155" t="s">
        <v>694</v>
      </c>
      <c r="H155" t="s">
        <v>737</v>
      </c>
    </row>
    <row r="156" spans="1:8" x14ac:dyDescent="0.2">
      <c r="A156" t="s">
        <v>1239</v>
      </c>
      <c r="B156" s="50">
        <v>44942.639050925929</v>
      </c>
      <c r="C156" t="s">
        <v>1239</v>
      </c>
      <c r="D156" s="50">
        <v>44942.644826388889</v>
      </c>
      <c r="E156" t="s">
        <v>693</v>
      </c>
      <c r="F156" s="51" t="s">
        <v>707</v>
      </c>
      <c r="G156" t="s">
        <v>694</v>
      </c>
      <c r="H156" t="s">
        <v>1240</v>
      </c>
    </row>
    <row r="157" spans="1:8" x14ac:dyDescent="0.2">
      <c r="A157" t="s">
        <v>1241</v>
      </c>
      <c r="B157" s="50">
        <v>44942.639097222222</v>
      </c>
      <c r="C157" t="s">
        <v>1241</v>
      </c>
      <c r="D157" s="50">
        <v>44942.665034722224</v>
      </c>
      <c r="E157" t="s">
        <v>693</v>
      </c>
      <c r="F157" s="51" t="s">
        <v>7</v>
      </c>
      <c r="G157" t="s">
        <v>1065</v>
      </c>
      <c r="H157" t="s">
        <v>1240</v>
      </c>
    </row>
    <row r="158" spans="1:8" x14ac:dyDescent="0.2">
      <c r="A158" t="s">
        <v>1242</v>
      </c>
      <c r="B158" s="50">
        <v>44942.639143518521</v>
      </c>
      <c r="C158" t="s">
        <v>1242</v>
      </c>
      <c r="D158" s="50">
        <v>44943.457175925927</v>
      </c>
      <c r="E158" t="s">
        <v>725</v>
      </c>
      <c r="F158" s="51" t="s">
        <v>783</v>
      </c>
      <c r="G158" t="s">
        <v>694</v>
      </c>
      <c r="H158" t="s">
        <v>1243</v>
      </c>
    </row>
    <row r="159" spans="1:8" x14ac:dyDescent="0.2">
      <c r="A159" t="s">
        <v>1244</v>
      </c>
      <c r="B159" s="50">
        <v>44942.639201388891</v>
      </c>
      <c r="C159" t="s">
        <v>1244</v>
      </c>
      <c r="D159" s="50">
        <v>44943.627928240741</v>
      </c>
      <c r="E159" t="s">
        <v>693</v>
      </c>
      <c r="F159" s="51" t="s">
        <v>7</v>
      </c>
      <c r="G159" t="s">
        <v>694</v>
      </c>
      <c r="H159" t="s">
        <v>759</v>
      </c>
    </row>
    <row r="160" spans="1:8" x14ac:dyDescent="0.2">
      <c r="A160" t="s">
        <v>1245</v>
      </c>
      <c r="B160" s="50">
        <v>44942.639236111114</v>
      </c>
      <c r="C160" t="s">
        <v>1245</v>
      </c>
      <c r="D160" s="50">
        <v>44944.432222222225</v>
      </c>
      <c r="E160" t="s">
        <v>725</v>
      </c>
      <c r="F160" s="51" t="s">
        <v>783</v>
      </c>
      <c r="G160" t="s">
        <v>694</v>
      </c>
      <c r="H160" t="s">
        <v>50</v>
      </c>
    </row>
    <row r="161" spans="1:8" x14ac:dyDescent="0.2">
      <c r="A161" t="s">
        <v>1246</v>
      </c>
      <c r="B161" s="50">
        <v>44942.639282407406</v>
      </c>
      <c r="C161" t="s">
        <v>1246</v>
      </c>
      <c r="D161" s="50">
        <v>44942.70108796296</v>
      </c>
      <c r="E161" t="s">
        <v>725</v>
      </c>
      <c r="F161" s="51" t="s">
        <v>1247</v>
      </c>
      <c r="G161" t="s">
        <v>1054</v>
      </c>
      <c r="H161" t="s">
        <v>1248</v>
      </c>
    </row>
    <row r="162" spans="1:8" x14ac:dyDescent="0.2">
      <c r="A162" t="s">
        <v>1249</v>
      </c>
      <c r="B162" s="50">
        <v>44942.670069444444</v>
      </c>
      <c r="C162" t="s">
        <v>1249</v>
      </c>
      <c r="D162" s="50">
        <v>44943.619201388887</v>
      </c>
      <c r="E162" t="s">
        <v>725</v>
      </c>
      <c r="F162" s="51" t="s">
        <v>7</v>
      </c>
      <c r="G162" t="s">
        <v>694</v>
      </c>
    </row>
    <row r="163" spans="1:8" x14ac:dyDescent="0.2">
      <c r="A163" t="s">
        <v>1250</v>
      </c>
      <c r="B163" s="50">
        <v>44943.53670138889</v>
      </c>
      <c r="C163" t="s">
        <v>1250</v>
      </c>
      <c r="D163" s="50">
        <v>44943.457233796296</v>
      </c>
      <c r="E163" t="s">
        <v>725</v>
      </c>
      <c r="F163" s="51" t="s">
        <v>783</v>
      </c>
      <c r="G163" t="s">
        <v>694</v>
      </c>
    </row>
    <row r="164" spans="1:8" x14ac:dyDescent="0.2">
      <c r="A164" t="s">
        <v>1251</v>
      </c>
      <c r="B164" s="50">
        <v>44942.670219907406</v>
      </c>
      <c r="C164" t="s">
        <v>1251</v>
      </c>
      <c r="D164" s="50">
        <v>44943.476851851854</v>
      </c>
      <c r="E164" t="s">
        <v>725</v>
      </c>
      <c r="F164" s="51" t="s">
        <v>707</v>
      </c>
      <c r="G164" t="s">
        <v>718</v>
      </c>
    </row>
    <row r="165" spans="1:8" x14ac:dyDescent="0.2">
      <c r="A165" t="s">
        <v>1252</v>
      </c>
      <c r="B165" s="50">
        <v>44942.704594907409</v>
      </c>
      <c r="C165" t="s">
        <v>1252</v>
      </c>
      <c r="D165" s="50">
        <v>44942.708414351851</v>
      </c>
      <c r="E165" t="s">
        <v>725</v>
      </c>
      <c r="F165" s="51" t="s">
        <v>783</v>
      </c>
      <c r="G165" t="s">
        <v>694</v>
      </c>
    </row>
    <row r="166" spans="1:8" x14ac:dyDescent="0.2">
      <c r="A166" t="s">
        <v>1253</v>
      </c>
      <c r="B166" s="50">
        <v>44942.704618055555</v>
      </c>
      <c r="C166" t="s">
        <v>1253</v>
      </c>
      <c r="D166" s="50">
        <v>44956.541967592595</v>
      </c>
      <c r="E166" t="s">
        <v>693</v>
      </c>
      <c r="F166" s="51" t="s">
        <v>707</v>
      </c>
      <c r="G166" t="s">
        <v>1053</v>
      </c>
    </row>
    <row r="167" spans="1:8" x14ac:dyDescent="0.2">
      <c r="A167" t="s">
        <v>1254</v>
      </c>
      <c r="B167" s="50">
        <v>44943.391006944446</v>
      </c>
      <c r="C167" t="s">
        <v>1254</v>
      </c>
      <c r="D167" s="50">
        <v>44943.538310185184</v>
      </c>
      <c r="E167" t="s">
        <v>725</v>
      </c>
      <c r="F167" s="51" t="s">
        <v>707</v>
      </c>
      <c r="G167" t="s">
        <v>718</v>
      </c>
    </row>
    <row r="168" spans="1:8" x14ac:dyDescent="0.2">
      <c r="A168" t="s">
        <v>1255</v>
      </c>
      <c r="B168" s="50">
        <v>44943.391053240739</v>
      </c>
      <c r="C168" t="s">
        <v>1255</v>
      </c>
      <c r="D168" s="50">
        <v>44943.457199074073</v>
      </c>
      <c r="E168" t="s">
        <v>725</v>
      </c>
      <c r="F168" s="51" t="s">
        <v>783</v>
      </c>
      <c r="G168" t="s">
        <v>694</v>
      </c>
      <c r="H168" t="s">
        <v>1243</v>
      </c>
    </row>
    <row r="169" spans="1:8" x14ac:dyDescent="0.2">
      <c r="A169" t="s">
        <v>1256</v>
      </c>
      <c r="B169" s="50">
        <v>44943.391076388885</v>
      </c>
      <c r="C169" t="s">
        <v>1256</v>
      </c>
      <c r="D169" s="50">
        <v>44944.620069444441</v>
      </c>
      <c r="E169" t="s">
        <v>725</v>
      </c>
      <c r="F169" s="51" t="s">
        <v>707</v>
      </c>
      <c r="G169" t="s">
        <v>1058</v>
      </c>
    </row>
    <row r="170" spans="1:8" x14ac:dyDescent="0.2">
      <c r="A170" t="s">
        <v>1257</v>
      </c>
      <c r="B170" s="50">
        <v>44943.391087962962</v>
      </c>
      <c r="C170" t="s">
        <v>1257</v>
      </c>
      <c r="D170" s="50">
        <v>44943.54011574074</v>
      </c>
      <c r="E170" t="s">
        <v>725</v>
      </c>
      <c r="F170" s="51" t="s">
        <v>783</v>
      </c>
      <c r="G170" t="s">
        <v>694</v>
      </c>
    </row>
    <row r="171" spans="1:8" x14ac:dyDescent="0.2">
      <c r="A171" t="s">
        <v>1258</v>
      </c>
      <c r="B171" s="50">
        <v>44943.391111111108</v>
      </c>
      <c r="C171" t="s">
        <v>1258</v>
      </c>
      <c r="D171" s="50">
        <v>44943.570567129631</v>
      </c>
      <c r="E171" t="s">
        <v>725</v>
      </c>
      <c r="F171" s="51" t="s">
        <v>707</v>
      </c>
      <c r="G171" t="s">
        <v>769</v>
      </c>
    </row>
    <row r="172" spans="1:8" x14ac:dyDescent="0.2">
      <c r="A172" t="s">
        <v>1259</v>
      </c>
      <c r="B172" s="50">
        <v>44943.430208333331</v>
      </c>
      <c r="C172" t="s">
        <v>1259</v>
      </c>
      <c r="D172" s="50">
        <v>44943.54383101852</v>
      </c>
      <c r="E172" t="s">
        <v>725</v>
      </c>
      <c r="F172" s="51" t="s">
        <v>1260</v>
      </c>
      <c r="G172" t="s">
        <v>694</v>
      </c>
      <c r="H172" t="s">
        <v>1148</v>
      </c>
    </row>
    <row r="173" spans="1:8" x14ac:dyDescent="0.2">
      <c r="A173" t="s">
        <v>1261</v>
      </c>
      <c r="B173" s="50">
        <v>44943.725347222222</v>
      </c>
      <c r="C173" t="s">
        <v>1261</v>
      </c>
      <c r="D173" s="50">
        <v>44943.725370370368</v>
      </c>
      <c r="E173" t="s">
        <v>725</v>
      </c>
      <c r="F173" s="51" t="s">
        <v>783</v>
      </c>
      <c r="G173" t="s">
        <v>694</v>
      </c>
      <c r="H173" t="s">
        <v>734</v>
      </c>
    </row>
    <row r="174" spans="1:8" x14ac:dyDescent="0.2">
      <c r="A174" t="s">
        <v>1262</v>
      </c>
      <c r="B174" s="50">
        <v>44944.359907407408</v>
      </c>
      <c r="C174" t="s">
        <v>1262</v>
      </c>
      <c r="D174" s="50">
        <v>44944.477129629631</v>
      </c>
      <c r="E174" t="s">
        <v>725</v>
      </c>
      <c r="F174" s="51" t="s">
        <v>707</v>
      </c>
      <c r="G174" t="s">
        <v>1140</v>
      </c>
    </row>
    <row r="175" spans="1:8" x14ac:dyDescent="0.2">
      <c r="A175" t="s">
        <v>1263</v>
      </c>
      <c r="B175" s="50">
        <v>44944.359942129631</v>
      </c>
      <c r="C175" t="s">
        <v>1263</v>
      </c>
      <c r="D175" s="50">
        <v>44944.434317129628</v>
      </c>
      <c r="E175" t="s">
        <v>725</v>
      </c>
      <c r="F175" s="51" t="s">
        <v>707</v>
      </c>
      <c r="G175" t="s">
        <v>769</v>
      </c>
    </row>
    <row r="176" spans="1:8" x14ac:dyDescent="0.2">
      <c r="A176" t="s">
        <v>1264</v>
      </c>
      <c r="B176" s="50">
        <v>44944.359953703701</v>
      </c>
      <c r="C176" t="s">
        <v>1264</v>
      </c>
      <c r="D176" s="50">
        <v>44944.392164351855</v>
      </c>
      <c r="E176" t="s">
        <v>693</v>
      </c>
      <c r="F176" s="51" t="s">
        <v>7</v>
      </c>
      <c r="G176" t="s">
        <v>807</v>
      </c>
    </row>
    <row r="177" spans="1:9" x14ac:dyDescent="0.2">
      <c r="A177" t="s">
        <v>1265</v>
      </c>
      <c r="B177" s="50">
        <v>44944.396909722222</v>
      </c>
      <c r="C177" t="s">
        <v>1265</v>
      </c>
      <c r="D177" s="50">
        <v>44944.429988425924</v>
      </c>
      <c r="E177" t="s">
        <v>725</v>
      </c>
      <c r="F177" s="51" t="s">
        <v>707</v>
      </c>
      <c r="G177" t="s">
        <v>769</v>
      </c>
    </row>
    <row r="178" spans="1:9" x14ac:dyDescent="0.2">
      <c r="A178" t="s">
        <v>1266</v>
      </c>
      <c r="B178" s="50">
        <v>44944.578935185185</v>
      </c>
      <c r="C178" t="s">
        <v>1266</v>
      </c>
      <c r="D178" s="50">
        <v>44944.609594907408</v>
      </c>
      <c r="E178" t="s">
        <v>693</v>
      </c>
      <c r="F178" s="51" t="s">
        <v>7</v>
      </c>
      <c r="G178" t="s">
        <v>769</v>
      </c>
    </row>
    <row r="179" spans="1:9" x14ac:dyDescent="0.2">
      <c r="A179" t="s">
        <v>1218</v>
      </c>
      <c r="B179" s="50">
        <v>44953.395740740743</v>
      </c>
      <c r="C179" t="s">
        <v>1218</v>
      </c>
      <c r="D179" s="50">
        <v>44953.415439814817</v>
      </c>
      <c r="E179" t="s">
        <v>725</v>
      </c>
      <c r="F179" s="51" t="s">
        <v>707</v>
      </c>
      <c r="G179" t="s">
        <v>1068</v>
      </c>
    </row>
    <row r="180" spans="1:9" x14ac:dyDescent="0.2">
      <c r="A180" t="s">
        <v>1267</v>
      </c>
      <c r="B180" s="50">
        <v>44944.634548611109</v>
      </c>
      <c r="C180" t="s">
        <v>1267</v>
      </c>
      <c r="D180" s="50">
        <v>44956.545092592591</v>
      </c>
      <c r="E180" t="s">
        <v>725</v>
      </c>
      <c r="F180" s="51" t="s">
        <v>783</v>
      </c>
      <c r="G180" t="s">
        <v>1065</v>
      </c>
    </row>
    <row r="181" spans="1:9" x14ac:dyDescent="0.2">
      <c r="A181" t="s">
        <v>1268</v>
      </c>
      <c r="B181" s="50">
        <v>44944.634560185186</v>
      </c>
      <c r="C181" t="s">
        <v>1268</v>
      </c>
      <c r="D181" s="50">
        <v>44944.708425925928</v>
      </c>
      <c r="E181" t="s">
        <v>693</v>
      </c>
      <c r="F181" s="51" t="s">
        <v>707</v>
      </c>
      <c r="G181" t="s">
        <v>718</v>
      </c>
    </row>
    <row r="182" spans="1:9" x14ac:dyDescent="0.2">
      <c r="A182" t="s">
        <v>1269</v>
      </c>
      <c r="B182" s="50">
        <v>44944.634583333333</v>
      </c>
      <c r="C182" t="s">
        <v>1269</v>
      </c>
      <c r="D182" s="50">
        <v>44944.698252314818</v>
      </c>
      <c r="E182" t="s">
        <v>693</v>
      </c>
      <c r="F182" s="51" t="s">
        <v>707</v>
      </c>
      <c r="G182" t="s">
        <v>769</v>
      </c>
    </row>
    <row r="183" spans="1:9" x14ac:dyDescent="0.2">
      <c r="A183" t="s">
        <v>1270</v>
      </c>
      <c r="B183" s="50">
        <v>44944.634675925925</v>
      </c>
      <c r="C183" t="s">
        <v>1270</v>
      </c>
      <c r="D183" s="50">
        <v>44956.542175925926</v>
      </c>
      <c r="E183" t="s">
        <v>693</v>
      </c>
      <c r="F183" s="51" t="s">
        <v>707</v>
      </c>
      <c r="G183" t="s">
        <v>1053</v>
      </c>
    </row>
    <row r="184" spans="1:9" x14ac:dyDescent="0.2">
      <c r="A184" t="s">
        <v>1271</v>
      </c>
      <c r="B184" s="50">
        <v>44944.695567129631</v>
      </c>
      <c r="C184" t="s">
        <v>1271</v>
      </c>
      <c r="D184" s="50">
        <v>44953.409247685187</v>
      </c>
      <c r="E184" t="s">
        <v>725</v>
      </c>
      <c r="F184" s="51" t="s">
        <v>707</v>
      </c>
      <c r="G184" t="s">
        <v>1054</v>
      </c>
    </row>
    <row r="185" spans="1:9" x14ac:dyDescent="0.2">
      <c r="A185" t="s">
        <v>1272</v>
      </c>
      <c r="B185" s="50">
        <v>44945.358460648145</v>
      </c>
      <c r="C185" t="s">
        <v>1272</v>
      </c>
      <c r="D185" s="50">
        <v>44953.392905092594</v>
      </c>
      <c r="E185" t="s">
        <v>725</v>
      </c>
      <c r="F185" s="51" t="s">
        <v>707</v>
      </c>
      <c r="G185" t="s">
        <v>769</v>
      </c>
    </row>
    <row r="186" spans="1:9" x14ac:dyDescent="0.2">
      <c r="A186" t="s">
        <v>1273</v>
      </c>
      <c r="B186" s="50">
        <v>44945.412210648145</v>
      </c>
      <c r="C186" t="s">
        <v>1273</v>
      </c>
      <c r="D186" s="50">
        <v>44956.540983796294</v>
      </c>
      <c r="E186" t="s">
        <v>725</v>
      </c>
      <c r="F186" s="51" t="s">
        <v>783</v>
      </c>
      <c r="G186" t="s">
        <v>1065</v>
      </c>
    </row>
    <row r="187" spans="1:9" x14ac:dyDescent="0.2">
      <c r="A187" t="s">
        <v>1274</v>
      </c>
      <c r="B187" s="50">
        <v>44953.403113425928</v>
      </c>
      <c r="C187" t="s">
        <v>1274</v>
      </c>
      <c r="D187" s="50">
        <v>44953.40697916667</v>
      </c>
      <c r="E187" t="s">
        <v>725</v>
      </c>
      <c r="F187" s="51" t="s">
        <v>707</v>
      </c>
      <c r="G187" t="s">
        <v>1054</v>
      </c>
      <c r="H187" t="s">
        <v>1275</v>
      </c>
    </row>
    <row r="188" spans="1:9" x14ac:dyDescent="0.2">
      <c r="A188" t="s">
        <v>1276</v>
      </c>
      <c r="B188" s="50">
        <v>44953.540648148148</v>
      </c>
      <c r="C188" t="s">
        <v>1276</v>
      </c>
      <c r="D188" s="50">
        <v>44956.701874999999</v>
      </c>
      <c r="E188" t="s">
        <v>693</v>
      </c>
      <c r="F188" s="51" t="s">
        <v>707</v>
      </c>
      <c r="G188" t="s">
        <v>694</v>
      </c>
      <c r="H188" t="s">
        <v>1277</v>
      </c>
    </row>
    <row r="189" spans="1:9" x14ac:dyDescent="0.2">
      <c r="A189" t="s">
        <v>1278</v>
      </c>
      <c r="B189" s="50">
        <v>44956.462268518517</v>
      </c>
      <c r="C189" t="s">
        <v>1278</v>
      </c>
      <c r="D189" s="50">
        <v>44956.533553240741</v>
      </c>
      <c r="E189" t="s">
        <v>725</v>
      </c>
      <c r="F189" s="51" t="s">
        <v>707</v>
      </c>
      <c r="G189" t="s">
        <v>1140</v>
      </c>
    </row>
    <row r="190" spans="1:9" x14ac:dyDescent="0.2">
      <c r="A190" t="s">
        <v>1279</v>
      </c>
      <c r="B190" s="50">
        <v>44956.542395833334</v>
      </c>
      <c r="C190" t="s">
        <v>1279</v>
      </c>
      <c r="D190" s="50">
        <v>44956.550011574072</v>
      </c>
      <c r="E190" t="s">
        <v>693</v>
      </c>
      <c r="F190" s="51" t="s">
        <v>707</v>
      </c>
      <c r="G190" t="s">
        <v>716</v>
      </c>
    </row>
    <row r="191" spans="1:9" x14ac:dyDescent="0.2">
      <c r="A191" t="s">
        <v>1280</v>
      </c>
      <c r="B191" s="50">
        <v>44956.542395833334</v>
      </c>
      <c r="C191" t="s">
        <v>1280</v>
      </c>
      <c r="D191" s="50">
        <v>44956.548622685186</v>
      </c>
      <c r="E191" t="s">
        <v>693</v>
      </c>
      <c r="F191" s="51" t="s">
        <v>707</v>
      </c>
      <c r="G191" t="s">
        <v>1140</v>
      </c>
    </row>
    <row r="192" spans="1:9" x14ac:dyDescent="0.2">
      <c r="A192" t="s">
        <v>1281</v>
      </c>
      <c r="B192" s="50">
        <v>44956.580590277779</v>
      </c>
      <c r="C192" t="s">
        <v>1281</v>
      </c>
      <c r="D192" s="50">
        <v>44956.597233796296</v>
      </c>
      <c r="E192" t="s">
        <v>693</v>
      </c>
      <c r="F192" s="51" t="s">
        <v>7</v>
      </c>
      <c r="G192" t="s">
        <v>694</v>
      </c>
      <c r="H192" t="s">
        <v>759</v>
      </c>
      <c r="I192" s="2"/>
    </row>
    <row r="193" spans="1:8" x14ac:dyDescent="0.2">
      <c r="A193" t="s">
        <v>1282</v>
      </c>
      <c r="B193" s="50">
        <v>44956.6018287037</v>
      </c>
      <c r="C193" t="s">
        <v>1282</v>
      </c>
      <c r="D193" s="50">
        <v>44956.61990740741</v>
      </c>
      <c r="E193" t="s">
        <v>1063</v>
      </c>
      <c r="F193" s="51" t="s">
        <v>707</v>
      </c>
      <c r="G193" t="s">
        <v>716</v>
      </c>
    </row>
    <row r="194" spans="1:8" x14ac:dyDescent="0.2">
      <c r="A194" t="s">
        <v>1283</v>
      </c>
      <c r="B194" s="50">
        <v>44956.601863425924</v>
      </c>
      <c r="C194" t="s">
        <v>1283</v>
      </c>
      <c r="D194" s="50">
        <v>44956.620300925926</v>
      </c>
      <c r="E194" t="s">
        <v>1063</v>
      </c>
      <c r="F194" s="51" t="s">
        <v>707</v>
      </c>
      <c r="G194" t="s">
        <v>716</v>
      </c>
    </row>
    <row r="195" spans="1:8" x14ac:dyDescent="0.2">
      <c r="A195" t="s">
        <v>1284</v>
      </c>
      <c r="B195" s="50">
        <v>44956.663611111115</v>
      </c>
      <c r="C195" t="s">
        <v>1284</v>
      </c>
      <c r="D195" s="50">
        <v>44956.698958333334</v>
      </c>
      <c r="E195" t="s">
        <v>693</v>
      </c>
      <c r="F195" s="51" t="s">
        <v>707</v>
      </c>
      <c r="G195" t="s">
        <v>716</v>
      </c>
      <c r="H195" t="s">
        <v>1285</v>
      </c>
    </row>
    <row r="196" spans="1:8" x14ac:dyDescent="0.2">
      <c r="A196" t="s">
        <v>1286</v>
      </c>
      <c r="B196" s="50">
        <v>44956.663668981484</v>
      </c>
      <c r="C196" t="s">
        <v>1286</v>
      </c>
      <c r="D196" s="50">
        <v>44957.442569444444</v>
      </c>
      <c r="E196" t="s">
        <v>1063</v>
      </c>
      <c r="F196" s="51" t="s">
        <v>707</v>
      </c>
      <c r="G196" t="s">
        <v>716</v>
      </c>
      <c r="H196" t="s">
        <v>1285</v>
      </c>
    </row>
    <row r="197" spans="1:8" x14ac:dyDescent="0.2">
      <c r="A197" t="s">
        <v>1287</v>
      </c>
      <c r="B197" s="50">
        <v>44956.66369212963</v>
      </c>
      <c r="C197" t="s">
        <v>1287</v>
      </c>
      <c r="D197" s="50">
        <v>44957.450706018521</v>
      </c>
      <c r="E197" t="s">
        <v>1063</v>
      </c>
      <c r="F197" s="51" t="s">
        <v>707</v>
      </c>
      <c r="G197" t="s">
        <v>716</v>
      </c>
      <c r="H197" t="s">
        <v>1285</v>
      </c>
    </row>
    <row r="198" spans="1:8" x14ac:dyDescent="0.2">
      <c r="A198" t="s">
        <v>1288</v>
      </c>
      <c r="B198" s="50">
        <v>44956.663726851853</v>
      </c>
      <c r="C198" t="s">
        <v>1288</v>
      </c>
      <c r="D198" s="50">
        <v>44956.689236111109</v>
      </c>
      <c r="E198" t="s">
        <v>693</v>
      </c>
      <c r="F198" s="51" t="s">
        <v>707</v>
      </c>
      <c r="G198" t="s">
        <v>716</v>
      </c>
      <c r="H198" t="s">
        <v>1285</v>
      </c>
    </row>
    <row r="199" spans="1:8" x14ac:dyDescent="0.2">
      <c r="A199" t="s">
        <v>1289</v>
      </c>
      <c r="B199" s="50">
        <v>44956.66375</v>
      </c>
      <c r="C199" t="s">
        <v>1289</v>
      </c>
      <c r="D199" s="50">
        <v>44956.704039351855</v>
      </c>
      <c r="E199" t="s">
        <v>693</v>
      </c>
      <c r="F199" s="51" t="s">
        <v>707</v>
      </c>
      <c r="G199" t="s">
        <v>716</v>
      </c>
      <c r="H199" t="s">
        <v>1285</v>
      </c>
    </row>
    <row r="200" spans="1:8" x14ac:dyDescent="0.2">
      <c r="A200" t="s">
        <v>1290</v>
      </c>
      <c r="B200" s="50">
        <v>44956.69159722222</v>
      </c>
      <c r="C200" t="s">
        <v>1290</v>
      </c>
      <c r="D200" s="50">
        <v>44956.715081018519</v>
      </c>
      <c r="E200" t="s">
        <v>1063</v>
      </c>
      <c r="F200" s="51" t="s">
        <v>707</v>
      </c>
      <c r="G200" t="s">
        <v>716</v>
      </c>
      <c r="H200" t="s">
        <v>1285</v>
      </c>
    </row>
    <row r="201" spans="1:8" x14ac:dyDescent="0.2">
      <c r="A201" t="s">
        <v>1291</v>
      </c>
      <c r="B201" s="50">
        <v>44956.705127314817</v>
      </c>
      <c r="C201" t="s">
        <v>1291</v>
      </c>
      <c r="D201" s="50">
        <v>44957.459745370368</v>
      </c>
      <c r="E201" t="s">
        <v>1063</v>
      </c>
      <c r="F201" s="51" t="s">
        <v>7</v>
      </c>
      <c r="G201" t="s">
        <v>694</v>
      </c>
      <c r="H201" t="s">
        <v>734</v>
      </c>
    </row>
    <row r="202" spans="1:8" x14ac:dyDescent="0.2">
      <c r="A202" t="s">
        <v>1292</v>
      </c>
      <c r="B202" s="50">
        <v>44957.381701388891</v>
      </c>
      <c r="C202" t="s">
        <v>1292</v>
      </c>
      <c r="D202" s="50">
        <v>44957.409328703703</v>
      </c>
      <c r="E202" t="s">
        <v>725</v>
      </c>
      <c r="F202" s="51" t="s">
        <v>707</v>
      </c>
      <c r="G202" t="s">
        <v>723</v>
      </c>
    </row>
    <row r="203" spans="1:8" x14ac:dyDescent="0.2">
      <c r="A203" t="s">
        <v>1293</v>
      </c>
      <c r="B203" s="50">
        <v>44957.381712962961</v>
      </c>
      <c r="C203" t="s">
        <v>1293</v>
      </c>
      <c r="D203" s="50">
        <v>44957.409166666665</v>
      </c>
      <c r="E203" t="s">
        <v>725</v>
      </c>
      <c r="F203" s="51" t="s">
        <v>707</v>
      </c>
      <c r="G203" t="s">
        <v>723</v>
      </c>
    </row>
    <row r="204" spans="1:8" x14ac:dyDescent="0.2">
      <c r="A204" t="s">
        <v>1294</v>
      </c>
      <c r="B204" s="50">
        <v>44957.45553240741</v>
      </c>
      <c r="C204" t="s">
        <v>1294</v>
      </c>
      <c r="D204" s="50">
        <v>44957.534224537034</v>
      </c>
      <c r="E204" t="s">
        <v>1063</v>
      </c>
      <c r="F204" s="51" t="s">
        <v>707</v>
      </c>
      <c r="G204" t="s">
        <v>716</v>
      </c>
      <c r="H204" t="s">
        <v>1285</v>
      </c>
    </row>
    <row r="205" spans="1:8" x14ac:dyDescent="0.2">
      <c r="A205" t="s">
        <v>1295</v>
      </c>
      <c r="B205" s="50">
        <v>44957.455555555556</v>
      </c>
      <c r="C205" t="s">
        <v>1295</v>
      </c>
      <c r="D205" s="50">
        <v>44957.567291666666</v>
      </c>
      <c r="E205" t="s">
        <v>1063</v>
      </c>
      <c r="F205" s="51" t="s">
        <v>7</v>
      </c>
      <c r="G205" t="s">
        <v>769</v>
      </c>
    </row>
    <row r="206" spans="1:8" x14ac:dyDescent="0.2">
      <c r="A206" t="s">
        <v>1296</v>
      </c>
      <c r="B206" s="50">
        <v>44957.5702662037</v>
      </c>
      <c r="C206" t="s">
        <v>1296</v>
      </c>
      <c r="D206" s="50">
        <v>44957.655856481484</v>
      </c>
      <c r="E206" t="s">
        <v>725</v>
      </c>
      <c r="F206" s="51" t="s">
        <v>707</v>
      </c>
      <c r="G206" t="s">
        <v>723</v>
      </c>
    </row>
    <row r="207" spans="1:8" x14ac:dyDescent="0.2">
      <c r="A207" t="s">
        <v>1297</v>
      </c>
      <c r="B207" s="50">
        <v>44957.641250000001</v>
      </c>
      <c r="C207" t="s">
        <v>1297</v>
      </c>
      <c r="D207" s="50">
        <v>44957.710011574076</v>
      </c>
      <c r="E207" t="s">
        <v>725</v>
      </c>
      <c r="F207" s="51" t="s">
        <v>707</v>
      </c>
      <c r="G207" t="s">
        <v>723</v>
      </c>
    </row>
    <row r="208" spans="1:8" x14ac:dyDescent="0.2">
      <c r="A208" t="s">
        <v>1298</v>
      </c>
      <c r="B208" s="50">
        <v>44957.570335648146</v>
      </c>
      <c r="C208" t="s">
        <v>1298</v>
      </c>
      <c r="D208" s="50">
        <v>44961.356307870374</v>
      </c>
      <c r="E208" t="s">
        <v>725</v>
      </c>
      <c r="F208" s="51" t="s">
        <v>707</v>
      </c>
      <c r="G208" t="s">
        <v>723</v>
      </c>
      <c r="H208" t="s">
        <v>1299</v>
      </c>
    </row>
    <row r="209" spans="1:8" x14ac:dyDescent="0.2">
      <c r="A209" t="s">
        <v>1300</v>
      </c>
      <c r="B209" s="50">
        <v>44957.570347222223</v>
      </c>
      <c r="C209" t="s">
        <v>1300</v>
      </c>
      <c r="D209" s="50">
        <v>44957.6953125</v>
      </c>
      <c r="E209" t="s">
        <v>1063</v>
      </c>
      <c r="F209" s="51" t="s">
        <v>707</v>
      </c>
      <c r="G209" t="s">
        <v>723</v>
      </c>
    </row>
    <row r="210" spans="1:8" x14ac:dyDescent="0.2">
      <c r="A210" t="s">
        <v>1301</v>
      </c>
      <c r="B210" s="50">
        <v>44957.5703587963</v>
      </c>
      <c r="C210" t="s">
        <v>1301</v>
      </c>
      <c r="D210" s="50">
        <v>44957.578287037039</v>
      </c>
      <c r="E210" t="s">
        <v>725</v>
      </c>
      <c r="F210" s="51" t="s">
        <v>707</v>
      </c>
      <c r="G210" t="s">
        <v>716</v>
      </c>
    </row>
    <row r="211" spans="1:8" x14ac:dyDescent="0.2">
      <c r="A211" t="s">
        <v>1302</v>
      </c>
      <c r="B211" s="50">
        <v>44957.570393518516</v>
      </c>
      <c r="C211" t="s">
        <v>1302</v>
      </c>
      <c r="D211" s="50">
        <v>44957.575706018521</v>
      </c>
      <c r="E211" t="s">
        <v>725</v>
      </c>
      <c r="F211" s="51" t="s">
        <v>707</v>
      </c>
      <c r="G211" t="s">
        <v>716</v>
      </c>
    </row>
    <row r="212" spans="1:8" x14ac:dyDescent="0.2">
      <c r="A212" t="s">
        <v>1303</v>
      </c>
      <c r="B212" s="50">
        <v>44957.616307870368</v>
      </c>
      <c r="C212" t="s">
        <v>1303</v>
      </c>
      <c r="D212" s="50">
        <v>44957.628101851849</v>
      </c>
      <c r="E212" t="s">
        <v>725</v>
      </c>
      <c r="F212" s="51" t="s">
        <v>707</v>
      </c>
      <c r="G212" t="s">
        <v>723</v>
      </c>
    </row>
    <row r="213" spans="1:8" x14ac:dyDescent="0.2">
      <c r="A213" t="s">
        <v>1304</v>
      </c>
      <c r="B213" s="50">
        <v>44957.616331018522</v>
      </c>
      <c r="C213" t="s">
        <v>1304</v>
      </c>
      <c r="D213" s="50">
        <v>44957.723009259258</v>
      </c>
      <c r="E213" t="s">
        <v>725</v>
      </c>
      <c r="F213" s="51" t="s">
        <v>707</v>
      </c>
      <c r="G213" t="s">
        <v>1140</v>
      </c>
    </row>
    <row r="214" spans="1:8" x14ac:dyDescent="0.2">
      <c r="A214" t="s">
        <v>1305</v>
      </c>
      <c r="B214" s="50">
        <v>44957.680636574078</v>
      </c>
      <c r="C214" t="s">
        <v>1305</v>
      </c>
      <c r="D214" s="50">
        <v>44957.687847222223</v>
      </c>
      <c r="E214" t="s">
        <v>725</v>
      </c>
      <c r="F214" s="51" t="s">
        <v>783</v>
      </c>
      <c r="G214" t="s">
        <v>694</v>
      </c>
    </row>
    <row r="215" spans="1:8" x14ac:dyDescent="0.2">
      <c r="A215" t="s">
        <v>1306</v>
      </c>
      <c r="B215" s="50">
        <v>44957.689699074072</v>
      </c>
      <c r="C215" t="s">
        <v>1306</v>
      </c>
      <c r="D215" s="50">
        <v>44958.454525462963</v>
      </c>
      <c r="E215" t="s">
        <v>725</v>
      </c>
      <c r="F215" s="51" t="s">
        <v>707</v>
      </c>
      <c r="G215" t="s">
        <v>1056</v>
      </c>
    </row>
    <row r="216" spans="1:8" x14ac:dyDescent="0.2">
      <c r="A216" t="s">
        <v>1307</v>
      </c>
      <c r="B216" s="50">
        <v>44958.546909722223</v>
      </c>
      <c r="C216" t="s">
        <v>1307</v>
      </c>
      <c r="D216" s="50">
        <v>44958.690150462964</v>
      </c>
      <c r="E216" t="s">
        <v>725</v>
      </c>
      <c r="F216" s="51" t="s">
        <v>707</v>
      </c>
      <c r="G216" t="s">
        <v>723</v>
      </c>
    </row>
    <row r="217" spans="1:8" ht="13.5" customHeight="1" x14ac:dyDescent="0.2">
      <c r="A217" t="s">
        <v>1308</v>
      </c>
      <c r="B217" s="50">
        <v>44958.546875</v>
      </c>
      <c r="C217" t="s">
        <v>1308</v>
      </c>
      <c r="D217" s="50">
        <v>44960.422337962962</v>
      </c>
      <c r="E217" t="s">
        <v>693</v>
      </c>
      <c r="F217" s="51" t="s">
        <v>707</v>
      </c>
      <c r="G217" t="s">
        <v>704</v>
      </c>
    </row>
    <row r="218" spans="1:8" x14ac:dyDescent="0.2">
      <c r="A218" t="s">
        <v>1309</v>
      </c>
      <c r="B218" s="50">
        <v>44958.546701388892</v>
      </c>
      <c r="C218" t="s">
        <v>1309</v>
      </c>
      <c r="D218" s="50">
        <v>44958.616006944445</v>
      </c>
      <c r="E218" t="s">
        <v>725</v>
      </c>
      <c r="F218" s="51" t="s">
        <v>707</v>
      </c>
      <c r="G218" t="s">
        <v>769</v>
      </c>
    </row>
    <row r="219" spans="1:8" x14ac:dyDescent="0.2">
      <c r="A219" t="s">
        <v>1310</v>
      </c>
      <c r="B219" s="50">
        <v>44958.546168981484</v>
      </c>
      <c r="C219" t="s">
        <v>1310</v>
      </c>
      <c r="D219" s="50">
        <v>44961.35974537037</v>
      </c>
      <c r="E219" t="s">
        <v>725</v>
      </c>
      <c r="F219" s="51" t="s">
        <v>707</v>
      </c>
      <c r="G219" t="s">
        <v>769</v>
      </c>
      <c r="H219" t="s">
        <v>1064</v>
      </c>
    </row>
    <row r="220" spans="1:8" x14ac:dyDescent="0.2">
      <c r="A220" t="s">
        <v>1311</v>
      </c>
      <c r="B220" s="50">
        <v>44958.546111111114</v>
      </c>
      <c r="C220" t="s">
        <v>1311</v>
      </c>
      <c r="D220" s="50">
        <v>44958.57135416667</v>
      </c>
      <c r="E220" t="s">
        <v>725</v>
      </c>
      <c r="F220" s="51" t="s">
        <v>783</v>
      </c>
      <c r="G220" t="s">
        <v>723</v>
      </c>
    </row>
    <row r="221" spans="1:8" x14ac:dyDescent="0.2">
      <c r="A221" t="s">
        <v>1312</v>
      </c>
      <c r="B221" s="50">
        <v>44958.546076388891</v>
      </c>
      <c r="C221" t="s">
        <v>1312</v>
      </c>
      <c r="D221" s="50">
        <v>44958.650081018517</v>
      </c>
      <c r="E221" t="s">
        <v>725</v>
      </c>
      <c r="F221" s="51" t="s">
        <v>707</v>
      </c>
      <c r="G221" t="s">
        <v>769</v>
      </c>
    </row>
    <row r="222" spans="1:8" x14ac:dyDescent="0.2">
      <c r="A222" t="s">
        <v>1313</v>
      </c>
      <c r="B222" s="50">
        <v>44958.546006944445</v>
      </c>
      <c r="C222" t="s">
        <v>1313</v>
      </c>
      <c r="D222" s="50">
        <v>44958.626273148147</v>
      </c>
      <c r="E222" t="s">
        <v>725</v>
      </c>
      <c r="F222" s="51" t="s">
        <v>707</v>
      </c>
      <c r="G222" t="s">
        <v>723</v>
      </c>
    </row>
    <row r="223" spans="1:8" x14ac:dyDescent="0.2">
      <c r="A223" t="s">
        <v>1314</v>
      </c>
      <c r="B223" s="50">
        <v>44958.545983796299</v>
      </c>
      <c r="C223" t="s">
        <v>1314</v>
      </c>
      <c r="D223" s="50">
        <v>44958.623773148145</v>
      </c>
      <c r="E223" t="s">
        <v>725</v>
      </c>
      <c r="F223" s="51" t="s">
        <v>707</v>
      </c>
      <c r="G223" t="s">
        <v>769</v>
      </c>
    </row>
    <row r="224" spans="1:8" x14ac:dyDescent="0.2">
      <c r="A224" t="s">
        <v>1315</v>
      </c>
      <c r="B224" s="50">
        <v>44958.466608796298</v>
      </c>
      <c r="C224" t="s">
        <v>1315</v>
      </c>
      <c r="D224" s="50">
        <v>44958.466631944444</v>
      </c>
      <c r="E224" t="s">
        <v>725</v>
      </c>
      <c r="F224" s="51" t="s">
        <v>707</v>
      </c>
      <c r="G224" t="s">
        <v>716</v>
      </c>
      <c r="H224" t="s">
        <v>1316</v>
      </c>
    </row>
    <row r="225" spans="1:8" x14ac:dyDescent="0.2">
      <c r="A225" t="s">
        <v>1317</v>
      </c>
      <c r="B225" s="50">
        <v>44958.459722222222</v>
      </c>
      <c r="C225" t="s">
        <v>1317</v>
      </c>
      <c r="D225" s="50">
        <v>44958.616585648146</v>
      </c>
      <c r="E225" t="s">
        <v>725</v>
      </c>
      <c r="F225" s="51" t="s">
        <v>1318</v>
      </c>
      <c r="H225" t="s">
        <v>1319</v>
      </c>
    </row>
    <row r="226" spans="1:8" x14ac:dyDescent="0.2">
      <c r="A226" t="s">
        <v>1320</v>
      </c>
      <c r="B226" s="50">
        <v>44958.456134259257</v>
      </c>
      <c r="C226" t="s">
        <v>1320</v>
      </c>
      <c r="D226" s="50">
        <v>44958.458483796298</v>
      </c>
      <c r="E226" t="s">
        <v>725</v>
      </c>
      <c r="F226" s="51" t="s">
        <v>707</v>
      </c>
      <c r="G226" t="s">
        <v>1056</v>
      </c>
    </row>
    <row r="227" spans="1:8" x14ac:dyDescent="0.2">
      <c r="A227" t="s">
        <v>1321</v>
      </c>
      <c r="B227" s="50">
        <v>44958.414768518516</v>
      </c>
      <c r="C227" t="s">
        <v>1321</v>
      </c>
      <c r="D227" s="50">
        <v>44958.444594907407</v>
      </c>
      <c r="E227" t="s">
        <v>725</v>
      </c>
      <c r="F227" s="51" t="s">
        <v>783</v>
      </c>
      <c r="G227" t="s">
        <v>1058</v>
      </c>
    </row>
    <row r="228" spans="1:8" x14ac:dyDescent="0.2">
      <c r="A228" t="s">
        <v>1322</v>
      </c>
      <c r="B228" s="50">
        <v>44958.414733796293</v>
      </c>
      <c r="C228" t="s">
        <v>1322</v>
      </c>
      <c r="D228" s="50">
        <v>44961.357152777775</v>
      </c>
      <c r="E228" t="s">
        <v>725</v>
      </c>
      <c r="F228" s="51" t="s">
        <v>707</v>
      </c>
      <c r="G228" t="s">
        <v>769</v>
      </c>
      <c r="H228" t="s">
        <v>1323</v>
      </c>
    </row>
    <row r="229" spans="1:8" x14ac:dyDescent="0.2">
      <c r="A229" t="s">
        <v>1324</v>
      </c>
      <c r="B229" s="50">
        <v>44958.629270833335</v>
      </c>
      <c r="C229" t="s">
        <v>1324</v>
      </c>
      <c r="D229" s="50">
        <v>44958.634641203702</v>
      </c>
      <c r="E229" t="s">
        <v>725</v>
      </c>
      <c r="F229" s="51" t="s">
        <v>707</v>
      </c>
      <c r="G229" t="s">
        <v>723</v>
      </c>
      <c r="H229" t="s">
        <v>1325</v>
      </c>
    </row>
    <row r="230" spans="1:8" x14ac:dyDescent="0.2">
      <c r="A230" t="s">
        <v>1326</v>
      </c>
      <c r="B230" s="50">
        <v>44958.636793981481</v>
      </c>
      <c r="C230" t="s">
        <v>1326</v>
      </c>
      <c r="D230" s="50">
        <v>44958.641064814816</v>
      </c>
      <c r="E230" t="s">
        <v>725</v>
      </c>
      <c r="F230" s="51" t="s">
        <v>707</v>
      </c>
      <c r="G230" t="s">
        <v>1100</v>
      </c>
    </row>
    <row r="231" spans="1:8" x14ac:dyDescent="0.2">
      <c r="A231" t="s">
        <v>1327</v>
      </c>
      <c r="B231" s="50">
        <v>44958.66609953704</v>
      </c>
      <c r="C231" t="s">
        <v>1327</v>
      </c>
      <c r="D231" s="50">
        <v>44958.692361111112</v>
      </c>
      <c r="E231" t="s">
        <v>725</v>
      </c>
      <c r="F231" s="51" t="s">
        <v>783</v>
      </c>
      <c r="G231" t="s">
        <v>1061</v>
      </c>
      <c r="H231" t="s">
        <v>50</v>
      </c>
    </row>
    <row r="232" spans="1:8" x14ac:dyDescent="0.2">
      <c r="A232" t="s">
        <v>1328</v>
      </c>
      <c r="B232" s="50">
        <v>44958.66611111111</v>
      </c>
      <c r="C232" t="s">
        <v>1328</v>
      </c>
      <c r="D232" s="50">
        <v>44958.704791666663</v>
      </c>
      <c r="E232" t="s">
        <v>725</v>
      </c>
      <c r="F232" s="51" t="s">
        <v>707</v>
      </c>
      <c r="G232" t="s">
        <v>694</v>
      </c>
    </row>
    <row r="233" spans="1:8" x14ac:dyDescent="0.2">
      <c r="A233" t="s">
        <v>1329</v>
      </c>
      <c r="B233" s="50">
        <v>44958.666122685187</v>
      </c>
      <c r="C233" t="s">
        <v>1329</v>
      </c>
      <c r="D233" s="50">
        <v>44958.70994212963</v>
      </c>
      <c r="E233" t="s">
        <v>725</v>
      </c>
      <c r="F233" s="51" t="s">
        <v>707</v>
      </c>
      <c r="G233" t="s">
        <v>694</v>
      </c>
    </row>
    <row r="234" spans="1:8" x14ac:dyDescent="0.2">
      <c r="A234" t="s">
        <v>1330</v>
      </c>
      <c r="B234" s="50">
        <v>44958.693888888891</v>
      </c>
      <c r="C234" t="s">
        <v>1330</v>
      </c>
      <c r="D234" s="50">
        <v>44958.718645833331</v>
      </c>
      <c r="E234" t="s">
        <v>725</v>
      </c>
      <c r="F234" s="51" t="s">
        <v>707</v>
      </c>
      <c r="G234" t="s">
        <v>1331</v>
      </c>
    </row>
    <row r="235" spans="1:8" x14ac:dyDescent="0.2">
      <c r="A235" t="s">
        <v>1332</v>
      </c>
      <c r="B235" s="50">
        <v>44958.71912037037</v>
      </c>
      <c r="C235" t="s">
        <v>1332</v>
      </c>
      <c r="D235" s="50">
        <v>44959.553981481484</v>
      </c>
      <c r="E235" t="s">
        <v>693</v>
      </c>
      <c r="F235" s="51" t="s">
        <v>707</v>
      </c>
      <c r="G235" t="s">
        <v>769</v>
      </c>
      <c r="H235" t="s">
        <v>1333</v>
      </c>
    </row>
    <row r="236" spans="1:8" x14ac:dyDescent="0.2">
      <c r="A236" t="s">
        <v>1334</v>
      </c>
      <c r="B236" s="50">
        <v>44958.719143518516</v>
      </c>
      <c r="C236" t="s">
        <v>1334</v>
      </c>
      <c r="D236" s="50">
        <v>44959.594178240739</v>
      </c>
      <c r="E236" t="s">
        <v>693</v>
      </c>
      <c r="F236" s="51" t="s">
        <v>707</v>
      </c>
      <c r="G236" t="s">
        <v>694</v>
      </c>
    </row>
    <row r="237" spans="1:8" x14ac:dyDescent="0.2">
      <c r="A237" t="s">
        <v>1335</v>
      </c>
      <c r="B237" s="50">
        <v>44958.719189814816</v>
      </c>
      <c r="C237" t="s">
        <v>1335</v>
      </c>
      <c r="D237" s="50">
        <v>44959.617685185185</v>
      </c>
      <c r="E237" t="s">
        <v>693</v>
      </c>
      <c r="F237" s="51" t="s">
        <v>707</v>
      </c>
      <c r="G237" t="s">
        <v>694</v>
      </c>
    </row>
    <row r="238" spans="1:8" x14ac:dyDescent="0.2">
      <c r="A238" t="s">
        <v>1336</v>
      </c>
      <c r="B238" s="50">
        <v>44959.404907407406</v>
      </c>
      <c r="C238" t="s">
        <v>1336</v>
      </c>
      <c r="D238" s="50">
        <v>44959.41196759259</v>
      </c>
      <c r="E238" t="s">
        <v>725</v>
      </c>
      <c r="F238" s="51" t="s">
        <v>707</v>
      </c>
      <c r="G238" t="s">
        <v>694</v>
      </c>
      <c r="H238" s="53" t="s">
        <v>1337</v>
      </c>
    </row>
    <row r="239" spans="1:8" x14ac:dyDescent="0.2">
      <c r="A239" t="s">
        <v>1338</v>
      </c>
      <c r="B239" s="50">
        <v>44959.442048611112</v>
      </c>
      <c r="C239" t="s">
        <v>1338</v>
      </c>
      <c r="D239" s="50">
        <v>44960.636944444443</v>
      </c>
      <c r="E239" t="s">
        <v>725</v>
      </c>
      <c r="F239" s="51" t="s">
        <v>707</v>
      </c>
      <c r="G239" t="s">
        <v>769</v>
      </c>
    </row>
    <row r="240" spans="1:8" x14ac:dyDescent="0.2">
      <c r="A240" t="s">
        <v>1339</v>
      </c>
      <c r="B240" s="50">
        <v>44959.442060185182</v>
      </c>
      <c r="C240" t="s">
        <v>1339</v>
      </c>
      <c r="D240" s="50">
        <v>44959.580324074072</v>
      </c>
      <c r="E240" t="s">
        <v>693</v>
      </c>
      <c r="F240" s="51" t="s">
        <v>707</v>
      </c>
      <c r="G240" t="s">
        <v>769</v>
      </c>
    </row>
    <row r="241" spans="1:8" x14ac:dyDescent="0.2">
      <c r="A241" t="s">
        <v>1340</v>
      </c>
      <c r="B241" s="50">
        <v>44959.442083333335</v>
      </c>
      <c r="C241" t="s">
        <v>1340</v>
      </c>
      <c r="D241" s="50">
        <v>44959.568530092591</v>
      </c>
      <c r="E241" t="s">
        <v>693</v>
      </c>
      <c r="F241" s="51" t="s">
        <v>707</v>
      </c>
      <c r="G241" t="s">
        <v>694</v>
      </c>
    </row>
    <row r="242" spans="1:8" x14ac:dyDescent="0.2">
      <c r="A242" t="s">
        <v>1341</v>
      </c>
      <c r="B242" s="50">
        <v>44959.442106481481</v>
      </c>
      <c r="C242" t="s">
        <v>1341</v>
      </c>
      <c r="D242" s="50">
        <v>44959.56490740741</v>
      </c>
      <c r="E242" t="s">
        <v>693</v>
      </c>
      <c r="F242" s="51" t="s">
        <v>707</v>
      </c>
      <c r="G242" t="s">
        <v>694</v>
      </c>
    </row>
    <row r="243" spans="1:8" x14ac:dyDescent="0.2">
      <c r="A243" t="s">
        <v>1342</v>
      </c>
      <c r="B243" s="50">
        <v>44959.442453703705</v>
      </c>
      <c r="C243" t="s">
        <v>1342</v>
      </c>
      <c r="D243" s="50">
        <v>44959.656423611108</v>
      </c>
      <c r="E243" t="s">
        <v>693</v>
      </c>
      <c r="F243" s="51" t="s">
        <v>1055</v>
      </c>
      <c r="G243" t="s">
        <v>694</v>
      </c>
    </row>
    <row r="244" spans="1:8" x14ac:dyDescent="0.2">
      <c r="A244" t="s">
        <v>1343</v>
      </c>
      <c r="B244" s="50">
        <v>44959.5858912037</v>
      </c>
      <c r="C244" t="s">
        <v>1343</v>
      </c>
      <c r="D244" s="50">
        <v>44959.585995370369</v>
      </c>
      <c r="E244" t="s">
        <v>693</v>
      </c>
      <c r="F244" s="51" t="s">
        <v>707</v>
      </c>
      <c r="G244" t="s">
        <v>694</v>
      </c>
    </row>
    <row r="245" spans="1:8" x14ac:dyDescent="0.2">
      <c r="A245" t="s">
        <v>1344</v>
      </c>
      <c r="B245" s="50">
        <v>44959.635567129626</v>
      </c>
      <c r="C245" t="s">
        <v>1344</v>
      </c>
      <c r="D245" s="50">
        <v>44960.562569444446</v>
      </c>
      <c r="E245" t="s">
        <v>725</v>
      </c>
      <c r="F245" s="51" t="s">
        <v>707</v>
      </c>
      <c r="G245" t="s">
        <v>1057</v>
      </c>
    </row>
    <row r="246" spans="1:8" x14ac:dyDescent="0.2">
      <c r="A246" t="s">
        <v>1345</v>
      </c>
      <c r="B246" s="50">
        <v>44960.390567129631</v>
      </c>
      <c r="C246" t="s">
        <v>1345</v>
      </c>
      <c r="D246" s="50">
        <v>44960.453032407408</v>
      </c>
      <c r="E246" t="s">
        <v>693</v>
      </c>
      <c r="F246" s="51" t="s">
        <v>707</v>
      </c>
      <c r="G246" t="s">
        <v>1100</v>
      </c>
    </row>
    <row r="247" spans="1:8" x14ac:dyDescent="0.2">
      <c r="A247" t="s">
        <v>1346</v>
      </c>
      <c r="B247" s="50">
        <v>44960.390590277777</v>
      </c>
      <c r="C247" t="s">
        <v>1346</v>
      </c>
      <c r="D247" s="50">
        <v>44961.357673611114</v>
      </c>
      <c r="E247" t="s">
        <v>725</v>
      </c>
      <c r="F247" s="51" t="s">
        <v>707</v>
      </c>
      <c r="G247" t="s">
        <v>769</v>
      </c>
      <c r="H247" t="s">
        <v>1347</v>
      </c>
    </row>
    <row r="248" spans="1:8" x14ac:dyDescent="0.2">
      <c r="A248" t="s">
        <v>1348</v>
      </c>
      <c r="B248" s="50">
        <v>44960.390636574077</v>
      </c>
      <c r="C248" t="s">
        <v>1348</v>
      </c>
      <c r="D248" s="50">
        <v>44960.416631944441</v>
      </c>
      <c r="E248" t="s">
        <v>725</v>
      </c>
      <c r="F248" s="51" t="s">
        <v>707</v>
      </c>
      <c r="G248" t="s">
        <v>769</v>
      </c>
      <c r="H248" t="s">
        <v>769</v>
      </c>
    </row>
    <row r="249" spans="1:8" x14ac:dyDescent="0.2">
      <c r="A249" t="s">
        <v>1349</v>
      </c>
      <c r="B249" s="50">
        <v>44960.3906712963</v>
      </c>
      <c r="C249" t="s">
        <v>1349</v>
      </c>
      <c r="D249" s="50">
        <v>44960.401493055557</v>
      </c>
      <c r="E249" t="s">
        <v>725</v>
      </c>
      <c r="F249" s="51" t="s">
        <v>707</v>
      </c>
      <c r="G249" t="s">
        <v>769</v>
      </c>
    </row>
    <row r="250" spans="1:8" x14ac:dyDescent="0.2">
      <c r="A250" t="s">
        <v>1350</v>
      </c>
      <c r="B250" s="50">
        <v>44960.390706018516</v>
      </c>
      <c r="C250" t="s">
        <v>1350</v>
      </c>
      <c r="D250" s="50">
        <v>44960.428923611114</v>
      </c>
      <c r="E250" t="s">
        <v>693</v>
      </c>
      <c r="F250" s="51" t="s">
        <v>707</v>
      </c>
      <c r="G250" t="s">
        <v>704</v>
      </c>
    </row>
    <row r="251" spans="1:8" x14ac:dyDescent="0.2">
      <c r="A251" t="s">
        <v>1351</v>
      </c>
      <c r="B251" s="50">
        <v>44960.624560185184</v>
      </c>
      <c r="C251" t="s">
        <v>1351</v>
      </c>
      <c r="D251" s="50">
        <v>44960.633634259262</v>
      </c>
      <c r="E251" t="s">
        <v>1063</v>
      </c>
      <c r="F251" s="51" t="s">
        <v>707</v>
      </c>
      <c r="G251" t="s">
        <v>694</v>
      </c>
    </row>
    <row r="252" spans="1:8" x14ac:dyDescent="0.2">
      <c r="A252" t="s">
        <v>1352</v>
      </c>
      <c r="B252" s="50">
        <v>44961.454571759263</v>
      </c>
      <c r="C252" t="s">
        <v>1352</v>
      </c>
      <c r="D252" s="50">
        <v>44961.469768518517</v>
      </c>
      <c r="E252" t="s">
        <v>693</v>
      </c>
      <c r="F252" s="51" t="s">
        <v>707</v>
      </c>
      <c r="G252" t="s">
        <v>1057</v>
      </c>
      <c r="H252" t="s">
        <v>759</v>
      </c>
    </row>
    <row r="253" spans="1:8" x14ac:dyDescent="0.2">
      <c r="A253" t="s">
        <v>1353</v>
      </c>
      <c r="B253" s="50">
        <v>44961.444895833331</v>
      </c>
      <c r="C253" t="s">
        <v>1353</v>
      </c>
      <c r="D253" s="50">
        <v>44961.444988425923</v>
      </c>
      <c r="E253" t="s">
        <v>1063</v>
      </c>
      <c r="F253" s="51" t="s">
        <v>707</v>
      </c>
      <c r="G253" t="s">
        <v>694</v>
      </c>
    </row>
    <row r="254" spans="1:8" x14ac:dyDescent="0.2">
      <c r="A254" t="s">
        <v>1354</v>
      </c>
      <c r="B254" s="50">
        <v>44961.454861111109</v>
      </c>
      <c r="C254" t="s">
        <v>1354</v>
      </c>
      <c r="D254" s="50">
        <v>44963.405277777776</v>
      </c>
      <c r="E254" t="s">
        <v>725</v>
      </c>
      <c r="F254" s="51" t="s">
        <v>707</v>
      </c>
      <c r="G254" t="s">
        <v>1100</v>
      </c>
    </row>
    <row r="255" spans="1:8" ht="15" x14ac:dyDescent="0.25">
      <c r="A255" t="s">
        <v>1355</v>
      </c>
      <c r="B255" s="50">
        <v>44961.457268518519</v>
      </c>
      <c r="C255" t="s">
        <v>1355</v>
      </c>
      <c r="D255" s="50">
        <v>44961.457314814812</v>
      </c>
      <c r="E255" t="s">
        <v>725</v>
      </c>
      <c r="F255" s="51" t="s">
        <v>783</v>
      </c>
      <c r="G255" t="s">
        <v>823</v>
      </c>
      <c r="H255" s="54" t="s">
        <v>1356</v>
      </c>
    </row>
    <row r="256" spans="1:8" x14ac:dyDescent="0.2">
      <c r="A256" t="s">
        <v>1357</v>
      </c>
      <c r="B256" s="50">
        <v>44961.467534722222</v>
      </c>
      <c r="C256" t="s">
        <v>1357</v>
      </c>
      <c r="D256" s="50">
        <v>44961.467592592591</v>
      </c>
      <c r="E256" t="s">
        <v>1063</v>
      </c>
      <c r="F256" s="51" t="s">
        <v>707</v>
      </c>
      <c r="G256" t="s">
        <v>694</v>
      </c>
    </row>
    <row r="257" spans="1:8" x14ac:dyDescent="0.2">
      <c r="A257" t="s">
        <v>1358</v>
      </c>
      <c r="B257" s="50">
        <v>44961.596539351849</v>
      </c>
      <c r="C257" t="s">
        <v>1358</v>
      </c>
      <c r="D257" s="50">
        <v>44961.665127314816</v>
      </c>
      <c r="E257" t="s">
        <v>1063</v>
      </c>
      <c r="F257" s="51" t="s">
        <v>7</v>
      </c>
      <c r="G257" t="s">
        <v>694</v>
      </c>
    </row>
    <row r="258" spans="1:8" x14ac:dyDescent="0.2">
      <c r="A258" t="s">
        <v>1359</v>
      </c>
      <c r="B258" s="50">
        <v>44961.596562500003</v>
      </c>
      <c r="C258" t="s">
        <v>1359</v>
      </c>
      <c r="D258" s="50">
        <v>44963.441458333335</v>
      </c>
      <c r="E258" t="s">
        <v>1063</v>
      </c>
      <c r="F258" s="51" t="s">
        <v>707</v>
      </c>
      <c r="G258" t="s">
        <v>723</v>
      </c>
    </row>
    <row r="259" spans="1:8" x14ac:dyDescent="0.2">
      <c r="A259" t="s">
        <v>1360</v>
      </c>
      <c r="B259" s="50">
        <v>44961.596585648149</v>
      </c>
      <c r="C259" t="s">
        <v>1360</v>
      </c>
      <c r="D259" s="50">
        <v>44961.709513888891</v>
      </c>
      <c r="E259" t="s">
        <v>725</v>
      </c>
      <c r="F259" s="51" t="s">
        <v>707</v>
      </c>
      <c r="G259" t="s">
        <v>723</v>
      </c>
    </row>
    <row r="260" spans="1:8" x14ac:dyDescent="0.2">
      <c r="A260" t="s">
        <v>1361</v>
      </c>
      <c r="B260" s="50">
        <v>44961.596608796295</v>
      </c>
      <c r="C260" t="s">
        <v>1361</v>
      </c>
      <c r="D260" s="50">
        <v>44963.530069444445</v>
      </c>
      <c r="E260" t="s">
        <v>1063</v>
      </c>
      <c r="F260" s="51" t="s">
        <v>707</v>
      </c>
      <c r="G260" t="s">
        <v>723</v>
      </c>
    </row>
    <row r="261" spans="1:8" x14ac:dyDescent="0.2">
      <c r="A261" t="s">
        <v>1362</v>
      </c>
      <c r="B261" s="50">
        <v>44961.596631944441</v>
      </c>
      <c r="C261" t="s">
        <v>1362</v>
      </c>
      <c r="D261" s="50">
        <v>44961.62400462963</v>
      </c>
      <c r="E261" t="s">
        <v>1063</v>
      </c>
      <c r="F261" s="51" t="s">
        <v>1363</v>
      </c>
      <c r="G261" t="s">
        <v>694</v>
      </c>
      <c r="H261" t="s">
        <v>1364</v>
      </c>
    </row>
    <row r="262" spans="1:8" x14ac:dyDescent="0.2">
      <c r="A262" t="s">
        <v>1365</v>
      </c>
      <c r="B262" s="50">
        <v>44961.650509259256</v>
      </c>
      <c r="C262" t="s">
        <v>1365</v>
      </c>
      <c r="D262" s="50">
        <v>44963.537662037037</v>
      </c>
      <c r="E262" t="s">
        <v>725</v>
      </c>
      <c r="F262" s="51" t="s">
        <v>707</v>
      </c>
      <c r="G262" t="s">
        <v>1057</v>
      </c>
    </row>
    <row r="263" spans="1:8" x14ac:dyDescent="0.2">
      <c r="A263" t="s">
        <v>1366</v>
      </c>
      <c r="B263" s="50">
        <v>44961.66909722222</v>
      </c>
      <c r="C263" t="s">
        <v>1366</v>
      </c>
      <c r="D263" s="50">
        <v>44963.478530092594</v>
      </c>
      <c r="E263" t="s">
        <v>725</v>
      </c>
      <c r="F263" s="51" t="s">
        <v>707</v>
      </c>
      <c r="G263" t="s">
        <v>1100</v>
      </c>
      <c r="H263" t="s">
        <v>1367</v>
      </c>
    </row>
    <row r="264" spans="1:8" x14ac:dyDescent="0.2">
      <c r="A264" s="52" t="s">
        <v>1368</v>
      </c>
      <c r="B264" s="50">
        <v>44963.382511574076</v>
      </c>
      <c r="C264" s="52" t="s">
        <v>1368</v>
      </c>
      <c r="D264" s="50">
        <v>44963.412905092591</v>
      </c>
      <c r="E264" t="s">
        <v>725</v>
      </c>
      <c r="F264" s="51" t="s">
        <v>783</v>
      </c>
      <c r="G264" t="s">
        <v>718</v>
      </c>
    </row>
    <row r="265" spans="1:8" x14ac:dyDescent="0.2">
      <c r="A265" t="s">
        <v>1362</v>
      </c>
      <c r="B265" s="50">
        <v>44961.666666666664</v>
      </c>
      <c r="C265" t="s">
        <v>1362</v>
      </c>
      <c r="D265" s="50">
        <v>44963.703125</v>
      </c>
      <c r="E265" t="s">
        <v>1063</v>
      </c>
      <c r="F265" s="51" t="s">
        <v>707</v>
      </c>
      <c r="G265" t="s">
        <v>694</v>
      </c>
    </row>
    <row r="266" spans="1:8" x14ac:dyDescent="0.2">
      <c r="A266" t="s">
        <v>1369</v>
      </c>
      <c r="B266" s="50">
        <v>44963.555150462962</v>
      </c>
      <c r="C266" t="s">
        <v>1369</v>
      </c>
      <c r="D266" s="50">
        <v>44964.381874999999</v>
      </c>
      <c r="E266" t="s">
        <v>725</v>
      </c>
      <c r="F266" s="51" t="s">
        <v>707</v>
      </c>
      <c r="G266" t="s">
        <v>694</v>
      </c>
    </row>
    <row r="267" spans="1:8" x14ac:dyDescent="0.2">
      <c r="A267" t="s">
        <v>1370</v>
      </c>
      <c r="B267" s="50">
        <v>44963.555162037039</v>
      </c>
      <c r="C267" t="s">
        <v>1370</v>
      </c>
      <c r="D267" s="50">
        <v>44964.3828587963</v>
      </c>
      <c r="E267" t="s">
        <v>725</v>
      </c>
      <c r="F267" s="51" t="s">
        <v>707</v>
      </c>
      <c r="G267" t="s">
        <v>694</v>
      </c>
    </row>
    <row r="268" spans="1:8" x14ac:dyDescent="0.2">
      <c r="A268" t="s">
        <v>1371</v>
      </c>
      <c r="B268" s="50">
        <v>44963.597395833334</v>
      </c>
      <c r="C268" t="s">
        <v>1371</v>
      </c>
      <c r="D268" s="50">
        <v>44963.645891203705</v>
      </c>
      <c r="E268" t="s">
        <v>725</v>
      </c>
      <c r="F268" s="51" t="s">
        <v>707</v>
      </c>
      <c r="G268" t="s">
        <v>769</v>
      </c>
      <c r="H268" t="s">
        <v>734</v>
      </c>
    </row>
    <row r="269" spans="1:8" x14ac:dyDescent="0.2">
      <c r="A269" t="s">
        <v>1372</v>
      </c>
      <c r="B269" s="50">
        <v>44963.597418981481</v>
      </c>
      <c r="C269" t="s">
        <v>1372</v>
      </c>
      <c r="D269" s="50">
        <v>44963.601458333331</v>
      </c>
      <c r="E269" t="s">
        <v>725</v>
      </c>
      <c r="F269" s="51" t="s">
        <v>7</v>
      </c>
      <c r="G269" t="s">
        <v>694</v>
      </c>
      <c r="H269" t="s">
        <v>1373</v>
      </c>
    </row>
    <row r="270" spans="1:8" x14ac:dyDescent="0.2">
      <c r="A270" t="s">
        <v>1374</v>
      </c>
      <c r="B270" s="50">
        <v>44963.617280092592</v>
      </c>
      <c r="C270" t="s">
        <v>1374</v>
      </c>
      <c r="D270" s="50">
        <v>44963.639780092592</v>
      </c>
      <c r="E270" t="s">
        <v>725</v>
      </c>
      <c r="F270" s="51" t="s">
        <v>783</v>
      </c>
      <c r="G270" t="s">
        <v>694</v>
      </c>
      <c r="H270" t="s">
        <v>1375</v>
      </c>
    </row>
    <row r="271" spans="1:8" x14ac:dyDescent="0.2">
      <c r="A271" t="s">
        <v>1376</v>
      </c>
      <c r="B271" s="50">
        <v>44963.670057870368</v>
      </c>
      <c r="C271" t="s">
        <v>1376</v>
      </c>
      <c r="D271" s="50">
        <v>44963.707928240743</v>
      </c>
      <c r="E271" t="s">
        <v>725</v>
      </c>
      <c r="F271" s="51" t="s">
        <v>707</v>
      </c>
      <c r="G271" t="s">
        <v>769</v>
      </c>
      <c r="H271" t="s">
        <v>734</v>
      </c>
    </row>
    <row r="272" spans="1:8" x14ac:dyDescent="0.2">
      <c r="A272" t="s">
        <v>1377</v>
      </c>
      <c r="B272" s="50">
        <v>44964.381805555553</v>
      </c>
      <c r="C272" t="s">
        <v>1377</v>
      </c>
      <c r="D272" s="50">
        <v>44964.41269675926</v>
      </c>
      <c r="E272" t="s">
        <v>725</v>
      </c>
      <c r="F272" s="51" t="s">
        <v>707</v>
      </c>
      <c r="G272" t="s">
        <v>716</v>
      </c>
    </row>
    <row r="273" spans="1:8" x14ac:dyDescent="0.2">
      <c r="A273" t="s">
        <v>1378</v>
      </c>
      <c r="B273" s="50">
        <v>44964.38181712963</v>
      </c>
      <c r="C273" t="s">
        <v>1378</v>
      </c>
      <c r="D273" s="50">
        <v>44964.407141203701</v>
      </c>
      <c r="E273" t="s">
        <v>725</v>
      </c>
      <c r="F273" s="51" t="s">
        <v>707</v>
      </c>
      <c r="G273" t="s">
        <v>716</v>
      </c>
    </row>
    <row r="274" spans="1:8" x14ac:dyDescent="0.2">
      <c r="A274" t="s">
        <v>1379</v>
      </c>
      <c r="B274" s="50">
        <v>44964.381840277776</v>
      </c>
      <c r="C274" t="s">
        <v>1379</v>
      </c>
      <c r="D274" s="50">
        <v>44964.398946759262</v>
      </c>
      <c r="E274" t="s">
        <v>725</v>
      </c>
      <c r="F274" s="51" t="s">
        <v>783</v>
      </c>
      <c r="G274" t="s">
        <v>1112</v>
      </c>
      <c r="H274" t="s">
        <v>51</v>
      </c>
    </row>
    <row r="275" spans="1:8" x14ac:dyDescent="0.2">
      <c r="A275" t="s">
        <v>1380</v>
      </c>
      <c r="B275" s="50">
        <v>44964.381874999999</v>
      </c>
      <c r="C275" t="s">
        <v>1380</v>
      </c>
      <c r="D275" s="50">
        <v>44964.393506944441</v>
      </c>
      <c r="E275" t="s">
        <v>725</v>
      </c>
      <c r="F275" s="51" t="s">
        <v>707</v>
      </c>
      <c r="G275" t="s">
        <v>694</v>
      </c>
    </row>
    <row r="276" spans="1:8" x14ac:dyDescent="0.2">
      <c r="A276" t="s">
        <v>1381</v>
      </c>
      <c r="B276" s="50">
        <v>44964.381898148145</v>
      </c>
      <c r="C276" t="s">
        <v>1381</v>
      </c>
      <c r="D276" s="50">
        <v>44964.58185185185</v>
      </c>
      <c r="E276" t="s">
        <v>1063</v>
      </c>
      <c r="F276" s="51" t="s">
        <v>707</v>
      </c>
      <c r="G276" t="s">
        <v>694</v>
      </c>
      <c r="H276" t="s">
        <v>1382</v>
      </c>
    </row>
    <row r="277" spans="1:8" x14ac:dyDescent="0.2">
      <c r="A277" t="s">
        <v>1383</v>
      </c>
      <c r="B277" s="50">
        <v>44964.381909722222</v>
      </c>
      <c r="C277" t="s">
        <v>1383</v>
      </c>
      <c r="D277" s="50">
        <v>44964.479479166665</v>
      </c>
      <c r="E277" t="s">
        <v>725</v>
      </c>
      <c r="F277" s="51" t="s">
        <v>707</v>
      </c>
      <c r="G277" t="s">
        <v>1060</v>
      </c>
    </row>
    <row r="278" spans="1:8" x14ac:dyDescent="0.2">
      <c r="A278" t="s">
        <v>1384</v>
      </c>
      <c r="B278" s="50">
        <v>44964.381932870368</v>
      </c>
      <c r="C278" t="s">
        <v>1384</v>
      </c>
      <c r="D278" s="50">
        <v>44964.424004629633</v>
      </c>
      <c r="E278" t="s">
        <v>725</v>
      </c>
      <c r="F278" s="51" t="s">
        <v>707</v>
      </c>
      <c r="G278" t="s">
        <v>1060</v>
      </c>
    </row>
    <row r="279" spans="1:8" x14ac:dyDescent="0.2">
      <c r="A279" t="s">
        <v>1385</v>
      </c>
      <c r="B279" s="50">
        <v>44964.381944444445</v>
      </c>
      <c r="C279" t="s">
        <v>1385</v>
      </c>
      <c r="D279" s="50">
        <v>44964.422164351854</v>
      </c>
      <c r="E279" t="s">
        <v>725</v>
      </c>
      <c r="F279" s="51" t="s">
        <v>707</v>
      </c>
      <c r="G279" t="s">
        <v>1060</v>
      </c>
    </row>
    <row r="280" spans="1:8" x14ac:dyDescent="0.2">
      <c r="A280" t="s">
        <v>1386</v>
      </c>
      <c r="B280" s="50">
        <v>44964.381967592592</v>
      </c>
      <c r="C280" t="s">
        <v>1386</v>
      </c>
      <c r="D280" s="50">
        <v>44964.417430555557</v>
      </c>
      <c r="E280" t="s">
        <v>725</v>
      </c>
      <c r="F280" s="51" t="s">
        <v>707</v>
      </c>
      <c r="G280" t="s">
        <v>1060</v>
      </c>
    </row>
    <row r="281" spans="1:8" x14ac:dyDescent="0.2">
      <c r="A281" t="s">
        <v>1387</v>
      </c>
      <c r="B281" s="50">
        <v>44964.381990740738</v>
      </c>
      <c r="C281" t="s">
        <v>1387</v>
      </c>
      <c r="D281" s="50">
        <v>44964.39334490741</v>
      </c>
      <c r="E281" t="s">
        <v>725</v>
      </c>
      <c r="F281" s="51" t="s">
        <v>707</v>
      </c>
      <c r="G281" t="s">
        <v>769</v>
      </c>
    </row>
    <row r="282" spans="1:8" x14ac:dyDescent="0.2">
      <c r="A282" t="s">
        <v>1388</v>
      </c>
      <c r="B282" s="50">
        <v>44964.544976851852</v>
      </c>
      <c r="C282" t="s">
        <v>1388</v>
      </c>
      <c r="D282" s="50">
        <v>44964.545416666668</v>
      </c>
      <c r="E282" t="s">
        <v>1063</v>
      </c>
      <c r="F282" s="51" t="s">
        <v>707</v>
      </c>
      <c r="G282" t="s">
        <v>1062</v>
      </c>
      <c r="H282" t="s">
        <v>1389</v>
      </c>
    </row>
    <row r="283" spans="1:8" x14ac:dyDescent="0.2">
      <c r="A283" s="52" t="s">
        <v>1390</v>
      </c>
      <c r="B283" s="50">
        <v>44964.611990740741</v>
      </c>
      <c r="C283" s="52" t="s">
        <v>1390</v>
      </c>
      <c r="D283" s="50">
        <v>44964.616840277777</v>
      </c>
      <c r="E283" t="s">
        <v>1063</v>
      </c>
      <c r="F283" s="51" t="s">
        <v>7</v>
      </c>
      <c r="G283" t="s">
        <v>694</v>
      </c>
      <c r="H283" t="s">
        <v>1391</v>
      </c>
    </row>
    <row r="284" spans="1:8" x14ac:dyDescent="0.2">
      <c r="A284" t="s">
        <v>1392</v>
      </c>
      <c r="B284" s="50">
        <v>44964.634733796294</v>
      </c>
      <c r="C284" t="s">
        <v>1392</v>
      </c>
      <c r="D284" s="50">
        <v>44964.673854166664</v>
      </c>
      <c r="E284" t="s">
        <v>1063</v>
      </c>
      <c r="F284" s="51" t="s">
        <v>707</v>
      </c>
      <c r="G284" t="s">
        <v>716</v>
      </c>
    </row>
    <row r="285" spans="1:8" x14ac:dyDescent="0.2">
      <c r="A285" t="s">
        <v>1393</v>
      </c>
      <c r="B285" s="50">
        <v>44965.387256944443</v>
      </c>
      <c r="C285" t="s">
        <v>1393</v>
      </c>
      <c r="D285" s="50">
        <v>44965.406724537039</v>
      </c>
      <c r="E285" t="s">
        <v>725</v>
      </c>
      <c r="F285" s="51" t="s">
        <v>707</v>
      </c>
      <c r="G285" t="s">
        <v>1054</v>
      </c>
      <c r="H285" t="s">
        <v>861</v>
      </c>
    </row>
    <row r="286" spans="1:8" x14ac:dyDescent="0.2">
      <c r="A286" t="s">
        <v>1394</v>
      </c>
      <c r="B286" s="50">
        <v>44965.38726851852</v>
      </c>
      <c r="C286" t="s">
        <v>1394</v>
      </c>
      <c r="D286" s="50">
        <v>44965.402557870373</v>
      </c>
      <c r="E286" t="s">
        <v>725</v>
      </c>
      <c r="F286" s="51" t="s">
        <v>707</v>
      </c>
      <c r="G286" t="s">
        <v>716</v>
      </c>
    </row>
    <row r="287" spans="1:8" x14ac:dyDescent="0.2">
      <c r="A287" t="s">
        <v>1395</v>
      </c>
      <c r="B287" s="50">
        <v>44965.387291666666</v>
      </c>
      <c r="C287" t="s">
        <v>1395</v>
      </c>
      <c r="D287" s="50">
        <v>44965.690046296295</v>
      </c>
      <c r="E287" t="s">
        <v>725</v>
      </c>
      <c r="F287" s="51" t="s">
        <v>783</v>
      </c>
      <c r="G287" t="s">
        <v>1112</v>
      </c>
    </row>
    <row r="288" spans="1:8" x14ac:dyDescent="0.2">
      <c r="A288" t="s">
        <v>1396</v>
      </c>
      <c r="B288" s="50">
        <v>44965.387303240743</v>
      </c>
      <c r="C288" t="s">
        <v>1396</v>
      </c>
      <c r="D288" s="50">
        <v>44965.418773148151</v>
      </c>
      <c r="E288" t="s">
        <v>725</v>
      </c>
      <c r="F288" s="51" t="s">
        <v>707</v>
      </c>
      <c r="G288" t="s">
        <v>1060</v>
      </c>
    </row>
    <row r="289" spans="1:8" x14ac:dyDescent="0.2">
      <c r="A289" t="s">
        <v>1397</v>
      </c>
      <c r="B289" s="50">
        <v>44965.387314814812</v>
      </c>
      <c r="C289" t="s">
        <v>1397</v>
      </c>
      <c r="D289" s="50">
        <v>44965.416296296295</v>
      </c>
      <c r="E289" t="s">
        <v>725</v>
      </c>
      <c r="F289" s="51" t="s">
        <v>707</v>
      </c>
      <c r="G289" t="s">
        <v>1060</v>
      </c>
    </row>
    <row r="290" spans="1:8" x14ac:dyDescent="0.2">
      <c r="A290" t="s">
        <v>1398</v>
      </c>
      <c r="B290" s="50">
        <v>44965.387337962966</v>
      </c>
      <c r="C290" t="s">
        <v>1398</v>
      </c>
      <c r="D290" s="50">
        <v>44965.414861111109</v>
      </c>
      <c r="E290" t="s">
        <v>725</v>
      </c>
      <c r="F290" s="51" t="s">
        <v>707</v>
      </c>
      <c r="G290" t="s">
        <v>1060</v>
      </c>
    </row>
    <row r="291" spans="1:8" x14ac:dyDescent="0.2">
      <c r="A291" t="s">
        <v>1399</v>
      </c>
      <c r="B291" s="50">
        <v>44965.387372685182</v>
      </c>
      <c r="C291" t="s">
        <v>1399</v>
      </c>
      <c r="D291" s="50">
        <v>44965.413310185184</v>
      </c>
      <c r="E291" t="s">
        <v>725</v>
      </c>
      <c r="F291" s="51" t="s">
        <v>707</v>
      </c>
      <c r="G291" t="s">
        <v>1060</v>
      </c>
    </row>
    <row r="292" spans="1:8" x14ac:dyDescent="0.2">
      <c r="A292" t="s">
        <v>1400</v>
      </c>
      <c r="B292" s="50">
        <v>44965.387418981481</v>
      </c>
      <c r="C292" t="s">
        <v>1400</v>
      </c>
      <c r="D292" s="50">
        <v>44965.411030092589</v>
      </c>
      <c r="E292" t="s">
        <v>725</v>
      </c>
      <c r="F292" s="51" t="s">
        <v>707</v>
      </c>
      <c r="G292" t="s">
        <v>769</v>
      </c>
    </row>
    <row r="293" spans="1:8" x14ac:dyDescent="0.2">
      <c r="A293" t="s">
        <v>1401</v>
      </c>
      <c r="B293" s="50">
        <v>44965.634560185186</v>
      </c>
      <c r="C293" t="s">
        <v>1401</v>
      </c>
      <c r="D293" s="50">
        <v>44965.709050925929</v>
      </c>
      <c r="E293" t="s">
        <v>725</v>
      </c>
      <c r="F293" s="51" t="s">
        <v>707</v>
      </c>
      <c r="G293" t="s">
        <v>1058</v>
      </c>
      <c r="H293" t="s">
        <v>1402</v>
      </c>
    </row>
    <row r="294" spans="1:8" x14ac:dyDescent="0.2">
      <c r="A294" t="s">
        <v>1403</v>
      </c>
      <c r="B294" s="50">
        <v>44965.634571759256</v>
      </c>
      <c r="C294" t="s">
        <v>1403</v>
      </c>
      <c r="D294" s="50">
        <v>44965.699780092589</v>
      </c>
      <c r="E294" t="s">
        <v>725</v>
      </c>
      <c r="F294" t="s">
        <v>707</v>
      </c>
      <c r="G294" t="s">
        <v>1058</v>
      </c>
      <c r="H294" t="s">
        <v>1402</v>
      </c>
    </row>
    <row r="295" spans="1:8" x14ac:dyDescent="0.2">
      <c r="A295" t="s">
        <v>1404</v>
      </c>
      <c r="B295" s="50">
        <v>44966.389814814815</v>
      </c>
      <c r="C295" t="s">
        <v>1404</v>
      </c>
      <c r="D295" s="50">
        <v>44966.715069444443</v>
      </c>
      <c r="E295" t="s">
        <v>725</v>
      </c>
      <c r="F295" s="51" t="s">
        <v>707</v>
      </c>
      <c r="G295" t="s">
        <v>1100</v>
      </c>
    </row>
    <row r="296" spans="1:8" x14ac:dyDescent="0.2">
      <c r="A296" t="s">
        <v>1405</v>
      </c>
      <c r="B296" s="50">
        <v>44966.389837962961</v>
      </c>
      <c r="C296" t="s">
        <v>1405</v>
      </c>
      <c r="D296" s="50">
        <v>44966.709398148145</v>
      </c>
      <c r="E296" t="s">
        <v>725</v>
      </c>
      <c r="F296" s="51" t="s">
        <v>707</v>
      </c>
      <c r="G296" t="s">
        <v>1054</v>
      </c>
      <c r="H296" t="s">
        <v>1406</v>
      </c>
    </row>
    <row r="297" spans="1:8" x14ac:dyDescent="0.2">
      <c r="A297" t="s">
        <v>1407</v>
      </c>
      <c r="B297" s="50">
        <v>44966.389872685184</v>
      </c>
      <c r="C297" t="s">
        <v>1407</v>
      </c>
      <c r="D297" s="50">
        <v>44967.453935185185</v>
      </c>
      <c r="E297" t="s">
        <v>725</v>
      </c>
      <c r="F297" s="51" t="s">
        <v>707</v>
      </c>
      <c r="G297" t="s">
        <v>769</v>
      </c>
      <c r="H297" t="s">
        <v>1408</v>
      </c>
    </row>
    <row r="298" spans="1:8" x14ac:dyDescent="0.2">
      <c r="A298" t="s">
        <v>1409</v>
      </c>
      <c r="B298" s="50">
        <v>44966.38989583333</v>
      </c>
      <c r="C298" t="s">
        <v>1409</v>
      </c>
      <c r="D298" s="50">
        <v>44967.450243055559</v>
      </c>
      <c r="E298" t="s">
        <v>725</v>
      </c>
      <c r="F298" s="51" t="s">
        <v>707</v>
      </c>
      <c r="G298" t="s">
        <v>769</v>
      </c>
      <c r="H298" t="s">
        <v>1408</v>
      </c>
    </row>
    <row r="299" spans="1:8" x14ac:dyDescent="0.2">
      <c r="A299" t="s">
        <v>1410</v>
      </c>
      <c r="B299" s="50">
        <v>44966.389918981484</v>
      </c>
      <c r="C299" t="s">
        <v>1410</v>
      </c>
      <c r="D299" s="50">
        <v>44967.44736111111</v>
      </c>
      <c r="E299" t="s">
        <v>725</v>
      </c>
      <c r="F299" s="51" t="s">
        <v>1411</v>
      </c>
      <c r="G299" t="s">
        <v>769</v>
      </c>
      <c r="H299" t="s">
        <v>1408</v>
      </c>
    </row>
    <row r="300" spans="1:8" x14ac:dyDescent="0.2">
      <c r="A300" t="s">
        <v>1412</v>
      </c>
      <c r="B300" s="50">
        <v>44966.55777777778</v>
      </c>
      <c r="C300" t="s">
        <v>1412</v>
      </c>
      <c r="D300" s="50">
        <v>44966.619664351849</v>
      </c>
      <c r="E300" t="s">
        <v>725</v>
      </c>
      <c r="F300" s="51" t="s">
        <v>783</v>
      </c>
      <c r="G300" t="s">
        <v>1059</v>
      </c>
    </row>
    <row r="301" spans="1:8" x14ac:dyDescent="0.2">
      <c r="A301" s="52"/>
      <c r="C301" s="52"/>
    </row>
    <row r="320" spans="1:3" ht="14.25" customHeight="1" x14ac:dyDescent="0.2">
      <c r="A320" s="52"/>
      <c r="C320" s="52"/>
    </row>
    <row r="321" spans="3:3" ht="14.25" customHeight="1" x14ac:dyDescent="0.2">
      <c r="C321" s="52"/>
    </row>
    <row r="322" spans="3:3" ht="14.25" customHeight="1" x14ac:dyDescent="0.2"/>
    <row r="323" spans="3:3" ht="14.25" customHeight="1" x14ac:dyDescent="0.2"/>
    <row r="324" spans="3:3" ht="14.25" customHeight="1" x14ac:dyDescent="0.2"/>
    <row r="358" spans="1:3" x14ac:dyDescent="0.2">
      <c r="A358" s="8"/>
      <c r="C358" s="8"/>
    </row>
    <row r="392" spans="1:3" x14ac:dyDescent="0.2">
      <c r="A392" s="52"/>
      <c r="C392" s="52"/>
    </row>
    <row r="399" spans="1:3" x14ac:dyDescent="0.2">
      <c r="A399" s="55"/>
      <c r="C399" s="55"/>
    </row>
    <row r="421" spans="1:3" x14ac:dyDescent="0.2">
      <c r="A421" s="66"/>
      <c r="C421" s="66"/>
    </row>
    <row r="422" spans="1:3" x14ac:dyDescent="0.2">
      <c r="A422" s="66"/>
      <c r="C422" s="66"/>
    </row>
    <row r="423" spans="1:3" x14ac:dyDescent="0.2">
      <c r="A423" s="66"/>
      <c r="C423" s="66"/>
    </row>
    <row r="424" spans="1:3" x14ac:dyDescent="0.2">
      <c r="A424" s="66"/>
      <c r="C424" s="66"/>
    </row>
    <row r="425" spans="1:3" x14ac:dyDescent="0.2">
      <c r="A425" s="66"/>
      <c r="C425" s="66"/>
    </row>
    <row r="426" spans="1:3" x14ac:dyDescent="0.2">
      <c r="A426" s="66"/>
      <c r="C426" s="66"/>
    </row>
    <row r="427" spans="1:3" x14ac:dyDescent="0.2">
      <c r="A427" s="66"/>
      <c r="C427" s="66"/>
    </row>
    <row r="428" spans="1:3" x14ac:dyDescent="0.2">
      <c r="A428" s="66"/>
      <c r="C428" s="66"/>
    </row>
    <row r="429" spans="1:3" x14ac:dyDescent="0.2">
      <c r="A429" s="66"/>
      <c r="C429" s="66"/>
    </row>
    <row r="430" spans="1:3" x14ac:dyDescent="0.2">
      <c r="A430" s="66"/>
      <c r="C430" s="66"/>
    </row>
    <row r="431" spans="1:3" x14ac:dyDescent="0.2">
      <c r="A431" s="66"/>
      <c r="C431" s="66"/>
    </row>
    <row r="432" spans="1:3" x14ac:dyDescent="0.2">
      <c r="A432" s="66"/>
      <c r="C432" s="66"/>
    </row>
    <row r="433" spans="1:3" x14ac:dyDescent="0.2">
      <c r="A433" s="66"/>
      <c r="C433" s="66"/>
    </row>
    <row r="434" spans="1:3" x14ac:dyDescent="0.2">
      <c r="A434" s="66"/>
    </row>
    <row r="435" spans="1:3" x14ac:dyDescent="0.2">
      <c r="A435" s="66"/>
      <c r="C435" s="66"/>
    </row>
    <row r="436" spans="1:3" x14ac:dyDescent="0.2">
      <c r="A436" s="66"/>
      <c r="C436" s="66"/>
    </row>
    <row r="437" spans="1:3" x14ac:dyDescent="0.2">
      <c r="A437" s="66"/>
      <c r="C437" s="66"/>
    </row>
    <row r="438" spans="1:3" x14ac:dyDescent="0.2">
      <c r="A438" s="66"/>
      <c r="C438" s="66"/>
    </row>
    <row r="439" spans="1:3" x14ac:dyDescent="0.2">
      <c r="A439" s="78"/>
      <c r="C439" s="78"/>
    </row>
    <row r="440" spans="1:3" x14ac:dyDescent="0.2">
      <c r="A440" s="66"/>
      <c r="C440" s="66"/>
    </row>
    <row r="441" spans="1:3" x14ac:dyDescent="0.2">
      <c r="A441" s="66"/>
      <c r="C441" s="66"/>
    </row>
    <row r="442" spans="1:3" x14ac:dyDescent="0.2">
      <c r="A442" s="66"/>
      <c r="C442" s="66"/>
    </row>
    <row r="443" spans="1:3" x14ac:dyDescent="0.2">
      <c r="A443" s="66"/>
      <c r="C443" s="66"/>
    </row>
    <row r="444" spans="1:3" x14ac:dyDescent="0.2">
      <c r="A444" s="66"/>
      <c r="C444" s="66"/>
    </row>
    <row r="445" spans="1:3" x14ac:dyDescent="0.2">
      <c r="A445" s="66"/>
      <c r="C445" s="66"/>
    </row>
    <row r="446" spans="1:3" x14ac:dyDescent="0.2">
      <c r="A446" s="66"/>
      <c r="C446" s="66"/>
    </row>
    <row r="447" spans="1:3" x14ac:dyDescent="0.2">
      <c r="A447" s="66"/>
      <c r="C447" s="66"/>
    </row>
    <row r="448" spans="1:3" x14ac:dyDescent="0.2">
      <c r="A448" s="66"/>
      <c r="C448" s="66"/>
    </row>
    <row r="449" spans="1:3" x14ac:dyDescent="0.2">
      <c r="A449" s="66"/>
      <c r="C449" s="66"/>
    </row>
    <row r="450" spans="1:3" x14ac:dyDescent="0.2">
      <c r="A450" s="66"/>
      <c r="C450" s="66"/>
    </row>
    <row r="451" spans="1:3" x14ac:dyDescent="0.2">
      <c r="A451" s="66"/>
      <c r="C451" s="66"/>
    </row>
    <row r="452" spans="1:3" x14ac:dyDescent="0.2">
      <c r="A452" s="66"/>
      <c r="C452" s="66"/>
    </row>
    <row r="453" spans="1:3" x14ac:dyDescent="0.2">
      <c r="A453" s="66"/>
      <c r="C453" s="66"/>
    </row>
    <row r="454" spans="1:3" x14ac:dyDescent="0.2">
      <c r="A454" s="66"/>
      <c r="C454" s="66"/>
    </row>
    <row r="455" spans="1:3" x14ac:dyDescent="0.2">
      <c r="A455" s="66"/>
      <c r="C455" s="66"/>
    </row>
    <row r="456" spans="1:3" x14ac:dyDescent="0.2">
      <c r="A456" s="66"/>
      <c r="C456" s="66"/>
    </row>
    <row r="457" spans="1:3" x14ac:dyDescent="0.2">
      <c r="A457" s="66"/>
      <c r="C457" s="66"/>
    </row>
    <row r="458" spans="1:3" x14ac:dyDescent="0.2">
      <c r="A458" s="66"/>
      <c r="C458" s="66"/>
    </row>
    <row r="459" spans="1:3" x14ac:dyDescent="0.2">
      <c r="A459" s="66"/>
      <c r="C459" s="66"/>
    </row>
    <row r="460" spans="1:3" x14ac:dyDescent="0.2">
      <c r="A460" s="66"/>
      <c r="C460" s="66"/>
    </row>
    <row r="461" spans="1:3" x14ac:dyDescent="0.2">
      <c r="A461" s="66"/>
      <c r="C461" s="66"/>
    </row>
    <row r="462" spans="1:3" x14ac:dyDescent="0.2">
      <c r="A462" s="66"/>
      <c r="C462" s="66"/>
    </row>
    <row r="463" spans="1:3" x14ac:dyDescent="0.2">
      <c r="A463" s="66"/>
      <c r="C463" s="66"/>
    </row>
    <row r="464" spans="1:3" x14ac:dyDescent="0.2">
      <c r="A464" s="66"/>
      <c r="C464" s="66"/>
    </row>
    <row r="465" spans="1:3" x14ac:dyDescent="0.2">
      <c r="A465" s="66"/>
      <c r="C465" s="66"/>
    </row>
    <row r="466" spans="1:3" x14ac:dyDescent="0.2">
      <c r="A466" s="66"/>
      <c r="C466" s="66"/>
    </row>
    <row r="467" spans="1:3" x14ac:dyDescent="0.2">
      <c r="A467" s="66"/>
      <c r="C467" s="66"/>
    </row>
    <row r="468" spans="1:3" x14ac:dyDescent="0.2">
      <c r="A468" s="66"/>
      <c r="C468" s="66"/>
    </row>
    <row r="469" spans="1:3" x14ac:dyDescent="0.2">
      <c r="A469" s="66"/>
      <c r="C469" s="66"/>
    </row>
    <row r="470" spans="1:3" x14ac:dyDescent="0.2">
      <c r="A470" s="66"/>
      <c r="C470" s="66"/>
    </row>
    <row r="471" spans="1:3" x14ac:dyDescent="0.2">
      <c r="A471" s="66"/>
      <c r="C471" s="66"/>
    </row>
    <row r="472" spans="1:3" x14ac:dyDescent="0.2">
      <c r="A472" s="66"/>
      <c r="C472" s="66"/>
    </row>
    <row r="473" spans="1:3" x14ac:dyDescent="0.2">
      <c r="A473" s="66"/>
      <c r="C473" s="66"/>
    </row>
    <row r="474" spans="1:3" x14ac:dyDescent="0.2">
      <c r="A474" s="66"/>
      <c r="C474" s="66"/>
    </row>
    <row r="475" spans="1:3" x14ac:dyDescent="0.2">
      <c r="A475" s="66"/>
      <c r="C475" s="66"/>
    </row>
    <row r="476" spans="1:3" x14ac:dyDescent="0.2">
      <c r="A476" s="66"/>
      <c r="C476" s="66"/>
    </row>
    <row r="477" spans="1:3" x14ac:dyDescent="0.2">
      <c r="A477" s="66"/>
      <c r="C477" s="66"/>
    </row>
    <row r="478" spans="1:3" x14ac:dyDescent="0.2">
      <c r="A478" s="66"/>
    </row>
    <row r="479" spans="1:3" x14ac:dyDescent="0.2">
      <c r="A479" s="66"/>
      <c r="C479" s="66"/>
    </row>
    <row r="480" spans="1:3" x14ac:dyDescent="0.2">
      <c r="A480" s="66"/>
      <c r="C480" s="66"/>
    </row>
    <row r="481" spans="1:8" x14ac:dyDescent="0.2">
      <c r="A481" s="66"/>
      <c r="C481" s="66"/>
    </row>
    <row r="482" spans="1:8" x14ac:dyDescent="0.2">
      <c r="A482" s="66"/>
      <c r="C482" s="66"/>
    </row>
    <row r="483" spans="1:8" x14ac:dyDescent="0.2">
      <c r="A483" s="66"/>
      <c r="C483" s="66"/>
    </row>
    <row r="484" spans="1:8" x14ac:dyDescent="0.2">
      <c r="A484" s="66"/>
      <c r="C484" s="66"/>
    </row>
    <row r="485" spans="1:8" x14ac:dyDescent="0.2">
      <c r="A485" s="66"/>
      <c r="C485" s="66"/>
    </row>
    <row r="486" spans="1:8" x14ac:dyDescent="0.2">
      <c r="A486" s="66"/>
    </row>
    <row r="487" spans="1:8" x14ac:dyDescent="0.2">
      <c r="A487" s="66"/>
    </row>
    <row r="488" spans="1:8" x14ac:dyDescent="0.2">
      <c r="A488" s="66"/>
      <c r="C488" s="66"/>
    </row>
    <row r="489" spans="1:8" x14ac:dyDescent="0.2">
      <c r="A489" s="66"/>
      <c r="C489" s="66"/>
    </row>
    <row r="490" spans="1:8" x14ac:dyDescent="0.2">
      <c r="A490" s="66"/>
      <c r="C490" s="66"/>
    </row>
    <row r="491" spans="1:8" x14ac:dyDescent="0.2">
      <c r="A491" s="66"/>
      <c r="C491" s="66"/>
    </row>
    <row r="492" spans="1:8" x14ac:dyDescent="0.2">
      <c r="A492" s="66"/>
      <c r="C492" s="66"/>
      <c r="H492" s="73"/>
    </row>
    <row r="493" spans="1:8" x14ac:dyDescent="0.2">
      <c r="A493" s="66"/>
      <c r="C493" s="66"/>
    </row>
    <row r="494" spans="1:8" x14ac:dyDescent="0.2">
      <c r="A494" s="66"/>
      <c r="C494" s="66"/>
    </row>
    <row r="495" spans="1:8" x14ac:dyDescent="0.2">
      <c r="A495" s="66"/>
      <c r="C495" s="66"/>
    </row>
    <row r="496" spans="1:8" x14ac:dyDescent="0.2">
      <c r="A496" s="66"/>
      <c r="C496" s="66"/>
    </row>
    <row r="497" spans="1:3" x14ac:dyDescent="0.2">
      <c r="A497" s="66"/>
      <c r="C497" s="66"/>
    </row>
    <row r="498" spans="1:3" x14ac:dyDescent="0.2">
      <c r="A498" s="66"/>
      <c r="C498" s="66"/>
    </row>
    <row r="499" spans="1:3" x14ac:dyDescent="0.2">
      <c r="A499" s="66"/>
      <c r="C499" s="66"/>
    </row>
    <row r="500" spans="1:3" x14ac:dyDescent="0.2">
      <c r="A500" s="66"/>
      <c r="C500" s="66"/>
    </row>
    <row r="501" spans="1:3" x14ac:dyDescent="0.2">
      <c r="A501" s="66"/>
      <c r="C501" s="66"/>
    </row>
    <row r="502" spans="1:3" x14ac:dyDescent="0.2">
      <c r="A502" s="66"/>
      <c r="C502" s="66"/>
    </row>
    <row r="503" spans="1:3" x14ac:dyDescent="0.2">
      <c r="A503" s="60"/>
      <c r="C503" s="60"/>
    </row>
    <row r="504" spans="1:3" x14ac:dyDescent="0.2">
      <c r="A504" s="55"/>
      <c r="C504" s="55"/>
    </row>
    <row r="505" spans="1:3" x14ac:dyDescent="0.2">
      <c r="A505" s="66"/>
      <c r="C505" s="66"/>
    </row>
    <row r="506" spans="1:3" x14ac:dyDescent="0.2">
      <c r="A506" s="66"/>
      <c r="C506" s="66"/>
    </row>
    <row r="507" spans="1:3" x14ac:dyDescent="0.2">
      <c r="A507" s="66"/>
      <c r="C507" s="66"/>
    </row>
    <row r="508" spans="1:3" x14ac:dyDescent="0.2">
      <c r="A508" s="66"/>
      <c r="C508" s="66"/>
    </row>
    <row r="509" spans="1:3" x14ac:dyDescent="0.2">
      <c r="A509" s="66"/>
      <c r="C509" s="66"/>
    </row>
    <row r="510" spans="1:3" x14ac:dyDescent="0.2">
      <c r="A510" s="66"/>
      <c r="C510" s="66"/>
    </row>
    <row r="511" spans="1:3" x14ac:dyDescent="0.2">
      <c r="A511" s="66"/>
      <c r="C511" s="66"/>
    </row>
    <row r="512" spans="1:3" x14ac:dyDescent="0.2">
      <c r="A512" s="66"/>
      <c r="C512" s="66"/>
    </row>
    <row r="513" spans="1:3" x14ac:dyDescent="0.2">
      <c r="A513" s="66"/>
      <c r="C513" s="66"/>
    </row>
    <row r="514" spans="1:3" x14ac:dyDescent="0.2">
      <c r="A514" s="66"/>
      <c r="C514" s="66"/>
    </row>
    <row r="515" spans="1:3" x14ac:dyDescent="0.2">
      <c r="A515" s="66"/>
      <c r="C515" s="66"/>
    </row>
    <row r="516" spans="1:3" x14ac:dyDescent="0.2">
      <c r="A516" s="66"/>
      <c r="C516" s="66"/>
    </row>
    <row r="517" spans="1:3" x14ac:dyDescent="0.2">
      <c r="A517" s="66"/>
      <c r="C517" s="66"/>
    </row>
    <row r="518" spans="1:3" ht="15" x14ac:dyDescent="0.2">
      <c r="A518" s="70"/>
      <c r="C518" s="70"/>
    </row>
    <row r="529" spans="1:8" x14ac:dyDescent="0.2">
      <c r="A529" s="55"/>
      <c r="C529" s="55"/>
    </row>
    <row r="539" spans="1:8" x14ac:dyDescent="0.2">
      <c r="H539" s="73"/>
    </row>
    <row r="543" spans="1:8" x14ac:dyDescent="0.2">
      <c r="A543" s="55"/>
      <c r="C543" s="55"/>
    </row>
    <row r="544" spans="1:8" x14ac:dyDescent="0.2">
      <c r="A544" s="55"/>
      <c r="C544" s="55"/>
    </row>
    <row r="559" ht="14.25" customHeight="1" x14ac:dyDescent="0.2"/>
    <row r="571" spans="1:3" ht="15.75" customHeight="1" x14ac:dyDescent="0.2">
      <c r="A571" s="78"/>
      <c r="C571" s="78"/>
    </row>
    <row r="572" spans="1:3" x14ac:dyDescent="0.2">
      <c r="A572" s="78"/>
      <c r="C572" s="78"/>
    </row>
    <row r="573" spans="1:3" x14ac:dyDescent="0.2">
      <c r="A573" s="78"/>
      <c r="C573" s="78"/>
    </row>
    <row r="574" spans="1:3" x14ac:dyDescent="0.2">
      <c r="A574" s="78"/>
      <c r="C574" s="78"/>
    </row>
    <row r="575" spans="1:3" x14ac:dyDescent="0.2">
      <c r="A575" s="66"/>
      <c r="C575" s="66"/>
    </row>
    <row r="576" spans="1:3" x14ac:dyDescent="0.2">
      <c r="A576" s="66"/>
      <c r="C576" s="66"/>
    </row>
    <row r="577" spans="1:3" x14ac:dyDescent="0.2">
      <c r="A577" s="66"/>
      <c r="C577" s="66"/>
    </row>
    <row r="578" spans="1:3" x14ac:dyDescent="0.2">
      <c r="A578" s="66"/>
      <c r="C578" s="66"/>
    </row>
    <row r="579" spans="1:3" x14ac:dyDescent="0.2">
      <c r="A579" s="66"/>
      <c r="C579" s="66"/>
    </row>
    <row r="580" spans="1:3" x14ac:dyDescent="0.2">
      <c r="A580" s="66"/>
      <c r="C580" s="66"/>
    </row>
    <row r="581" spans="1:3" x14ac:dyDescent="0.2">
      <c r="A581" s="66"/>
      <c r="C581" s="66"/>
    </row>
    <row r="582" spans="1:3" x14ac:dyDescent="0.2">
      <c r="A582" s="66"/>
      <c r="C582" s="66"/>
    </row>
    <row r="583" spans="1:3" x14ac:dyDescent="0.2">
      <c r="A583" s="66"/>
      <c r="C583" s="66"/>
    </row>
    <row r="584" spans="1:3" x14ac:dyDescent="0.2">
      <c r="A584" s="66"/>
    </row>
    <row r="585" spans="1:3" x14ac:dyDescent="0.2">
      <c r="A585" s="66"/>
    </row>
    <row r="586" spans="1:3" x14ac:dyDescent="0.2">
      <c r="A586" s="66"/>
    </row>
    <row r="587" spans="1:3" x14ac:dyDescent="0.2">
      <c r="A587" s="66"/>
    </row>
    <row r="588" spans="1:3" x14ac:dyDescent="0.2">
      <c r="A588" s="66"/>
    </row>
    <row r="589" spans="1:3" x14ac:dyDescent="0.2">
      <c r="A589" s="66"/>
      <c r="C589" s="66"/>
    </row>
    <row r="590" spans="1:3" x14ac:dyDescent="0.2">
      <c r="A590" s="66"/>
      <c r="C590" s="66"/>
    </row>
    <row r="591" spans="1:3" x14ac:dyDescent="0.2">
      <c r="A591" s="66"/>
      <c r="C591" s="66"/>
    </row>
    <row r="592" spans="1:3" x14ac:dyDescent="0.2">
      <c r="A592" s="66"/>
      <c r="C592" s="66"/>
    </row>
    <row r="593" spans="1:5" x14ac:dyDescent="0.2">
      <c r="A593" s="66"/>
      <c r="C593" s="66"/>
      <c r="E593" s="65"/>
    </row>
    <row r="594" spans="1:5" x14ac:dyDescent="0.2">
      <c r="A594" s="66"/>
      <c r="C594" s="66"/>
    </row>
    <row r="595" spans="1:5" x14ac:dyDescent="0.2">
      <c r="A595" s="66"/>
      <c r="C595" s="66"/>
    </row>
    <row r="596" spans="1:5" x14ac:dyDescent="0.2">
      <c r="A596" s="66"/>
      <c r="C596" s="66"/>
    </row>
    <row r="597" spans="1:5" x14ac:dyDescent="0.2">
      <c r="A597" s="66"/>
      <c r="C597" s="66"/>
    </row>
    <row r="598" spans="1:5" x14ac:dyDescent="0.2">
      <c r="A598" s="66"/>
      <c r="C598" s="66"/>
    </row>
    <row r="599" spans="1:5" x14ac:dyDescent="0.2">
      <c r="A599" s="66"/>
      <c r="C599" s="66"/>
    </row>
    <row r="600" spans="1:5" x14ac:dyDescent="0.2">
      <c r="A600" s="66"/>
      <c r="C600" s="66"/>
    </row>
    <row r="601" spans="1:5" x14ac:dyDescent="0.2">
      <c r="A601" s="66"/>
      <c r="C601" s="66"/>
    </row>
    <row r="602" spans="1:5" x14ac:dyDescent="0.2">
      <c r="A602" s="66"/>
      <c r="C602" s="66"/>
    </row>
    <row r="603" spans="1:5" x14ac:dyDescent="0.2">
      <c r="A603" s="66"/>
      <c r="C603" s="66"/>
    </row>
    <row r="604" spans="1:5" x14ac:dyDescent="0.2">
      <c r="A604" s="66"/>
      <c r="C604" s="66"/>
    </row>
    <row r="605" spans="1:5" x14ac:dyDescent="0.2">
      <c r="A605" s="66"/>
      <c r="C605" s="66"/>
    </row>
    <row r="606" spans="1:5" x14ac:dyDescent="0.2">
      <c r="A606" s="66"/>
      <c r="C606" s="66"/>
    </row>
    <row r="607" spans="1:5" x14ac:dyDescent="0.2">
      <c r="A607" s="66"/>
      <c r="C607" s="66"/>
    </row>
    <row r="608" spans="1:5" x14ac:dyDescent="0.2">
      <c r="A608" s="66"/>
      <c r="C608" s="66"/>
    </row>
    <row r="609" spans="1:3" x14ac:dyDescent="0.2">
      <c r="A609" s="66"/>
      <c r="C609" s="66"/>
    </row>
    <row r="610" spans="1:3" x14ac:dyDescent="0.2">
      <c r="A610" s="66"/>
      <c r="C610" s="66"/>
    </row>
    <row r="611" spans="1:3" x14ac:dyDescent="0.2">
      <c r="A611" s="66"/>
      <c r="C611" s="66"/>
    </row>
    <row r="612" spans="1:3" x14ac:dyDescent="0.2">
      <c r="A612" s="66"/>
      <c r="C612" s="66"/>
    </row>
    <row r="613" spans="1:3" x14ac:dyDescent="0.2">
      <c r="A613" s="66"/>
      <c r="C613" s="66"/>
    </row>
    <row r="614" spans="1:3" x14ac:dyDescent="0.2">
      <c r="A614" s="66"/>
    </row>
    <row r="615" spans="1:3" x14ac:dyDescent="0.2">
      <c r="A615" s="66"/>
      <c r="C615" s="66"/>
    </row>
    <row r="616" spans="1:3" x14ac:dyDescent="0.2">
      <c r="A616" s="66"/>
      <c r="C616" s="66"/>
    </row>
    <row r="617" spans="1:3" x14ac:dyDescent="0.2">
      <c r="A617" s="66"/>
      <c r="C617" s="66"/>
    </row>
    <row r="618" spans="1:3" x14ac:dyDescent="0.2">
      <c r="A618" s="66"/>
      <c r="C618" s="66"/>
    </row>
    <row r="619" spans="1:3" x14ac:dyDescent="0.2">
      <c r="A619" s="66"/>
      <c r="C619" s="66"/>
    </row>
    <row r="620" spans="1:3" x14ac:dyDescent="0.2">
      <c r="A620" s="66"/>
      <c r="C620" s="66"/>
    </row>
    <row r="621" spans="1:3" x14ac:dyDescent="0.2">
      <c r="A621" s="66"/>
    </row>
    <row r="622" spans="1:3" x14ac:dyDescent="0.2">
      <c r="A622" s="66"/>
      <c r="C622" s="66"/>
    </row>
    <row r="623" spans="1:3" x14ac:dyDescent="0.2">
      <c r="A623" s="66"/>
      <c r="C623" s="66"/>
    </row>
    <row r="624" spans="1:3" x14ac:dyDescent="0.2">
      <c r="A624" s="66"/>
      <c r="C624" s="66"/>
    </row>
    <row r="625" spans="1:3" x14ac:dyDescent="0.2">
      <c r="A625" s="66"/>
      <c r="C625" s="66"/>
    </row>
    <row r="626" spans="1:3" x14ac:dyDescent="0.2">
      <c r="A626" s="66"/>
      <c r="C626" s="66"/>
    </row>
    <row r="627" spans="1:3" x14ac:dyDescent="0.2">
      <c r="A627" s="66"/>
      <c r="C627" s="66"/>
    </row>
    <row r="628" spans="1:3" x14ac:dyDescent="0.2">
      <c r="A628" s="66"/>
      <c r="C628" s="66"/>
    </row>
    <row r="629" spans="1:3" x14ac:dyDescent="0.2">
      <c r="A629" s="66"/>
      <c r="C629" s="66"/>
    </row>
    <row r="630" spans="1:3" x14ac:dyDescent="0.2">
      <c r="A630" s="66"/>
      <c r="C630" s="66"/>
    </row>
    <row r="631" spans="1:3" x14ac:dyDescent="0.2">
      <c r="A631" s="66"/>
      <c r="C631" s="66"/>
    </row>
    <row r="632" spans="1:3" x14ac:dyDescent="0.2">
      <c r="A632" s="66"/>
      <c r="C632" s="66"/>
    </row>
    <row r="633" spans="1:3" x14ac:dyDescent="0.2">
      <c r="A633" s="66"/>
      <c r="C633" s="66"/>
    </row>
    <row r="634" spans="1:3" x14ac:dyDescent="0.2">
      <c r="A634" s="66"/>
      <c r="C634" s="66"/>
    </row>
    <row r="635" spans="1:3" x14ac:dyDescent="0.2">
      <c r="A635" s="66"/>
      <c r="C635" s="66"/>
    </row>
    <row r="636" spans="1:3" x14ac:dyDescent="0.2">
      <c r="A636" s="66"/>
      <c r="C636" s="66"/>
    </row>
    <row r="637" spans="1:3" x14ac:dyDescent="0.2">
      <c r="A637" s="66"/>
      <c r="C637" s="66"/>
    </row>
    <row r="638" spans="1:3" x14ac:dyDescent="0.2">
      <c r="A638" s="66"/>
      <c r="C638" s="66"/>
    </row>
    <row r="639" spans="1:3" x14ac:dyDescent="0.2">
      <c r="A639" s="66"/>
      <c r="C639" s="66"/>
    </row>
    <row r="640" spans="1:3" x14ac:dyDescent="0.2">
      <c r="A640" s="66"/>
      <c r="C640" s="66"/>
    </row>
    <row r="641" spans="1:3" x14ac:dyDescent="0.2">
      <c r="A641" s="66"/>
      <c r="C641" s="66"/>
    </row>
    <row r="642" spans="1:3" x14ac:dyDescent="0.2">
      <c r="A642" s="66"/>
      <c r="C642" s="66"/>
    </row>
    <row r="643" spans="1:3" x14ac:dyDescent="0.2">
      <c r="A643" s="66"/>
      <c r="C643" s="66"/>
    </row>
    <row r="644" spans="1:3" x14ac:dyDescent="0.2">
      <c r="A644" s="66"/>
      <c r="C644" s="66"/>
    </row>
    <row r="645" spans="1:3" x14ac:dyDescent="0.2">
      <c r="A645" s="66"/>
      <c r="C645" s="66"/>
    </row>
    <row r="647" spans="1:3" x14ac:dyDescent="0.2">
      <c r="A647" s="66"/>
      <c r="C647" s="66"/>
    </row>
    <row r="648" spans="1:3" x14ac:dyDescent="0.2">
      <c r="A648" s="66"/>
      <c r="C648" s="66"/>
    </row>
    <row r="649" spans="1:3" x14ac:dyDescent="0.2">
      <c r="A649" s="66"/>
      <c r="C649" s="66"/>
    </row>
    <row r="650" spans="1:3" x14ac:dyDescent="0.2">
      <c r="A650" s="66"/>
      <c r="C650" s="66"/>
    </row>
    <row r="651" spans="1:3" x14ac:dyDescent="0.2">
      <c r="A651" s="66"/>
    </row>
    <row r="652" spans="1:3" x14ac:dyDescent="0.2">
      <c r="A652" s="66"/>
      <c r="C652" s="66"/>
    </row>
    <row r="653" spans="1:3" x14ac:dyDescent="0.2">
      <c r="A653" s="66"/>
      <c r="C653" s="66"/>
    </row>
    <row r="654" spans="1:3" x14ac:dyDescent="0.2">
      <c r="A654" s="66"/>
      <c r="C654" s="66"/>
    </row>
    <row r="655" spans="1:3" x14ac:dyDescent="0.2">
      <c r="A655" s="66"/>
      <c r="C655" s="66"/>
    </row>
    <row r="656" spans="1:3" x14ac:dyDescent="0.2">
      <c r="A656" s="66"/>
      <c r="C656" s="66"/>
    </row>
    <row r="657" spans="1:3" x14ac:dyDescent="0.2">
      <c r="A657" s="66"/>
    </row>
    <row r="658" spans="1:3" x14ac:dyDescent="0.2">
      <c r="A658" s="66"/>
      <c r="C658" s="66"/>
    </row>
    <row r="659" spans="1:3" x14ac:dyDescent="0.2">
      <c r="A659" s="78"/>
      <c r="C659" s="66"/>
    </row>
    <row r="660" spans="1:3" x14ac:dyDescent="0.2">
      <c r="A660" s="78"/>
      <c r="C660" s="78"/>
    </row>
    <row r="661" spans="1:3" x14ac:dyDescent="0.2">
      <c r="A661" s="78"/>
      <c r="C661" s="66"/>
    </row>
    <row r="662" spans="1:3" x14ac:dyDescent="0.2">
      <c r="A662" s="78"/>
      <c r="C662" s="66"/>
    </row>
    <row r="663" spans="1:3" x14ac:dyDescent="0.2">
      <c r="A663" s="78"/>
      <c r="C663" s="78"/>
    </row>
    <row r="664" spans="1:3" x14ac:dyDescent="0.2">
      <c r="A664" s="78"/>
      <c r="C664" s="78"/>
    </row>
    <row r="665" spans="1:3" x14ac:dyDescent="0.2">
      <c r="A665" s="66"/>
      <c r="C665" s="66"/>
    </row>
    <row r="666" spans="1:3" x14ac:dyDescent="0.2">
      <c r="A666" s="78"/>
      <c r="C666" s="78"/>
    </row>
    <row r="667" spans="1:3" x14ac:dyDescent="0.2">
      <c r="A667" s="78"/>
      <c r="C667" s="78"/>
    </row>
    <row r="668" spans="1:3" x14ac:dyDescent="0.2">
      <c r="A668" s="78"/>
      <c r="C668" s="78"/>
    </row>
    <row r="669" spans="1:3" x14ac:dyDescent="0.2">
      <c r="A669" s="78"/>
      <c r="C669" s="66"/>
    </row>
    <row r="670" spans="1:3" x14ac:dyDescent="0.2">
      <c r="A670" s="78"/>
      <c r="C670" s="78"/>
    </row>
    <row r="671" spans="1:3" x14ac:dyDescent="0.2">
      <c r="A671" s="66"/>
      <c r="C671" s="66"/>
    </row>
    <row r="672" spans="1:3" x14ac:dyDescent="0.2">
      <c r="A672" s="66"/>
      <c r="C672" s="66"/>
    </row>
    <row r="673" spans="1:3" x14ac:dyDescent="0.2">
      <c r="A673" s="66"/>
      <c r="C673" s="66"/>
    </row>
    <row r="674" spans="1:3" x14ac:dyDescent="0.2">
      <c r="A674" s="66"/>
      <c r="C674" s="66"/>
    </row>
    <row r="675" spans="1:3" x14ac:dyDescent="0.2">
      <c r="A675" s="66"/>
      <c r="C675" s="66"/>
    </row>
    <row r="676" spans="1:3" x14ac:dyDescent="0.2">
      <c r="A676" s="66"/>
      <c r="C676" s="66"/>
    </row>
    <row r="677" spans="1:3" x14ac:dyDescent="0.2">
      <c r="A677" s="66"/>
      <c r="C677" s="66"/>
    </row>
    <row r="678" spans="1:3" x14ac:dyDescent="0.2">
      <c r="A678" s="66"/>
      <c r="C678" s="66"/>
    </row>
    <row r="679" spans="1:3" x14ac:dyDescent="0.2">
      <c r="A679" s="66"/>
      <c r="C679" s="66"/>
    </row>
    <row r="680" spans="1:3" x14ac:dyDescent="0.2">
      <c r="A680" s="66"/>
      <c r="C680" s="66"/>
    </row>
    <row r="681" spans="1:3" x14ac:dyDescent="0.2">
      <c r="A681" s="66"/>
      <c r="C681" s="66"/>
    </row>
    <row r="682" spans="1:3" x14ac:dyDescent="0.2">
      <c r="A682" s="66"/>
      <c r="C682" s="66"/>
    </row>
    <row r="683" spans="1:3" x14ac:dyDescent="0.2">
      <c r="A683" s="66"/>
      <c r="C683" s="66"/>
    </row>
    <row r="684" spans="1:3" x14ac:dyDescent="0.2">
      <c r="A684" s="66"/>
      <c r="C684" s="66"/>
    </row>
    <row r="685" spans="1:3" x14ac:dyDescent="0.2">
      <c r="A685" s="66"/>
      <c r="C685" s="66"/>
    </row>
    <row r="686" spans="1:3" x14ac:dyDescent="0.2">
      <c r="A686" s="66"/>
      <c r="C686" s="66"/>
    </row>
    <row r="687" spans="1:3" x14ac:dyDescent="0.2">
      <c r="A687" s="66"/>
      <c r="C687" s="66"/>
    </row>
    <row r="688" spans="1:3" x14ac:dyDescent="0.2">
      <c r="A688" s="66"/>
      <c r="C688" s="66"/>
    </row>
    <row r="728" spans="1:3" ht="15" x14ac:dyDescent="0.2">
      <c r="A728" s="70"/>
      <c r="C728" s="70"/>
    </row>
    <row r="729" spans="1:3" ht="15" x14ac:dyDescent="0.2">
      <c r="A729" s="70"/>
      <c r="C729" s="70"/>
    </row>
    <row r="730" spans="1:3" ht="15" x14ac:dyDescent="0.2">
      <c r="A730" s="70"/>
      <c r="C730" s="70"/>
    </row>
    <row r="749" spans="1:3" x14ac:dyDescent="0.2">
      <c r="A749" s="52"/>
      <c r="C749" s="52"/>
    </row>
    <row r="750" spans="1:3" x14ac:dyDescent="0.2">
      <c r="A750" s="52"/>
      <c r="C750" s="52"/>
    </row>
    <row r="751" spans="1:3" x14ac:dyDescent="0.2">
      <c r="A751" s="52"/>
      <c r="C751" s="52"/>
    </row>
    <row r="752" spans="1:3" x14ac:dyDescent="0.2">
      <c r="A752" s="52"/>
      <c r="C752" s="52"/>
    </row>
    <row r="753" spans="1:3" x14ac:dyDescent="0.2">
      <c r="A753" s="52"/>
      <c r="C753" s="52"/>
    </row>
    <row r="759" spans="1:3" x14ac:dyDescent="0.2">
      <c r="A759" s="55"/>
      <c r="C759" s="55"/>
    </row>
    <row r="780" spans="1:3" x14ac:dyDescent="0.2">
      <c r="A780" s="52"/>
      <c r="C780" s="52"/>
    </row>
    <row r="781" spans="1:3" x14ac:dyDescent="0.2">
      <c r="A781" s="52"/>
      <c r="C781" s="52"/>
    </row>
    <row r="782" spans="1:3" x14ac:dyDescent="0.2">
      <c r="A782" s="52"/>
      <c r="C782" s="52"/>
    </row>
    <row r="787" spans="1:3" x14ac:dyDescent="0.2">
      <c r="A787" s="66"/>
      <c r="C787" s="66"/>
    </row>
    <row r="788" spans="1:3" x14ac:dyDescent="0.2">
      <c r="A788" s="66"/>
      <c r="C788" s="66"/>
    </row>
    <row r="789" spans="1:3" x14ac:dyDescent="0.2">
      <c r="A789" s="66"/>
      <c r="C789" s="66"/>
    </row>
    <row r="807" spans="1:3" x14ac:dyDescent="0.2">
      <c r="A807" s="66"/>
      <c r="C807" s="66"/>
    </row>
    <row r="808" spans="1:3" x14ac:dyDescent="0.2">
      <c r="A808" s="66"/>
      <c r="C808" s="66"/>
    </row>
    <row r="810" spans="1:3" x14ac:dyDescent="0.2">
      <c r="A810" s="66"/>
      <c r="C810" s="66"/>
    </row>
    <row r="811" spans="1:3" x14ac:dyDescent="0.2">
      <c r="A811" s="66"/>
      <c r="C811" s="66"/>
    </row>
    <row r="812" spans="1:3" x14ac:dyDescent="0.2">
      <c r="A812" s="52"/>
      <c r="C812" s="52"/>
    </row>
    <row r="813" spans="1:3" x14ac:dyDescent="0.2">
      <c r="A813" s="52"/>
      <c r="C813" s="52"/>
    </row>
    <row r="828" spans="1:8" x14ac:dyDescent="0.2">
      <c r="A828" s="55"/>
      <c r="C828" s="55"/>
    </row>
    <row r="830" spans="1:8" ht="15" x14ac:dyDescent="0.25">
      <c r="A830" s="66"/>
      <c r="C830" s="66"/>
      <c r="H830" s="54"/>
    </row>
    <row r="831" spans="1:8" x14ac:dyDescent="0.2">
      <c r="A831" s="66"/>
      <c r="C831" s="66"/>
    </row>
    <row r="850" spans="1:3" ht="15" x14ac:dyDescent="0.2">
      <c r="A850" s="89"/>
      <c r="C850" s="89"/>
    </row>
    <row r="851" spans="1:3" ht="15" x14ac:dyDescent="0.2">
      <c r="A851" s="89"/>
      <c r="C851" s="89"/>
    </row>
    <row r="852" spans="1:3" ht="15" x14ac:dyDescent="0.2">
      <c r="A852" s="89"/>
      <c r="C852" s="89"/>
    </row>
    <row r="853" spans="1:3" ht="15" x14ac:dyDescent="0.2">
      <c r="A853" s="89"/>
      <c r="C853" s="89"/>
    </row>
    <row r="854" spans="1:3" ht="15" x14ac:dyDescent="0.2">
      <c r="A854" s="89"/>
      <c r="C854" s="89"/>
    </row>
    <row r="855" spans="1:3" ht="15" x14ac:dyDescent="0.2">
      <c r="A855" s="89"/>
      <c r="C855" s="89"/>
    </row>
    <row r="856" spans="1:3" ht="15" x14ac:dyDescent="0.2">
      <c r="A856" s="89"/>
      <c r="C856" s="89"/>
    </row>
    <row r="857" spans="1:3" ht="15" x14ac:dyDescent="0.2">
      <c r="A857" s="89"/>
      <c r="C857" s="89"/>
    </row>
    <row r="858" spans="1:3" ht="15" x14ac:dyDescent="0.2">
      <c r="A858" s="89"/>
      <c r="C858" s="89"/>
    </row>
    <row r="859" spans="1:3" ht="15" x14ac:dyDescent="0.2">
      <c r="A859" s="89"/>
      <c r="C859" s="89"/>
    </row>
    <row r="860" spans="1:3" ht="15" x14ac:dyDescent="0.2">
      <c r="A860" s="89"/>
      <c r="C860" s="89"/>
    </row>
    <row r="861" spans="1:3" ht="15" x14ac:dyDescent="0.2">
      <c r="A861" s="89"/>
      <c r="C861" s="89"/>
    </row>
    <row r="862" spans="1:3" ht="15" x14ac:dyDescent="0.2">
      <c r="A862" s="89"/>
      <c r="C862" s="89"/>
    </row>
    <row r="874" spans="8:8" ht="15" x14ac:dyDescent="0.25">
      <c r="H874" s="54"/>
    </row>
    <row r="918" spans="1:8" ht="15" x14ac:dyDescent="0.25">
      <c r="H918" s="54"/>
    </row>
    <row r="922" spans="1:8" x14ac:dyDescent="0.2">
      <c r="E922" s="74"/>
    </row>
    <row r="928" spans="1:8" x14ac:dyDescent="0.2">
      <c r="A928" s="55"/>
    </row>
    <row r="929" spans="1:1" x14ac:dyDescent="0.2">
      <c r="A929" s="55"/>
    </row>
    <row r="931" spans="1:1" x14ac:dyDescent="0.2">
      <c r="A931" s="66"/>
    </row>
    <row r="932" spans="1:1" x14ac:dyDescent="0.2">
      <c r="A932" s="66"/>
    </row>
    <row r="933" spans="1:1" x14ac:dyDescent="0.2">
      <c r="A933" s="66"/>
    </row>
    <row r="934" spans="1:1" x14ac:dyDescent="0.2">
      <c r="A934" s="66"/>
    </row>
    <row r="935" spans="1:1" x14ac:dyDescent="0.2">
      <c r="A935" s="66"/>
    </row>
    <row r="936" spans="1:1" x14ac:dyDescent="0.2">
      <c r="A936" s="66"/>
    </row>
    <row r="1005" spans="1:1" x14ac:dyDescent="0.2">
      <c r="A1005" s="66"/>
    </row>
    <row r="1006" spans="1:1" x14ac:dyDescent="0.2">
      <c r="A1006" s="66"/>
    </row>
    <row r="1007" spans="1:1" x14ac:dyDescent="0.2">
      <c r="A1007" s="66"/>
    </row>
    <row r="1008" spans="1:1" x14ac:dyDescent="0.2">
      <c r="A1008" s="66"/>
    </row>
    <row r="1009" spans="1:3" x14ac:dyDescent="0.2">
      <c r="A1009" s="66"/>
    </row>
    <row r="1010" spans="1:3" x14ac:dyDescent="0.2">
      <c r="A1010" s="66"/>
    </row>
    <row r="1011" spans="1:3" x14ac:dyDescent="0.2">
      <c r="A1011" s="66"/>
    </row>
    <row r="1012" spans="1:3" x14ac:dyDescent="0.2">
      <c r="A1012" s="66"/>
    </row>
    <row r="1013" spans="1:3" x14ac:dyDescent="0.2">
      <c r="A1013" s="66"/>
    </row>
    <row r="1014" spans="1:3" x14ac:dyDescent="0.2">
      <c r="A1014" s="66"/>
    </row>
    <row r="1018" spans="1:3" x14ac:dyDescent="0.2">
      <c r="A1018" s="55"/>
    </row>
    <row r="1019" spans="1:3" x14ac:dyDescent="0.2">
      <c r="C1019" s="92"/>
    </row>
    <row r="1021" spans="1:3" ht="15" x14ac:dyDescent="0.2">
      <c r="A1021" s="70"/>
    </row>
    <row r="1022" spans="1:3" ht="15" x14ac:dyDescent="0.2">
      <c r="A1022" s="70"/>
    </row>
    <row r="1023" spans="1:3" ht="15" x14ac:dyDescent="0.2">
      <c r="A1023" s="70"/>
    </row>
    <row r="1024" spans="1:3" ht="15" x14ac:dyDescent="0.2">
      <c r="A1024" s="70"/>
    </row>
    <row r="1048" spans="1:1" x14ac:dyDescent="0.2">
      <c r="A1048" s="55"/>
    </row>
    <row r="1049" spans="1:1" x14ac:dyDescent="0.2">
      <c r="A1049" s="55"/>
    </row>
    <row r="1050" spans="1:1" ht="15" x14ac:dyDescent="0.2">
      <c r="A1050" s="70"/>
    </row>
    <row r="1051" spans="1:1" ht="15" x14ac:dyDescent="0.2">
      <c r="A1051" s="70"/>
    </row>
    <row r="1052" spans="1:1" ht="15" x14ac:dyDescent="0.2">
      <c r="A1052" s="70"/>
    </row>
    <row r="1053" spans="1:1" ht="15" x14ac:dyDescent="0.2">
      <c r="A1053" s="70"/>
    </row>
    <row r="1054" spans="1:1" ht="15" x14ac:dyDescent="0.2">
      <c r="A1054" s="70"/>
    </row>
    <row r="1055" spans="1:1" ht="15" x14ac:dyDescent="0.2">
      <c r="A1055" s="70"/>
    </row>
    <row r="1056" spans="1:1" ht="15" x14ac:dyDescent="0.2">
      <c r="A1056" s="70"/>
    </row>
    <row r="1057" spans="1:1" ht="15" x14ac:dyDescent="0.2">
      <c r="A1057" s="70"/>
    </row>
    <row r="1058" spans="1:1" ht="15" x14ac:dyDescent="0.2">
      <c r="A1058" s="70"/>
    </row>
    <row r="1059" spans="1:1" ht="15" x14ac:dyDescent="0.2">
      <c r="A1059" s="70"/>
    </row>
    <row r="1079" spans="1:1" x14ac:dyDescent="0.2">
      <c r="A1079" s="52"/>
    </row>
    <row r="1080" spans="1:1" x14ac:dyDescent="0.2">
      <c r="A1080" s="52"/>
    </row>
    <row r="1081" spans="1:1" x14ac:dyDescent="0.2">
      <c r="A1081" s="52"/>
    </row>
    <row r="1082" spans="1:1" x14ac:dyDescent="0.2">
      <c r="A1082" s="52"/>
    </row>
    <row r="1083" spans="1:1" x14ac:dyDescent="0.2">
      <c r="A1083" s="52"/>
    </row>
    <row r="1114" spans="1:1" x14ac:dyDescent="0.2">
      <c r="A1114" s="55"/>
    </row>
    <row r="1115" spans="1:1" x14ac:dyDescent="0.2">
      <c r="A1115" s="55"/>
    </row>
    <row r="1184" spans="1:1" x14ac:dyDescent="0.2">
      <c r="A1184" s="55"/>
    </row>
    <row r="1189" spans="1:1" x14ac:dyDescent="0.2">
      <c r="A1189" s="60"/>
    </row>
    <row r="1389" spans="1:1" x14ac:dyDescent="0.2">
      <c r="A1389" s="66"/>
    </row>
    <row r="1390" spans="1:1" x14ac:dyDescent="0.2">
      <c r="A1390" s="66"/>
    </row>
    <row r="1426" spans="1:1" ht="15" x14ac:dyDescent="0.2">
      <c r="A1426" s="70"/>
    </row>
    <row r="1427" spans="1:1" ht="15" x14ac:dyDescent="0.2">
      <c r="A1427" s="70"/>
    </row>
    <row r="1475" spans="1:1" x14ac:dyDescent="0.2">
      <c r="A1475" s="55"/>
    </row>
    <row r="1476" spans="1:1" x14ac:dyDescent="0.2">
      <c r="A1476" s="52"/>
    </row>
  </sheetData>
  <protectedRanges>
    <protectedRange algorithmName="SHA-512" hashValue="52kDbAD/tfDsD2gHVohEfeXD7OB+s8G9Qs2IgCFF4c7HgQDgVVzNUR+mctL0pMSew2X+hPkLoQrZeDuuFhSQEQ==" saltValue="g+G6y5/3E7HYwnEJ8B5lew==" spinCount="100000" sqref="A2:H2" name="Range1"/>
  </protectedRanges>
  <autoFilter ref="A2:H1478" xr:uid="{62B7A97D-A6EC-4CA9-A94B-D257A5268C80}"/>
  <customSheetViews>
    <customSheetView guid="{3088DA8C-CA5B-4D0B-B766-601A6252A1BC}" showGridLines="0" showAutoFilter="1">
      <selection activeCell="E12" sqref="E12"/>
      <pageMargins left="0.7" right="0.7" top="0.75" bottom="0.75" header="0.3" footer="0.3"/>
      <pageSetup orientation="portrait" r:id="rId1"/>
      <autoFilter ref="A2:H1478" xr:uid="{CD4A7AA7-EF19-4303-A78C-FC59E2482B5D}"/>
    </customSheetView>
    <customSheetView guid="{2C9D0022-6FEB-4503-9A3D-1134E9EB4ABD}" showGridLines="0" showAutoFilter="1">
      <pane ySplit="2" topLeftCell="A1452" activePane="bottomLeft" state="frozen"/>
      <selection pane="bottomLeft" activeCell="C1480" sqref="C1480"/>
      <pageMargins left="0.7" right="0.7" top="0.75" bottom="0.75" header="0.3" footer="0.3"/>
      <pageSetup orientation="portrait" r:id="rId2"/>
      <autoFilter ref="A2:H1468" xr:uid="{47602D57-3F75-458E-8133-73B168BEE64F}"/>
    </customSheetView>
    <customSheetView guid="{13FE0DC8-EF6C-4CDA-BD49-DC570D2B6582}" showGridLines="0" showAutoFilter="1">
      <selection activeCell="E828" sqref="E828"/>
      <pageMargins left="0.7" right="0.7" top="0.75" bottom="0.75" header="0.3" footer="0.3"/>
      <pageSetup orientation="portrait" r:id="rId3"/>
      <autoFilter ref="A2:H1468" xr:uid="{5FA090AB-6729-49A9-B0C4-C0CD522A1F72}"/>
    </customSheetView>
    <customSheetView guid="{B4395361-3CED-435D-A8C1-8E5C741E5B5A}" showGridLines="0" showAutoFilter="1">
      <selection activeCell="E660" sqref="E660"/>
      <pageMargins left="0.7" right="0.7" top="0.75" bottom="0.75" header="0.3" footer="0.3"/>
      <pageSetup orientation="portrait" r:id="rId4"/>
      <autoFilter ref="A2:H934" xr:uid="{A9D1C250-F451-4906-9F94-C86F93614C6C}"/>
    </customSheetView>
    <customSheetView guid="{50E2BFBF-272C-4DEF-B188-80DD2782F903}" showGridLines="0" showAutoFilter="1" hiddenColumns="1">
      <pane ySplit="2" topLeftCell="A468" activePane="bottomLeft" state="frozen"/>
      <selection pane="bottomLeft" activeCell="C494" sqref="C494"/>
      <pageMargins left="0.7" right="0.7" top="0.75" bottom="0.75" header="0.3" footer="0.3"/>
      <pageSetup orientation="portrait" r:id="rId5"/>
      <autoFilter ref="A2:H484" xr:uid="{753EC0C3-295D-4BD4-A1C5-28EB6E02B47E}"/>
    </customSheetView>
    <customSheetView guid="{16C42120-8ADA-4135-A282-991D16C151FE}" showGridLines="0" showAutoFilter="1">
      <pane ySplit="2" topLeftCell="A1457" activePane="bottomLeft" state="frozen"/>
      <selection pane="bottomLeft" activeCell="D1462" sqref="D1462"/>
      <pageMargins left="0.7" right="0.7" top="0.75" bottom="0.75" header="0.3" footer="0.3"/>
      <pageSetup orientation="portrait" r:id="rId6"/>
      <autoFilter ref="A2:H1476" xr:uid="{C59FAF7B-9977-4271-BF9E-DCB436303D70}"/>
    </customSheetView>
  </customSheetViews>
  <conditionalFormatting sqref="A3:H10011">
    <cfRule type="expression" dxfId="67" priority="62">
      <formula>$A3&lt;&gt;""</formula>
    </cfRule>
  </conditionalFormatting>
  <conditionalFormatting sqref="C1351">
    <cfRule type="expression" dxfId="66" priority="1020">
      <formula>$A1346&lt;&gt;""</formula>
    </cfRule>
  </conditionalFormatting>
  <pageMargins left="0.7" right="0.7" top="0.75" bottom="0.75" header="0.3" footer="0.3"/>
  <pageSetup orientation="portrait" r:id="rId7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</sheetPr>
  <dimension ref="A1:AB3890"/>
  <sheetViews>
    <sheetView showGridLines="0" showZeros="0" zoomScaleNormal="100" workbookViewId="0">
      <pane ySplit="3" topLeftCell="A4" activePane="bottomLeft" state="frozen"/>
      <selection activeCell="D23" sqref="D23"/>
      <selection pane="bottomLeft" activeCell="G7" sqref="G7"/>
    </sheetView>
  </sheetViews>
  <sheetFormatPr defaultColWidth="0" defaultRowHeight="14.25" zeroHeight="1" x14ac:dyDescent="0.2"/>
  <cols>
    <col min="1" max="1" width="17" customWidth="1"/>
    <col min="2" max="2" width="16.75" style="50" customWidth="1"/>
    <col min="3" max="3" width="17.375" customWidth="1"/>
    <col min="4" max="4" width="16.25" style="50" bestFit="1" customWidth="1"/>
    <col min="5" max="5" width="11.875" bestFit="1" customWidth="1"/>
    <col min="6" max="6" width="13.875" customWidth="1"/>
    <col min="7" max="7" width="12.625" bestFit="1" customWidth="1"/>
    <col min="8" max="8" width="14.25" style="56" customWidth="1"/>
    <col min="9" max="9" width="11.875" style="93" bestFit="1" customWidth="1"/>
    <col min="10" max="10" width="16.75" customWidth="1"/>
    <col min="11" max="11" width="11.25" customWidth="1"/>
    <col min="12" max="12" width="9.625" bestFit="1" customWidth="1"/>
    <col min="13" max="13" width="5.375" bestFit="1" customWidth="1"/>
    <col min="14" max="14" width="12.625" customWidth="1"/>
    <col min="15" max="15" width="7.875" bestFit="1" customWidth="1"/>
    <col min="16" max="16" width="2" bestFit="1" customWidth="1"/>
    <col min="17" max="17" width="2.375" bestFit="1" customWidth="1"/>
    <col min="18" max="18" width="2" bestFit="1" customWidth="1"/>
    <col min="19" max="19" width="2.125" bestFit="1" customWidth="1"/>
    <col min="20" max="20" width="9.625" customWidth="1"/>
    <col min="21" max="22" width="2.125" bestFit="1" customWidth="1"/>
    <col min="23" max="23" width="2.375" bestFit="1" customWidth="1"/>
    <col min="24" max="25" width="2" bestFit="1" customWidth="1"/>
    <col min="26" max="26" width="2.375" bestFit="1" customWidth="1"/>
    <col min="27" max="27" width="1" customWidth="1"/>
    <col min="28" max="28" width="0" hidden="1" customWidth="1"/>
    <col min="29" max="16384" width="9.125" hidden="1"/>
  </cols>
  <sheetData>
    <row r="1" spans="1:28" ht="30" customHeight="1" x14ac:dyDescent="0.2">
      <c r="A1" s="56"/>
      <c r="H1"/>
      <c r="T1" s="84"/>
      <c r="U1" s="84"/>
      <c r="V1" s="84"/>
      <c r="W1" s="84"/>
      <c r="X1" s="84"/>
      <c r="Y1" s="84"/>
      <c r="Z1" s="84"/>
    </row>
    <row r="2" spans="1:28" ht="19.5" customHeight="1" x14ac:dyDescent="0.2">
      <c r="A2" s="3" t="s">
        <v>170</v>
      </c>
      <c r="B2" s="49" t="s">
        <v>0</v>
      </c>
      <c r="C2" s="3" t="s">
        <v>1</v>
      </c>
      <c r="D2" s="49" t="s">
        <v>2</v>
      </c>
      <c r="E2" s="3" t="s">
        <v>3</v>
      </c>
      <c r="F2" s="3" t="s">
        <v>4</v>
      </c>
      <c r="G2" s="3" t="s">
        <v>5</v>
      </c>
      <c r="H2" s="57" t="s">
        <v>6</v>
      </c>
      <c r="J2" s="82" t="s">
        <v>147</v>
      </c>
      <c r="K2" s="85" t="s">
        <v>148</v>
      </c>
      <c r="L2" s="82" t="s">
        <v>165</v>
      </c>
      <c r="M2" s="82" t="s">
        <v>52</v>
      </c>
      <c r="N2" s="82" t="s">
        <v>164</v>
      </c>
      <c r="O2" s="83" t="s">
        <v>182</v>
      </c>
      <c r="P2" s="83" t="s">
        <v>15</v>
      </c>
      <c r="Q2" s="83" t="s">
        <v>8</v>
      </c>
      <c r="R2" s="83" t="s">
        <v>9</v>
      </c>
      <c r="S2" s="83" t="s">
        <v>16</v>
      </c>
      <c r="T2" s="83" t="s">
        <v>183</v>
      </c>
      <c r="U2" s="83" t="s">
        <v>51</v>
      </c>
      <c r="V2" s="83" t="s">
        <v>149</v>
      </c>
      <c r="W2" s="83" t="s">
        <v>150</v>
      </c>
      <c r="X2" s="83" t="s">
        <v>50</v>
      </c>
      <c r="Y2" s="83" t="s">
        <v>151</v>
      </c>
      <c r="Z2" s="83" t="s">
        <v>152</v>
      </c>
    </row>
    <row r="3" spans="1:28" s="90" customFormat="1" x14ac:dyDescent="0.2">
      <c r="A3" s="56"/>
      <c r="B3" s="50"/>
      <c r="C3"/>
      <c r="D3" s="50"/>
      <c r="E3"/>
      <c r="F3"/>
      <c r="G3"/>
      <c r="H3"/>
      <c r="I3" s="93"/>
      <c r="J3"/>
      <c r="K3"/>
      <c r="L3"/>
      <c r="M3"/>
      <c r="N3"/>
      <c r="O3"/>
      <c r="P3"/>
      <c r="Q3"/>
      <c r="R3"/>
      <c r="S3"/>
      <c r="T3" s="84"/>
      <c r="U3" s="84"/>
      <c r="V3" s="84"/>
      <c r="W3" s="84"/>
      <c r="X3" s="84"/>
      <c r="Y3" s="84"/>
      <c r="Z3" s="84"/>
      <c r="AA3"/>
      <c r="AB3"/>
    </row>
    <row r="4" spans="1:28" x14ac:dyDescent="0.2">
      <c r="A4" s="56"/>
      <c r="H4"/>
      <c r="T4" s="84"/>
      <c r="U4" s="84"/>
      <c r="V4" s="84"/>
      <c r="W4" s="84"/>
      <c r="X4" s="84"/>
      <c r="Y4" s="84"/>
      <c r="Z4" s="84"/>
    </row>
    <row r="5" spans="1:28" x14ac:dyDescent="0.2">
      <c r="A5" s="56"/>
      <c r="H5"/>
      <c r="T5" s="84"/>
      <c r="U5" s="84"/>
      <c r="V5" s="84"/>
      <c r="W5" s="84"/>
      <c r="X5" s="84"/>
      <c r="Y5" s="84"/>
      <c r="Z5" s="84"/>
    </row>
    <row r="6" spans="1:28" x14ac:dyDescent="0.2">
      <c r="A6" s="56"/>
      <c r="H6"/>
      <c r="T6" s="84"/>
      <c r="U6" s="84"/>
      <c r="V6" s="84"/>
      <c r="W6" s="84"/>
      <c r="X6" s="84"/>
      <c r="Y6" s="84"/>
      <c r="Z6" s="84"/>
    </row>
    <row r="7" spans="1:28" x14ac:dyDescent="0.2">
      <c r="A7" s="56"/>
      <c r="H7"/>
      <c r="T7" s="84"/>
      <c r="U7" s="84"/>
      <c r="V7" s="84"/>
      <c r="W7" s="84"/>
      <c r="X7" s="84"/>
      <c r="Y7" s="84"/>
      <c r="Z7" s="84"/>
    </row>
    <row r="8" spans="1:28" x14ac:dyDescent="0.2">
      <c r="A8" s="56"/>
      <c r="H8"/>
      <c r="T8" s="84"/>
      <c r="U8" s="84"/>
      <c r="V8" s="84"/>
      <c r="W8" s="84"/>
      <c r="X8" s="84"/>
      <c r="Y8" s="84"/>
      <c r="Z8" s="84"/>
    </row>
    <row r="9" spans="1:28" x14ac:dyDescent="0.2">
      <c r="A9" s="56"/>
      <c r="H9"/>
      <c r="T9" s="84"/>
      <c r="U9" s="84"/>
      <c r="V9" s="84"/>
      <c r="W9" s="84"/>
      <c r="X9" s="84"/>
      <c r="Y9" s="84"/>
      <c r="Z9" s="84"/>
    </row>
    <row r="10" spans="1:28" x14ac:dyDescent="0.2">
      <c r="A10" s="56"/>
      <c r="H10"/>
      <c r="T10" s="84"/>
      <c r="U10" s="84"/>
      <c r="V10" s="84"/>
      <c r="W10" s="84"/>
      <c r="X10" s="84"/>
      <c r="Y10" s="84"/>
      <c r="Z10" s="84"/>
    </row>
    <row r="11" spans="1:28" x14ac:dyDescent="0.2">
      <c r="A11" s="56"/>
      <c r="D11" s="50" t="s">
        <v>1067</v>
      </c>
      <c r="H11"/>
      <c r="T11" s="84"/>
      <c r="U11" s="84"/>
      <c r="V11" s="84"/>
      <c r="W11" s="84"/>
      <c r="X11" s="84"/>
      <c r="Y11" s="84"/>
      <c r="Z11" s="84"/>
    </row>
    <row r="12" spans="1:28" x14ac:dyDescent="0.2">
      <c r="A12" s="56"/>
      <c r="H12"/>
      <c r="T12" s="84"/>
      <c r="U12" s="84"/>
      <c r="V12" s="84"/>
      <c r="W12" s="84"/>
      <c r="X12" s="84"/>
      <c r="Y12" s="84"/>
      <c r="Z12" s="84"/>
    </row>
    <row r="13" spans="1:28" x14ac:dyDescent="0.2">
      <c r="A13" s="56"/>
      <c r="H13"/>
      <c r="T13" s="84"/>
      <c r="U13" s="84"/>
      <c r="V13" s="84"/>
      <c r="W13" s="84"/>
      <c r="X13" s="84"/>
      <c r="Y13" s="84"/>
      <c r="Z13" s="84"/>
    </row>
    <row r="14" spans="1:28" ht="13.5" customHeight="1" x14ac:dyDescent="0.2">
      <c r="A14" s="56"/>
      <c r="H14"/>
      <c r="T14" s="84"/>
      <c r="U14" s="84"/>
      <c r="V14" s="84"/>
      <c r="W14" s="84"/>
      <c r="X14" s="84"/>
      <c r="Y14" s="84"/>
      <c r="Z14" s="84"/>
    </row>
    <row r="15" spans="1:28" ht="13.5" customHeight="1" x14ac:dyDescent="0.2">
      <c r="A15" s="56"/>
      <c r="H15"/>
      <c r="T15" s="84"/>
      <c r="U15" s="84"/>
      <c r="V15" s="84"/>
      <c r="W15" s="84"/>
      <c r="X15" s="84"/>
      <c r="Y15" s="84"/>
      <c r="Z15" s="84"/>
    </row>
    <row r="16" spans="1:28" ht="13.5" customHeight="1" x14ac:dyDescent="0.2">
      <c r="A16" s="56"/>
      <c r="H16"/>
      <c r="T16" s="84"/>
      <c r="U16" s="84"/>
      <c r="V16" s="84"/>
      <c r="W16" s="84"/>
      <c r="X16" s="84"/>
      <c r="Y16" s="84"/>
      <c r="Z16" s="84"/>
    </row>
    <row r="17" spans="1:26" x14ac:dyDescent="0.2">
      <c r="A17" s="56"/>
      <c r="H17"/>
      <c r="T17" s="84"/>
      <c r="U17" s="84"/>
      <c r="V17" s="84"/>
      <c r="W17" s="84"/>
      <c r="X17" s="84"/>
      <c r="Y17" s="84"/>
      <c r="Z17" s="84"/>
    </row>
    <row r="18" spans="1:26" x14ac:dyDescent="0.2">
      <c r="A18" s="56"/>
      <c r="H18"/>
      <c r="T18" s="84"/>
      <c r="U18" s="84"/>
      <c r="V18" s="84"/>
      <c r="W18" s="84"/>
      <c r="X18" s="84"/>
      <c r="Y18" s="84"/>
      <c r="Z18" s="84"/>
    </row>
    <row r="19" spans="1:26" x14ac:dyDescent="0.2">
      <c r="A19" s="56"/>
      <c r="H19"/>
      <c r="T19" s="84"/>
      <c r="U19" s="84"/>
      <c r="V19" s="84"/>
      <c r="W19" s="84"/>
      <c r="X19" s="84"/>
      <c r="Y19" s="84"/>
      <c r="Z19" s="84"/>
    </row>
    <row r="20" spans="1:26" x14ac:dyDescent="0.2">
      <c r="A20" s="56"/>
      <c r="H20"/>
      <c r="T20" s="84"/>
      <c r="U20" s="84"/>
      <c r="V20" s="84"/>
      <c r="W20" s="84"/>
      <c r="X20" s="84"/>
      <c r="Y20" s="84"/>
      <c r="Z20" s="84"/>
    </row>
    <row r="21" spans="1:26" x14ac:dyDescent="0.2">
      <c r="A21" s="56"/>
      <c r="H21"/>
      <c r="T21" s="84"/>
      <c r="U21" s="84"/>
      <c r="V21" s="84"/>
      <c r="W21" s="84"/>
      <c r="X21" s="84"/>
      <c r="Y21" s="84"/>
      <c r="Z21" s="84"/>
    </row>
    <row r="22" spans="1:26" x14ac:dyDescent="0.2">
      <c r="A22" s="56"/>
      <c r="H22"/>
      <c r="T22" s="84"/>
      <c r="U22" s="84"/>
      <c r="V22" s="84"/>
      <c r="W22" s="84"/>
      <c r="X22" s="84"/>
      <c r="Y22" s="84"/>
      <c r="Z22" s="84"/>
    </row>
    <row r="23" spans="1:26" x14ac:dyDescent="0.2">
      <c r="A23" s="56"/>
      <c r="H23"/>
      <c r="T23" s="84"/>
      <c r="U23" s="84"/>
      <c r="V23" s="84"/>
      <c r="W23" s="84"/>
      <c r="X23" s="84"/>
      <c r="Y23" s="84"/>
      <c r="Z23" s="84"/>
    </row>
    <row r="24" spans="1:26" x14ac:dyDescent="0.2">
      <c r="A24" s="56"/>
      <c r="H24"/>
      <c r="T24" s="84"/>
      <c r="U24" s="84"/>
      <c r="V24" s="84"/>
      <c r="W24" s="84"/>
      <c r="X24" s="84"/>
      <c r="Y24" s="84"/>
      <c r="Z24" s="84"/>
    </row>
    <row r="25" spans="1:26" ht="14.25" customHeight="1" x14ac:dyDescent="0.2">
      <c r="A25" s="56"/>
      <c r="H25"/>
      <c r="T25" s="84"/>
      <c r="U25" s="84"/>
      <c r="V25" s="84"/>
      <c r="W25" s="84"/>
      <c r="X25" s="84"/>
      <c r="Y25" s="84"/>
      <c r="Z25" s="84"/>
    </row>
    <row r="26" spans="1:26" x14ac:dyDescent="0.2">
      <c r="A26" s="56"/>
      <c r="H26"/>
      <c r="T26" s="84"/>
      <c r="U26" s="84"/>
      <c r="V26" s="84"/>
      <c r="W26" s="84"/>
      <c r="X26" s="84"/>
      <c r="Y26" s="84"/>
      <c r="Z26" s="84"/>
    </row>
    <row r="27" spans="1:26" x14ac:dyDescent="0.2">
      <c r="A27" s="56"/>
      <c r="H27"/>
      <c r="T27" s="84"/>
      <c r="U27" s="84"/>
      <c r="V27" s="84"/>
      <c r="W27" s="84"/>
      <c r="X27" s="84"/>
      <c r="Y27" s="84"/>
      <c r="Z27" s="84"/>
    </row>
    <row r="28" spans="1:26" x14ac:dyDescent="0.2">
      <c r="A28" s="56"/>
      <c r="H28"/>
      <c r="T28" s="84"/>
      <c r="U28" s="84"/>
      <c r="V28" s="84"/>
      <c r="W28" s="84"/>
      <c r="X28" s="84"/>
      <c r="Y28" s="84"/>
      <c r="Z28" s="84"/>
    </row>
    <row r="29" spans="1:26" x14ac:dyDescent="0.2">
      <c r="A29" s="56"/>
      <c r="H29"/>
      <c r="T29" s="84"/>
      <c r="U29" s="84"/>
      <c r="V29" s="84"/>
      <c r="W29" s="84"/>
      <c r="X29" s="84"/>
      <c r="Y29" s="84"/>
      <c r="Z29" s="84"/>
    </row>
    <row r="30" spans="1:26" x14ac:dyDescent="0.2">
      <c r="A30" s="56"/>
      <c r="H30"/>
      <c r="T30" s="84"/>
      <c r="U30" s="84"/>
      <c r="V30" s="84"/>
      <c r="W30" s="84"/>
      <c r="X30" s="84"/>
      <c r="Y30" s="84"/>
      <c r="Z30" s="84"/>
    </row>
    <row r="31" spans="1:26" x14ac:dyDescent="0.2">
      <c r="A31" s="56"/>
      <c r="H31"/>
      <c r="T31" s="84"/>
      <c r="U31" s="84"/>
      <c r="V31" s="84"/>
      <c r="W31" s="84"/>
      <c r="X31" s="84"/>
      <c r="Y31" s="84"/>
      <c r="Z31" s="84"/>
    </row>
    <row r="32" spans="1:26" x14ac:dyDescent="0.2">
      <c r="A32" s="56"/>
      <c r="H32"/>
      <c r="T32" s="84"/>
      <c r="U32" s="84"/>
      <c r="V32" s="84"/>
      <c r="W32" s="84"/>
      <c r="X32" s="84"/>
      <c r="Y32" s="84"/>
      <c r="Z32" s="84"/>
    </row>
    <row r="33" spans="1:26" x14ac:dyDescent="0.2">
      <c r="A33" s="56"/>
      <c r="H33"/>
      <c r="T33" s="84"/>
      <c r="U33" s="84"/>
      <c r="V33" s="84"/>
      <c r="W33" s="84"/>
      <c r="X33" s="84"/>
      <c r="Y33" s="84"/>
      <c r="Z33" s="84"/>
    </row>
    <row r="34" spans="1:26" x14ac:dyDescent="0.2">
      <c r="A34" s="56"/>
      <c r="H34"/>
      <c r="T34" s="84"/>
      <c r="U34" s="84"/>
      <c r="V34" s="84"/>
      <c r="W34" s="84"/>
      <c r="X34" s="84"/>
      <c r="Y34" s="84"/>
      <c r="Z34" s="84"/>
    </row>
    <row r="35" spans="1:26" x14ac:dyDescent="0.2">
      <c r="A35" s="56"/>
      <c r="H35"/>
      <c r="T35" s="84"/>
      <c r="U35" s="84"/>
      <c r="V35" s="84"/>
      <c r="W35" s="84"/>
      <c r="X35" s="84"/>
      <c r="Y35" s="84"/>
      <c r="Z35" s="84"/>
    </row>
    <row r="36" spans="1:26" x14ac:dyDescent="0.2">
      <c r="A36" s="56"/>
      <c r="H36"/>
      <c r="T36" s="84"/>
      <c r="U36" s="84"/>
      <c r="V36" s="84"/>
      <c r="W36" s="84"/>
      <c r="X36" s="84"/>
      <c r="Y36" s="84"/>
      <c r="Z36" s="84"/>
    </row>
    <row r="37" spans="1:26" x14ac:dyDescent="0.2">
      <c r="A37" s="56"/>
      <c r="H37"/>
      <c r="T37" s="84"/>
      <c r="U37" s="84"/>
      <c r="V37" s="84"/>
      <c r="W37" s="84"/>
      <c r="X37" s="84"/>
      <c r="Y37" s="84"/>
      <c r="Z37" s="84"/>
    </row>
    <row r="38" spans="1:26" x14ac:dyDescent="0.2">
      <c r="A38" s="56"/>
      <c r="H38"/>
      <c r="T38" s="84"/>
      <c r="U38" s="84"/>
      <c r="V38" s="84"/>
      <c r="W38" s="84"/>
      <c r="X38" s="84"/>
      <c r="Y38" s="84"/>
      <c r="Z38" s="84"/>
    </row>
    <row r="39" spans="1:26" x14ac:dyDescent="0.2">
      <c r="A39" s="56"/>
      <c r="H39"/>
      <c r="T39" s="84"/>
      <c r="U39" s="84"/>
      <c r="V39" s="84"/>
      <c r="W39" s="84"/>
      <c r="X39" s="84"/>
      <c r="Y39" s="84"/>
      <c r="Z39" s="84"/>
    </row>
    <row r="40" spans="1:26" x14ac:dyDescent="0.2">
      <c r="A40" s="56"/>
      <c r="H40"/>
      <c r="T40" s="84"/>
      <c r="U40" s="84"/>
      <c r="V40" s="84"/>
      <c r="W40" s="84"/>
      <c r="X40" s="84"/>
      <c r="Y40" s="84"/>
      <c r="Z40" s="84"/>
    </row>
    <row r="41" spans="1:26" x14ac:dyDescent="0.2">
      <c r="A41" s="56"/>
      <c r="H41"/>
      <c r="T41" s="84"/>
      <c r="U41" s="84"/>
      <c r="V41" s="84"/>
      <c r="W41" s="84"/>
      <c r="X41" s="84"/>
      <c r="Y41" s="84"/>
      <c r="Z41" s="84"/>
    </row>
    <row r="42" spans="1:26" x14ac:dyDescent="0.2">
      <c r="A42" s="56"/>
      <c r="H42"/>
      <c r="T42" s="84"/>
      <c r="U42" s="84"/>
      <c r="V42" s="84"/>
      <c r="W42" s="84"/>
      <c r="X42" s="84"/>
      <c r="Y42" s="84"/>
      <c r="Z42" s="84"/>
    </row>
    <row r="43" spans="1:26" x14ac:dyDescent="0.2">
      <c r="A43" s="56"/>
      <c r="H43"/>
      <c r="T43" s="84"/>
      <c r="U43" s="84"/>
      <c r="V43" s="84"/>
      <c r="W43" s="84"/>
      <c r="X43" s="84"/>
      <c r="Y43" s="84"/>
      <c r="Z43" s="84"/>
    </row>
    <row r="44" spans="1:26" x14ac:dyDescent="0.2">
      <c r="A44" s="56"/>
      <c r="H44"/>
      <c r="T44" s="84"/>
      <c r="U44" s="84"/>
      <c r="V44" s="84"/>
      <c r="W44" s="84"/>
      <c r="X44" s="84"/>
      <c r="Y44" s="84"/>
      <c r="Z44" s="84"/>
    </row>
    <row r="45" spans="1:26" x14ac:dyDescent="0.2">
      <c r="A45" s="56"/>
      <c r="H45"/>
      <c r="T45" s="84"/>
      <c r="U45" s="84"/>
      <c r="V45" s="84"/>
      <c r="W45" s="84"/>
      <c r="X45" s="84"/>
      <c r="Y45" s="84"/>
      <c r="Z45" s="84"/>
    </row>
    <row r="46" spans="1:26" x14ac:dyDescent="0.2">
      <c r="A46" s="56"/>
      <c r="H46"/>
      <c r="T46" s="84"/>
      <c r="U46" s="84"/>
      <c r="V46" s="84"/>
      <c r="W46" s="84"/>
      <c r="X46" s="84"/>
      <c r="Y46" s="84"/>
      <c r="Z46" s="84"/>
    </row>
    <row r="47" spans="1:26" x14ac:dyDescent="0.2">
      <c r="A47" s="56"/>
      <c r="H47"/>
      <c r="T47" s="84"/>
      <c r="U47" s="84"/>
      <c r="V47" s="84"/>
      <c r="W47" s="84"/>
      <c r="X47" s="84"/>
      <c r="Y47" s="84"/>
      <c r="Z47" s="84"/>
    </row>
    <row r="48" spans="1:26" x14ac:dyDescent="0.2">
      <c r="A48" s="56"/>
      <c r="H48"/>
      <c r="T48" s="84"/>
      <c r="U48" s="84"/>
      <c r="V48" s="84"/>
      <c r="W48" s="84"/>
      <c r="X48" s="84"/>
      <c r="Y48" s="84"/>
      <c r="Z48" s="84"/>
    </row>
    <row r="49" spans="1:26" x14ac:dyDescent="0.2">
      <c r="A49" s="56"/>
      <c r="H49"/>
      <c r="T49" s="84"/>
      <c r="U49" s="84"/>
      <c r="V49" s="84"/>
      <c r="W49" s="84"/>
      <c r="X49" s="84"/>
      <c r="Y49" s="84"/>
      <c r="Z49" s="84"/>
    </row>
    <row r="50" spans="1:26" x14ac:dyDescent="0.2">
      <c r="A50" s="56"/>
      <c r="H50"/>
      <c r="T50" s="84"/>
      <c r="U50" s="84"/>
      <c r="V50" s="84"/>
      <c r="W50" s="84"/>
      <c r="X50" s="84"/>
      <c r="Y50" s="84"/>
      <c r="Z50" s="84"/>
    </row>
    <row r="51" spans="1:26" x14ac:dyDescent="0.2">
      <c r="A51" s="56"/>
      <c r="H51"/>
      <c r="T51" s="84"/>
      <c r="U51" s="84"/>
      <c r="V51" s="84"/>
      <c r="W51" s="84"/>
      <c r="X51" s="84"/>
      <c r="Y51" s="84"/>
      <c r="Z51" s="84"/>
    </row>
    <row r="52" spans="1:26" x14ac:dyDescent="0.2">
      <c r="A52" s="56"/>
      <c r="H52"/>
      <c r="T52" s="84"/>
      <c r="U52" s="84"/>
      <c r="V52" s="84"/>
      <c r="W52" s="84"/>
      <c r="X52" s="84"/>
      <c r="Y52" s="84"/>
      <c r="Z52" s="84"/>
    </row>
    <row r="53" spans="1:26" x14ac:dyDescent="0.2">
      <c r="A53" s="56"/>
      <c r="H53"/>
      <c r="T53" s="84"/>
      <c r="U53" s="84"/>
      <c r="V53" s="84"/>
      <c r="W53" s="84"/>
      <c r="X53" s="84"/>
      <c r="Y53" s="84"/>
      <c r="Z53" s="84"/>
    </row>
    <row r="54" spans="1:26" x14ac:dyDescent="0.2">
      <c r="A54" s="56"/>
      <c r="H54"/>
      <c r="T54" s="84"/>
      <c r="U54" s="84"/>
      <c r="V54" s="84"/>
      <c r="W54" s="84"/>
      <c r="X54" s="84"/>
      <c r="Y54" s="84"/>
      <c r="Z54" s="84"/>
    </row>
    <row r="55" spans="1:26" x14ac:dyDescent="0.2">
      <c r="A55" s="56"/>
      <c r="H55"/>
      <c r="T55" s="84"/>
      <c r="U55" s="84"/>
      <c r="V55" s="84"/>
      <c r="W55" s="84"/>
      <c r="X55" s="84"/>
      <c r="Y55" s="84"/>
      <c r="Z55" s="84"/>
    </row>
    <row r="56" spans="1:26" x14ac:dyDescent="0.2">
      <c r="A56" s="56"/>
      <c r="H56"/>
      <c r="T56" s="84"/>
      <c r="U56" s="84"/>
      <c r="V56" s="84"/>
      <c r="W56" s="84"/>
      <c r="X56" s="84"/>
      <c r="Y56" s="84"/>
      <c r="Z56" s="84"/>
    </row>
    <row r="57" spans="1:26" x14ac:dyDescent="0.2">
      <c r="A57" s="56"/>
      <c r="H57"/>
      <c r="T57" s="84"/>
      <c r="U57" s="84"/>
      <c r="V57" s="84"/>
      <c r="W57" s="84"/>
      <c r="X57" s="84"/>
      <c r="Y57" s="84"/>
      <c r="Z57" s="84"/>
    </row>
    <row r="58" spans="1:26" x14ac:dyDescent="0.2">
      <c r="A58" s="56"/>
      <c r="H58"/>
      <c r="T58" s="84"/>
      <c r="U58" s="84"/>
      <c r="V58" s="84"/>
      <c r="W58" s="84"/>
      <c r="X58" s="84"/>
      <c r="Y58" s="84"/>
      <c r="Z58" s="84"/>
    </row>
    <row r="59" spans="1:26" x14ac:dyDescent="0.2">
      <c r="A59" s="56"/>
      <c r="H59"/>
      <c r="T59" s="84"/>
      <c r="U59" s="84"/>
      <c r="V59" s="84"/>
      <c r="W59" s="84"/>
      <c r="X59" s="84"/>
      <c r="Y59" s="84"/>
      <c r="Z59" s="84"/>
    </row>
    <row r="60" spans="1:26" x14ac:dyDescent="0.2">
      <c r="A60" s="56"/>
      <c r="H60"/>
      <c r="T60" s="84"/>
      <c r="U60" s="84"/>
      <c r="V60" s="84"/>
      <c r="W60" s="84"/>
      <c r="X60" s="84"/>
      <c r="Y60" s="84"/>
      <c r="Z60" s="84"/>
    </row>
    <row r="61" spans="1:26" x14ac:dyDescent="0.2">
      <c r="A61" s="56"/>
      <c r="H61"/>
      <c r="T61" s="84"/>
      <c r="U61" s="84"/>
      <c r="V61" s="84"/>
      <c r="W61" s="84"/>
      <c r="X61" s="84"/>
      <c r="Y61" s="84"/>
      <c r="Z61" s="84"/>
    </row>
    <row r="62" spans="1:26" x14ac:dyDescent="0.2">
      <c r="A62" s="56"/>
      <c r="H62"/>
      <c r="T62" s="84"/>
      <c r="U62" s="84"/>
      <c r="V62" s="84"/>
      <c r="W62" s="84"/>
      <c r="X62" s="84"/>
      <c r="Y62" s="84"/>
      <c r="Z62" s="84"/>
    </row>
    <row r="63" spans="1:26" x14ac:dyDescent="0.2">
      <c r="A63" s="56"/>
      <c r="H63"/>
      <c r="T63" s="84"/>
      <c r="U63" s="84"/>
      <c r="V63" s="84"/>
      <c r="W63" s="84"/>
      <c r="X63" s="84"/>
      <c r="Y63" s="84"/>
      <c r="Z63" s="84"/>
    </row>
    <row r="64" spans="1:26" x14ac:dyDescent="0.2">
      <c r="A64" s="56"/>
      <c r="H64"/>
      <c r="T64" s="84"/>
      <c r="U64" s="84"/>
      <c r="V64" s="84"/>
      <c r="W64" s="84"/>
      <c r="X64" s="84"/>
      <c r="Y64" s="84"/>
      <c r="Z64" s="84"/>
    </row>
    <row r="65" spans="1:26" x14ac:dyDescent="0.2">
      <c r="A65" s="56"/>
      <c r="H65"/>
      <c r="T65" s="84"/>
      <c r="U65" s="84"/>
      <c r="V65" s="84"/>
      <c r="W65" s="84"/>
      <c r="X65" s="84"/>
      <c r="Y65" s="84"/>
      <c r="Z65" s="84"/>
    </row>
    <row r="66" spans="1:26" x14ac:dyDescent="0.2">
      <c r="A66" s="56"/>
      <c r="H66"/>
      <c r="T66" s="84"/>
      <c r="U66" s="84"/>
      <c r="V66" s="84"/>
      <c r="W66" s="84"/>
      <c r="X66" s="84"/>
      <c r="Y66" s="84"/>
      <c r="Z66" s="84"/>
    </row>
    <row r="67" spans="1:26" x14ac:dyDescent="0.2">
      <c r="A67" s="56"/>
      <c r="H67"/>
      <c r="T67" s="84"/>
      <c r="U67" s="84"/>
      <c r="V67" s="84"/>
      <c r="W67" s="84"/>
      <c r="X67" s="84"/>
      <c r="Y67" s="84"/>
      <c r="Z67" s="84"/>
    </row>
    <row r="68" spans="1:26" x14ac:dyDescent="0.2">
      <c r="A68" s="56"/>
      <c r="H68"/>
      <c r="T68" s="84"/>
      <c r="U68" s="84"/>
      <c r="V68" s="84"/>
      <c r="W68" s="84"/>
      <c r="X68" s="84"/>
      <c r="Y68" s="84"/>
      <c r="Z68" s="84"/>
    </row>
    <row r="69" spans="1:26" x14ac:dyDescent="0.2">
      <c r="A69" s="56"/>
      <c r="H69"/>
      <c r="T69" s="84"/>
      <c r="U69" s="84"/>
      <c r="V69" s="84"/>
      <c r="W69" s="84"/>
      <c r="X69" s="84"/>
      <c r="Y69" s="84"/>
      <c r="Z69" s="84"/>
    </row>
    <row r="70" spans="1:26" x14ac:dyDescent="0.2">
      <c r="A70" s="56"/>
      <c r="H70"/>
      <c r="T70" s="84"/>
      <c r="U70" s="84"/>
      <c r="V70" s="84"/>
      <c r="W70" s="84"/>
      <c r="X70" s="84"/>
      <c r="Y70" s="84"/>
      <c r="Z70" s="84"/>
    </row>
    <row r="71" spans="1:26" x14ac:dyDescent="0.2">
      <c r="A71" s="56"/>
      <c r="H71"/>
      <c r="T71" s="84"/>
      <c r="U71" s="84"/>
      <c r="V71" s="84"/>
      <c r="W71" s="84"/>
      <c r="X71" s="84"/>
      <c r="Y71" s="84"/>
      <c r="Z71" s="84"/>
    </row>
    <row r="72" spans="1:26" x14ac:dyDescent="0.2">
      <c r="A72" s="56"/>
      <c r="H72"/>
      <c r="T72" s="84"/>
      <c r="U72" s="84"/>
      <c r="V72" s="84"/>
      <c r="W72" s="84"/>
      <c r="X72" s="84"/>
      <c r="Y72" s="84"/>
      <c r="Z72" s="84"/>
    </row>
    <row r="73" spans="1:26" x14ac:dyDescent="0.2">
      <c r="A73" s="56"/>
      <c r="H73"/>
      <c r="T73" s="84"/>
      <c r="U73" s="84"/>
      <c r="V73" s="84"/>
      <c r="W73" s="84"/>
      <c r="X73" s="84"/>
      <c r="Y73" s="84"/>
      <c r="Z73" s="84"/>
    </row>
    <row r="74" spans="1:26" x14ac:dyDescent="0.2">
      <c r="A74" s="56"/>
      <c r="H74"/>
      <c r="T74" s="84"/>
      <c r="U74" s="84"/>
      <c r="V74" s="84"/>
      <c r="W74" s="84"/>
      <c r="X74" s="84"/>
      <c r="Y74" s="84"/>
      <c r="Z74" s="84"/>
    </row>
    <row r="75" spans="1:26" x14ac:dyDescent="0.2">
      <c r="A75" s="56"/>
      <c r="H75"/>
      <c r="T75" s="84"/>
      <c r="U75" s="84"/>
      <c r="V75" s="84"/>
      <c r="W75" s="84"/>
      <c r="X75" s="84"/>
      <c r="Y75" s="84"/>
      <c r="Z75" s="84"/>
    </row>
    <row r="76" spans="1:26" x14ac:dyDescent="0.2">
      <c r="A76" s="56"/>
      <c r="H76"/>
      <c r="T76" s="84"/>
      <c r="U76" s="84"/>
      <c r="V76" s="84"/>
      <c r="W76" s="84"/>
      <c r="X76" s="84"/>
      <c r="Y76" s="84"/>
      <c r="Z76" s="84"/>
    </row>
    <row r="77" spans="1:26" x14ac:dyDescent="0.2">
      <c r="A77" s="56"/>
      <c r="H77"/>
      <c r="T77" s="84"/>
      <c r="U77" s="84"/>
      <c r="V77" s="84"/>
      <c r="W77" s="84"/>
      <c r="X77" s="84"/>
      <c r="Y77" s="84"/>
      <c r="Z77" s="84"/>
    </row>
    <row r="78" spans="1:26" x14ac:dyDescent="0.2">
      <c r="A78" s="56"/>
      <c r="H78"/>
      <c r="T78" s="84"/>
      <c r="U78" s="84"/>
      <c r="V78" s="84"/>
      <c r="W78" s="84"/>
      <c r="X78" s="84"/>
      <c r="Y78" s="84"/>
      <c r="Z78" s="84"/>
    </row>
    <row r="79" spans="1:26" x14ac:dyDescent="0.2">
      <c r="A79" s="56"/>
      <c r="H79"/>
      <c r="T79" s="84"/>
      <c r="U79" s="84"/>
      <c r="V79" s="84"/>
      <c r="W79" s="84"/>
      <c r="X79" s="84"/>
      <c r="Y79" s="84"/>
      <c r="Z79" s="84"/>
    </row>
    <row r="80" spans="1:26" x14ac:dyDescent="0.2">
      <c r="A80" s="56"/>
      <c r="H80"/>
      <c r="T80" s="84"/>
      <c r="U80" s="84"/>
      <c r="V80" s="84"/>
      <c r="W80" s="84"/>
      <c r="X80" s="84"/>
      <c r="Y80" s="84"/>
      <c r="Z80" s="84"/>
    </row>
    <row r="81" spans="1:26" x14ac:dyDescent="0.2">
      <c r="A81" s="56"/>
      <c r="H81"/>
      <c r="T81" s="84"/>
      <c r="U81" s="84"/>
      <c r="V81" s="84"/>
      <c r="W81" s="84"/>
      <c r="X81" s="84"/>
      <c r="Y81" s="84"/>
      <c r="Z81" s="84"/>
    </row>
    <row r="82" spans="1:26" x14ac:dyDescent="0.2">
      <c r="A82" s="56"/>
      <c r="H82"/>
      <c r="T82" s="84"/>
      <c r="U82" s="84"/>
      <c r="V82" s="84"/>
      <c r="W82" s="84"/>
      <c r="X82" s="84"/>
      <c r="Y82" s="84"/>
      <c r="Z82" s="84"/>
    </row>
    <row r="83" spans="1:26" x14ac:dyDescent="0.2">
      <c r="A83" s="56"/>
      <c r="H83"/>
      <c r="T83" s="84"/>
      <c r="U83" s="84"/>
      <c r="V83" s="84"/>
      <c r="W83" s="84"/>
      <c r="X83" s="84"/>
      <c r="Y83" s="84"/>
      <c r="Z83" s="84"/>
    </row>
    <row r="84" spans="1:26" x14ac:dyDescent="0.2">
      <c r="A84" s="56"/>
      <c r="H84"/>
      <c r="T84" s="84"/>
      <c r="U84" s="84"/>
      <c r="V84" s="84"/>
      <c r="W84" s="84"/>
      <c r="X84" s="84"/>
      <c r="Y84" s="84"/>
      <c r="Z84" s="84"/>
    </row>
    <row r="85" spans="1:26" x14ac:dyDescent="0.2">
      <c r="A85" s="56"/>
      <c r="H85"/>
      <c r="T85" s="84"/>
      <c r="U85" s="84"/>
      <c r="V85" s="84"/>
      <c r="W85" s="84"/>
      <c r="X85" s="84"/>
      <c r="Y85" s="84"/>
      <c r="Z85" s="84"/>
    </row>
    <row r="86" spans="1:26" x14ac:dyDescent="0.2">
      <c r="A86" s="56"/>
      <c r="H86"/>
      <c r="T86" s="84"/>
      <c r="U86" s="84"/>
      <c r="V86" s="84"/>
      <c r="W86" s="84"/>
      <c r="X86" s="84"/>
      <c r="Y86" s="84"/>
      <c r="Z86" s="84"/>
    </row>
    <row r="87" spans="1:26" x14ac:dyDescent="0.2">
      <c r="A87" s="56"/>
      <c r="H87"/>
      <c r="T87" s="84"/>
      <c r="U87" s="84"/>
      <c r="V87" s="84"/>
      <c r="W87" s="84"/>
      <c r="X87" s="84"/>
      <c r="Y87" s="84"/>
      <c r="Z87" s="84"/>
    </row>
    <row r="88" spans="1:26" x14ac:dyDescent="0.2">
      <c r="A88" s="56"/>
      <c r="H88"/>
      <c r="T88" s="84"/>
      <c r="U88" s="84"/>
      <c r="V88" s="84"/>
      <c r="W88" s="84"/>
      <c r="X88" s="84"/>
      <c r="Y88" s="84"/>
      <c r="Z88" s="84"/>
    </row>
    <row r="89" spans="1:26" x14ac:dyDescent="0.2">
      <c r="A89" s="56"/>
      <c r="H89"/>
      <c r="T89" s="84"/>
      <c r="U89" s="84"/>
      <c r="V89" s="84"/>
      <c r="W89" s="84"/>
      <c r="X89" s="84"/>
      <c r="Y89" s="84"/>
      <c r="Z89" s="84"/>
    </row>
    <row r="90" spans="1:26" x14ac:dyDescent="0.2">
      <c r="A90" s="56"/>
      <c r="H90"/>
      <c r="T90" s="84"/>
      <c r="U90" s="84"/>
      <c r="V90" s="84"/>
      <c r="W90" s="84"/>
      <c r="X90" s="84"/>
      <c r="Y90" s="84"/>
      <c r="Z90" s="84"/>
    </row>
    <row r="91" spans="1:26" x14ac:dyDescent="0.2">
      <c r="A91" s="56"/>
      <c r="H91"/>
      <c r="T91" s="84"/>
      <c r="U91" s="84"/>
      <c r="V91" s="84"/>
      <c r="W91" s="84"/>
      <c r="X91" s="84"/>
      <c r="Y91" s="84"/>
      <c r="Z91" s="84"/>
    </row>
    <row r="92" spans="1:26" x14ac:dyDescent="0.2">
      <c r="A92" s="56"/>
      <c r="H92"/>
      <c r="T92" s="84"/>
      <c r="U92" s="84"/>
      <c r="V92" s="84"/>
      <c r="W92" s="84"/>
      <c r="X92" s="84"/>
      <c r="Y92" s="84"/>
      <c r="Z92" s="84"/>
    </row>
    <row r="93" spans="1:26" x14ac:dyDescent="0.2">
      <c r="A93" s="56"/>
      <c r="H93"/>
      <c r="T93" s="84"/>
      <c r="U93" s="84"/>
      <c r="V93" s="84"/>
      <c r="W93" s="84"/>
      <c r="X93" s="84"/>
      <c r="Y93" s="84"/>
      <c r="Z93" s="84"/>
    </row>
    <row r="94" spans="1:26" x14ac:dyDescent="0.2">
      <c r="A94" s="56"/>
      <c r="H94"/>
      <c r="T94" s="84"/>
      <c r="U94" s="84"/>
      <c r="V94" s="84"/>
      <c r="W94" s="84"/>
      <c r="X94" s="84"/>
      <c r="Y94" s="84"/>
      <c r="Z94" s="84"/>
    </row>
    <row r="95" spans="1:26" x14ac:dyDescent="0.2">
      <c r="A95" s="56"/>
      <c r="H95"/>
      <c r="T95" s="84"/>
      <c r="U95" s="84"/>
      <c r="V95" s="84"/>
      <c r="W95" s="84"/>
      <c r="X95" s="84"/>
      <c r="Y95" s="84"/>
      <c r="Z95" s="84"/>
    </row>
    <row r="96" spans="1:26" x14ac:dyDescent="0.2">
      <c r="A96" s="56"/>
      <c r="H96"/>
      <c r="T96" s="84"/>
      <c r="U96" s="84"/>
      <c r="V96" s="84"/>
      <c r="W96" s="84"/>
      <c r="X96" s="84"/>
      <c r="Y96" s="84"/>
      <c r="Z96" s="84"/>
    </row>
    <row r="97" spans="1:26" x14ac:dyDescent="0.2">
      <c r="A97" s="56"/>
      <c r="H97"/>
      <c r="T97" s="84"/>
      <c r="U97" s="84"/>
      <c r="V97" s="84"/>
      <c r="W97" s="84"/>
      <c r="X97" s="84"/>
      <c r="Y97" s="84"/>
      <c r="Z97" s="84"/>
    </row>
    <row r="98" spans="1:26" x14ac:dyDescent="0.2">
      <c r="A98" s="56"/>
      <c r="H98"/>
      <c r="T98" s="84"/>
      <c r="U98" s="84"/>
      <c r="V98" s="84"/>
      <c r="W98" s="84"/>
      <c r="X98" s="84"/>
      <c r="Y98" s="84"/>
      <c r="Z98" s="84"/>
    </row>
    <row r="99" spans="1:26" x14ac:dyDescent="0.2">
      <c r="A99" s="56"/>
      <c r="H99"/>
      <c r="T99" s="84"/>
      <c r="U99" s="84"/>
      <c r="V99" s="84"/>
      <c r="W99" s="84"/>
      <c r="X99" s="84"/>
      <c r="Y99" s="84"/>
      <c r="Z99" s="84"/>
    </row>
    <row r="100" spans="1:26" hidden="1" x14ac:dyDescent="0.2">
      <c r="A100" s="56"/>
      <c r="H100"/>
      <c r="K100" t="str">
        <f>IFERROR(VLOOKUP(VALUE(LEFT(J100,11)),[1]DATA!$A:$AP,6,0),"")</f>
        <v/>
      </c>
      <c r="L100" t="str">
        <f>IFERROR(VLOOKUP(VALUE(LEFT(J100,11)),[1]DATA!$A:$AP,34,0),"")</f>
        <v/>
      </c>
      <c r="M100" t="str">
        <f>IFERROR(VLOOKUP(VALUE(LEFT(J100,11)),[1]DATA!$A:$AP,30,0),"")</f>
        <v/>
      </c>
      <c r="N100" t="str">
        <f>IFERROR(VLOOKUP(VALUE(LEFT(J100,11)),[1]DATA!$A:$AP,42,0),"")</f>
        <v/>
      </c>
      <c r="O100" t="str">
        <f>IFERROR(VLOOKUP(VALUE(LEFT(J100,11)),'[2]AN WIP'!$A$4:$J$2000,6,0),"")</f>
        <v/>
      </c>
      <c r="P100" t="str">
        <f>IFERROR(VLOOKUP(VALUE(LEFT(J100,11)),'[2]AN WIP'!$A$4:$J$2000,7,0),"")</f>
        <v/>
      </c>
      <c r="Q100" t="str">
        <f>IFERROR(VLOOKUP(VALUE(LEFT(J100,11)),'[2]AN WIP'!$A$4:$J$2000,8,0),"")</f>
        <v/>
      </c>
      <c r="R100" t="str">
        <f>IFERROR(VLOOKUP(VALUE(LEFT(J100,11)),'[2]AN WIP'!$A$4:$J$2000,9,0),"")</f>
        <v/>
      </c>
      <c r="S100" t="str">
        <f>IFERROR(VLOOKUP(VALUE(LEFT(J100,11)),'[2]AN WIP'!$A$4:$J$2000,10,0),"")</f>
        <v/>
      </c>
      <c r="T100" s="84" t="str">
        <f>IFERROR(VLOOKUP(VALUE(LEFT(J100,11)),'[3]SL Subcontrac'!$A$3:$L$2000,6,0),"")</f>
        <v/>
      </c>
      <c r="U100" s="84" t="str">
        <f>IFERROR(VLOOKUP(VALUE(LEFT(J100,11)),'[3]SL Subcontrac'!$A$3:$L$2000,7,0),"")</f>
        <v/>
      </c>
      <c r="V100" s="84" t="str">
        <f>IFERROR(VLOOKUP(VALUE(LEFT(J100,11)),'[3]SL Subcontrac'!$A$3:$L$2000,8,0),"")</f>
        <v/>
      </c>
      <c r="W100" s="84" t="str">
        <f>IFERROR(VLOOKUP(VALUE(LEFT(J100,11)),'[3]SL Subcontrac'!$A$3:$L$2000,9,0),"")</f>
        <v/>
      </c>
      <c r="X100" s="84" t="str">
        <f>IFERROR(VLOOKUP(VALUE(LEFT(J100,11)),'[3]SL Subcontrac'!$A$3:$L$2000,10,0),"")</f>
        <v/>
      </c>
      <c r="Y100" s="84" t="str">
        <f>IFERROR(VLOOKUP(VALUE(LEFT(J100,11)),'[3]SL Subcontrac'!$A$3:$L$2000,11,0),"")</f>
        <v/>
      </c>
      <c r="Z100" s="84" t="str">
        <f>IFERROR(VLOOKUP(VALUE(LEFT(J100,11)),'[3]SL Subcontrac'!$A$3:$L$2000,12,0),"")</f>
        <v/>
      </c>
    </row>
    <row r="101" spans="1:26" hidden="1" x14ac:dyDescent="0.2">
      <c r="A101" s="56"/>
      <c r="H101"/>
      <c r="T101" s="84"/>
      <c r="U101" s="84"/>
      <c r="V101" s="84"/>
      <c r="W101" s="84"/>
      <c r="X101" s="84"/>
      <c r="Y101" s="84"/>
      <c r="Z101" s="84"/>
    </row>
    <row r="102" spans="1:26" hidden="1" x14ac:dyDescent="0.2">
      <c r="A102" s="56"/>
      <c r="H102"/>
      <c r="T102" s="84"/>
      <c r="U102" s="84"/>
      <c r="V102" s="84"/>
      <c r="W102" s="84"/>
      <c r="X102" s="84"/>
      <c r="Y102" s="84"/>
      <c r="Z102" s="84"/>
    </row>
    <row r="103" spans="1:26" hidden="1" x14ac:dyDescent="0.2">
      <c r="A103" s="56"/>
      <c r="H103"/>
      <c r="T103" s="84"/>
      <c r="U103" s="84"/>
      <c r="V103" s="84"/>
      <c r="W103" s="84"/>
      <c r="X103" s="84"/>
      <c r="Y103" s="84"/>
      <c r="Z103" s="84"/>
    </row>
    <row r="104" spans="1:26" hidden="1" x14ac:dyDescent="0.2">
      <c r="A104" s="56"/>
      <c r="H104"/>
      <c r="T104" s="84"/>
      <c r="U104" s="84"/>
      <c r="V104" s="84"/>
      <c r="W104" s="84"/>
      <c r="X104" s="84"/>
      <c r="Y104" s="84"/>
      <c r="Z104" s="84"/>
    </row>
    <row r="105" spans="1:26" hidden="1" x14ac:dyDescent="0.2">
      <c r="A105" s="56"/>
      <c r="H105"/>
      <c r="T105" s="84"/>
      <c r="U105" s="84"/>
      <c r="V105" s="84"/>
      <c r="W105" s="84"/>
      <c r="X105" s="84"/>
      <c r="Y105" s="84"/>
      <c r="Z105" s="84"/>
    </row>
    <row r="106" spans="1:26" hidden="1" x14ac:dyDescent="0.2">
      <c r="A106" s="56"/>
      <c r="H106"/>
      <c r="T106" s="84"/>
      <c r="U106" s="84"/>
      <c r="V106" s="84"/>
      <c r="W106" s="84"/>
      <c r="X106" s="84"/>
      <c r="Y106" s="84"/>
      <c r="Z106" s="84"/>
    </row>
    <row r="107" spans="1:26" hidden="1" x14ac:dyDescent="0.2">
      <c r="A107" s="56"/>
      <c r="H107"/>
      <c r="T107" s="84"/>
      <c r="U107" s="84"/>
      <c r="V107" s="84"/>
      <c r="W107" s="84"/>
      <c r="X107" s="84"/>
      <c r="Y107" s="84"/>
      <c r="Z107" s="84"/>
    </row>
    <row r="108" spans="1:26" hidden="1" x14ac:dyDescent="0.2">
      <c r="A108" s="56"/>
      <c r="H108"/>
      <c r="T108" s="84"/>
      <c r="U108" s="84"/>
      <c r="V108" s="84"/>
      <c r="W108" s="84"/>
      <c r="X108" s="84"/>
      <c r="Y108" s="84"/>
      <c r="Z108" s="84"/>
    </row>
    <row r="109" spans="1:26" hidden="1" x14ac:dyDescent="0.2">
      <c r="A109" s="56"/>
      <c r="H109"/>
      <c r="T109" s="84"/>
      <c r="U109" s="84"/>
      <c r="V109" s="84"/>
      <c r="W109" s="84"/>
      <c r="X109" s="84"/>
      <c r="Y109" s="84"/>
      <c r="Z109" s="84"/>
    </row>
    <row r="110" spans="1:26" hidden="1" x14ac:dyDescent="0.2">
      <c r="A110" s="56"/>
      <c r="H110"/>
      <c r="T110" s="84"/>
      <c r="U110" s="84"/>
      <c r="V110" s="84"/>
      <c r="W110" s="84"/>
      <c r="X110" s="84"/>
      <c r="Y110" s="84"/>
      <c r="Z110" s="84"/>
    </row>
    <row r="111" spans="1:26" hidden="1" x14ac:dyDescent="0.2">
      <c r="A111" s="56"/>
      <c r="H111"/>
      <c r="T111" s="84"/>
      <c r="U111" s="84"/>
      <c r="V111" s="84"/>
      <c r="W111" s="84"/>
      <c r="X111" s="84"/>
      <c r="Y111" s="84"/>
      <c r="Z111" s="84"/>
    </row>
    <row r="112" spans="1:26" hidden="1" x14ac:dyDescent="0.2">
      <c r="A112" s="56"/>
      <c r="H112"/>
      <c r="T112" s="84"/>
      <c r="U112" s="84"/>
      <c r="V112" s="84"/>
      <c r="W112" s="84"/>
      <c r="X112" s="84"/>
      <c r="Y112" s="84"/>
      <c r="Z112" s="84"/>
    </row>
    <row r="113" spans="1:26" hidden="1" x14ac:dyDescent="0.2">
      <c r="A113" s="56"/>
      <c r="H113"/>
      <c r="T113" s="84"/>
      <c r="U113" s="84"/>
      <c r="V113" s="84"/>
      <c r="W113" s="84"/>
      <c r="X113" s="84"/>
      <c r="Y113" s="84"/>
      <c r="Z113" s="84"/>
    </row>
    <row r="114" spans="1:26" hidden="1" x14ac:dyDescent="0.2">
      <c r="A114" s="56"/>
      <c r="H114"/>
      <c r="T114" s="84"/>
      <c r="U114" s="84"/>
      <c r="V114" s="84"/>
      <c r="W114" s="84"/>
      <c r="X114" s="84"/>
      <c r="Y114" s="84"/>
      <c r="Z114" s="84"/>
    </row>
    <row r="115" spans="1:26" hidden="1" x14ac:dyDescent="0.2">
      <c r="A115" s="56"/>
      <c r="H115"/>
      <c r="T115" s="84"/>
      <c r="U115" s="84"/>
      <c r="V115" s="84"/>
      <c r="W115" s="84"/>
      <c r="X115" s="84"/>
      <c r="Y115" s="84"/>
      <c r="Z115" s="84"/>
    </row>
    <row r="116" spans="1:26" hidden="1" x14ac:dyDescent="0.2">
      <c r="A116" s="56"/>
      <c r="H116"/>
      <c r="T116" s="84"/>
      <c r="U116" s="84"/>
      <c r="V116" s="84"/>
      <c r="W116" s="84"/>
      <c r="X116" s="84"/>
      <c r="Y116" s="84"/>
      <c r="Z116" s="84"/>
    </row>
    <row r="117" spans="1:26" hidden="1" x14ac:dyDescent="0.2">
      <c r="A117" s="56"/>
      <c r="H117"/>
      <c r="T117" s="84"/>
      <c r="U117" s="84"/>
      <c r="V117" s="84"/>
      <c r="W117" s="84"/>
      <c r="X117" s="84"/>
      <c r="Y117" s="84"/>
      <c r="Z117" s="84"/>
    </row>
    <row r="118" spans="1:26" hidden="1" x14ac:dyDescent="0.2">
      <c r="A118" s="56"/>
      <c r="H118"/>
      <c r="T118" s="84"/>
      <c r="U118" s="84"/>
      <c r="V118" s="84"/>
      <c r="W118" s="84"/>
      <c r="X118" s="84"/>
      <c r="Y118" s="84"/>
      <c r="Z118" s="84"/>
    </row>
    <row r="119" spans="1:26" hidden="1" x14ac:dyDescent="0.2">
      <c r="A119" s="56"/>
      <c r="H119"/>
      <c r="T119" s="84"/>
      <c r="U119" s="84"/>
      <c r="V119" s="84"/>
      <c r="W119" s="84"/>
      <c r="X119" s="84"/>
      <c r="Y119" s="84"/>
      <c r="Z119" s="84"/>
    </row>
    <row r="120" spans="1:26" hidden="1" x14ac:dyDescent="0.2">
      <c r="A120" s="56"/>
      <c r="H120"/>
      <c r="T120" s="84"/>
      <c r="U120" s="84"/>
      <c r="V120" s="84"/>
      <c r="W120" s="84"/>
      <c r="X120" s="84"/>
      <c r="Y120" s="84"/>
      <c r="Z120" s="84"/>
    </row>
    <row r="121" spans="1:26" hidden="1" x14ac:dyDescent="0.2">
      <c r="A121" s="56"/>
      <c r="H121"/>
      <c r="T121" s="84"/>
      <c r="U121" s="84"/>
      <c r="V121" s="84"/>
      <c r="W121" s="84"/>
      <c r="X121" s="84"/>
      <c r="Y121" s="84"/>
      <c r="Z121" s="84"/>
    </row>
    <row r="122" spans="1:26" hidden="1" x14ac:dyDescent="0.2">
      <c r="A122" s="56"/>
      <c r="H122"/>
      <c r="T122" s="84"/>
      <c r="U122" s="84"/>
      <c r="V122" s="84"/>
      <c r="W122" s="84"/>
      <c r="X122" s="84"/>
      <c r="Y122" s="84"/>
      <c r="Z122" s="84"/>
    </row>
    <row r="123" spans="1:26" hidden="1" x14ac:dyDescent="0.2">
      <c r="A123" s="56"/>
      <c r="H123"/>
      <c r="T123" s="84"/>
      <c r="U123" s="84"/>
      <c r="V123" s="84"/>
      <c r="W123" s="84"/>
      <c r="X123" s="84"/>
      <c r="Y123" s="84"/>
      <c r="Z123" s="84"/>
    </row>
    <row r="124" spans="1:26" hidden="1" x14ac:dyDescent="0.2">
      <c r="A124" s="56"/>
      <c r="H124"/>
      <c r="T124" s="84"/>
      <c r="U124" s="84"/>
      <c r="V124" s="84"/>
      <c r="W124" s="84"/>
      <c r="X124" s="84"/>
      <c r="Y124" s="84"/>
      <c r="Z124" s="84"/>
    </row>
    <row r="125" spans="1:26" hidden="1" x14ac:dyDescent="0.2">
      <c r="A125" s="56"/>
      <c r="H125"/>
      <c r="T125" s="84"/>
      <c r="U125" s="84"/>
      <c r="V125" s="84"/>
      <c r="W125" s="84"/>
      <c r="X125" s="84"/>
      <c r="Y125" s="84"/>
      <c r="Z125" s="84"/>
    </row>
    <row r="126" spans="1:26" hidden="1" x14ac:dyDescent="0.2">
      <c r="A126" s="56"/>
      <c r="H126"/>
      <c r="T126" s="84"/>
      <c r="U126" s="84"/>
      <c r="V126" s="84"/>
      <c r="W126" s="84"/>
      <c r="X126" s="84"/>
      <c r="Y126" s="84"/>
      <c r="Z126" s="84"/>
    </row>
    <row r="127" spans="1:26" hidden="1" x14ac:dyDescent="0.2">
      <c r="A127" s="56"/>
      <c r="H127"/>
      <c r="T127" s="84"/>
      <c r="U127" s="84"/>
      <c r="V127" s="84"/>
      <c r="W127" s="84"/>
      <c r="X127" s="84"/>
      <c r="Y127" s="84"/>
      <c r="Z127" s="84"/>
    </row>
    <row r="128" spans="1:26" hidden="1" x14ac:dyDescent="0.2">
      <c r="A128" s="56"/>
      <c r="H128"/>
      <c r="T128" s="84"/>
      <c r="U128" s="84"/>
      <c r="V128" s="84"/>
      <c r="W128" s="84"/>
      <c r="X128" s="84"/>
      <c r="Y128" s="84"/>
      <c r="Z128" s="84"/>
    </row>
    <row r="129" spans="1:26" hidden="1" x14ac:dyDescent="0.2">
      <c r="A129" s="56"/>
      <c r="H129"/>
      <c r="T129" s="84"/>
      <c r="U129" s="84"/>
      <c r="V129" s="84"/>
      <c r="W129" s="84"/>
      <c r="X129" s="84"/>
      <c r="Y129" s="84"/>
      <c r="Z129" s="84"/>
    </row>
    <row r="130" spans="1:26" hidden="1" x14ac:dyDescent="0.2">
      <c r="A130" s="56"/>
      <c r="H130"/>
      <c r="T130" s="84"/>
      <c r="U130" s="84"/>
      <c r="V130" s="84"/>
      <c r="W130" s="84"/>
      <c r="X130" s="84"/>
      <c r="Y130" s="84"/>
      <c r="Z130" s="84"/>
    </row>
    <row r="131" spans="1:26" hidden="1" x14ac:dyDescent="0.2">
      <c r="A131" s="56"/>
      <c r="H131"/>
      <c r="T131" s="84"/>
      <c r="U131" s="84"/>
      <c r="V131" s="84"/>
      <c r="W131" s="84"/>
      <c r="X131" s="84"/>
      <c r="Y131" s="84"/>
      <c r="Z131" s="84"/>
    </row>
    <row r="132" spans="1:26" hidden="1" x14ac:dyDescent="0.2">
      <c r="A132" s="56"/>
      <c r="H132"/>
      <c r="T132" s="84"/>
      <c r="U132" s="84"/>
      <c r="V132" s="84"/>
      <c r="W132" s="84"/>
      <c r="X132" s="84"/>
      <c r="Y132" s="84"/>
      <c r="Z132" s="84"/>
    </row>
    <row r="133" spans="1:26" hidden="1" x14ac:dyDescent="0.2">
      <c r="A133" s="56"/>
      <c r="H133"/>
      <c r="T133" s="84"/>
      <c r="U133" s="84"/>
      <c r="V133" s="84"/>
      <c r="W133" s="84"/>
      <c r="X133" s="84"/>
      <c r="Y133" s="84"/>
      <c r="Z133" s="84"/>
    </row>
    <row r="134" spans="1:26" hidden="1" x14ac:dyDescent="0.2">
      <c r="A134" s="56"/>
      <c r="H134"/>
      <c r="T134" s="84"/>
      <c r="U134" s="84"/>
      <c r="V134" s="84"/>
      <c r="W134" s="84"/>
      <c r="X134" s="84"/>
      <c r="Y134" s="84"/>
      <c r="Z134" s="84"/>
    </row>
    <row r="135" spans="1:26" hidden="1" x14ac:dyDescent="0.2">
      <c r="A135" s="56"/>
      <c r="H135"/>
      <c r="T135" s="84"/>
      <c r="U135" s="84"/>
      <c r="V135" s="84"/>
      <c r="W135" s="84"/>
      <c r="X135" s="84"/>
      <c r="Y135" s="84"/>
      <c r="Z135" s="84"/>
    </row>
    <row r="136" spans="1:26" hidden="1" x14ac:dyDescent="0.2">
      <c r="A136" s="56"/>
      <c r="H136"/>
      <c r="T136" s="84"/>
      <c r="U136" s="84"/>
      <c r="V136" s="84"/>
      <c r="W136" s="84"/>
      <c r="X136" s="84"/>
      <c r="Y136" s="84"/>
      <c r="Z136" s="84"/>
    </row>
    <row r="137" spans="1:26" hidden="1" x14ac:dyDescent="0.2">
      <c r="A137" s="56"/>
      <c r="H137"/>
      <c r="T137" s="84"/>
      <c r="U137" s="84"/>
      <c r="V137" s="84"/>
      <c r="W137" s="84"/>
      <c r="X137" s="84"/>
      <c r="Y137" s="84"/>
      <c r="Z137" s="84"/>
    </row>
    <row r="138" spans="1:26" hidden="1" x14ac:dyDescent="0.2">
      <c r="A138" s="56"/>
      <c r="H138"/>
      <c r="T138" s="84"/>
      <c r="U138" s="84"/>
      <c r="V138" s="84"/>
      <c r="W138" s="84"/>
      <c r="X138" s="84"/>
      <c r="Y138" s="84"/>
      <c r="Z138" s="84"/>
    </row>
    <row r="139" spans="1:26" hidden="1" x14ac:dyDescent="0.2">
      <c r="A139" s="56"/>
      <c r="H139"/>
      <c r="T139" s="84"/>
      <c r="U139" s="84"/>
      <c r="V139" s="84"/>
      <c r="W139" s="84"/>
      <c r="X139" s="84"/>
      <c r="Y139" s="84"/>
      <c r="Z139" s="84"/>
    </row>
    <row r="140" spans="1:26" hidden="1" x14ac:dyDescent="0.2">
      <c r="A140" s="56"/>
      <c r="H140"/>
      <c r="T140" s="84"/>
      <c r="U140" s="84"/>
      <c r="V140" s="84"/>
      <c r="W140" s="84"/>
      <c r="X140" s="84"/>
      <c r="Y140" s="84"/>
      <c r="Z140" s="84"/>
    </row>
    <row r="141" spans="1:26" hidden="1" x14ac:dyDescent="0.2">
      <c r="A141" s="56"/>
      <c r="H141"/>
      <c r="T141" s="84"/>
      <c r="U141" s="84"/>
      <c r="V141" s="84"/>
      <c r="W141" s="84"/>
      <c r="X141" s="84"/>
      <c r="Y141" s="84"/>
      <c r="Z141" s="84"/>
    </row>
    <row r="142" spans="1:26" hidden="1" x14ac:dyDescent="0.2">
      <c r="A142" s="56"/>
      <c r="H142"/>
      <c r="T142" s="84"/>
      <c r="U142" s="84"/>
      <c r="V142" s="84"/>
      <c r="W142" s="84"/>
      <c r="X142" s="84"/>
      <c r="Y142" s="84"/>
      <c r="Z142" s="84"/>
    </row>
    <row r="143" spans="1:26" hidden="1" x14ac:dyDescent="0.2">
      <c r="A143" s="56"/>
      <c r="H143"/>
      <c r="T143" s="84"/>
      <c r="U143" s="84"/>
      <c r="V143" s="84"/>
      <c r="W143" s="84"/>
      <c r="X143" s="84"/>
      <c r="Y143" s="84"/>
      <c r="Z143" s="84"/>
    </row>
    <row r="144" spans="1:26" hidden="1" x14ac:dyDescent="0.2">
      <c r="A144" s="56"/>
      <c r="H144"/>
      <c r="T144" s="84"/>
      <c r="U144" s="84"/>
      <c r="V144" s="84"/>
      <c r="W144" s="84"/>
      <c r="X144" s="84"/>
      <c r="Y144" s="84"/>
      <c r="Z144" s="84"/>
    </row>
    <row r="145" spans="1:26" hidden="1" x14ac:dyDescent="0.2">
      <c r="A145" s="56"/>
      <c r="H145"/>
      <c r="T145" s="84"/>
      <c r="U145" s="84"/>
      <c r="V145" s="84"/>
      <c r="W145" s="84"/>
      <c r="X145" s="84"/>
      <c r="Y145" s="84"/>
      <c r="Z145" s="84"/>
    </row>
    <row r="146" spans="1:26" hidden="1" x14ac:dyDescent="0.2">
      <c r="A146" s="56"/>
      <c r="H146"/>
      <c r="T146" s="84"/>
      <c r="U146" s="84"/>
      <c r="V146" s="84"/>
      <c r="W146" s="84"/>
      <c r="X146" s="84"/>
      <c r="Y146" s="84"/>
      <c r="Z146" s="84"/>
    </row>
    <row r="147" spans="1:26" hidden="1" x14ac:dyDescent="0.2">
      <c r="A147" s="56"/>
      <c r="H147"/>
      <c r="T147" s="84"/>
      <c r="U147" s="84"/>
      <c r="V147" s="84"/>
      <c r="W147" s="84"/>
      <c r="X147" s="84"/>
      <c r="Y147" s="84"/>
      <c r="Z147" s="84"/>
    </row>
    <row r="148" spans="1:26" hidden="1" x14ac:dyDescent="0.2">
      <c r="A148" s="56"/>
      <c r="H148"/>
      <c r="T148" s="84"/>
      <c r="U148" s="84"/>
      <c r="V148" s="84"/>
      <c r="W148" s="84"/>
      <c r="X148" s="84"/>
      <c r="Y148" s="84"/>
      <c r="Z148" s="84"/>
    </row>
    <row r="149" spans="1:26" hidden="1" x14ac:dyDescent="0.2">
      <c r="A149" s="56"/>
      <c r="H149"/>
      <c r="T149" s="84"/>
      <c r="U149" s="84"/>
      <c r="V149" s="84"/>
      <c r="W149" s="84"/>
      <c r="X149" s="84"/>
      <c r="Y149" s="84"/>
      <c r="Z149" s="84"/>
    </row>
    <row r="150" spans="1:26" hidden="1" x14ac:dyDescent="0.2">
      <c r="A150" s="56"/>
      <c r="H150"/>
      <c r="T150" s="84"/>
      <c r="U150" s="84"/>
      <c r="V150" s="84"/>
      <c r="W150" s="84"/>
      <c r="X150" s="84"/>
      <c r="Y150" s="84"/>
      <c r="Z150" s="84"/>
    </row>
    <row r="151" spans="1:26" hidden="1" x14ac:dyDescent="0.2">
      <c r="A151" s="56"/>
      <c r="H151"/>
      <c r="T151" s="84"/>
      <c r="U151" s="84"/>
      <c r="V151" s="84"/>
      <c r="W151" s="84"/>
      <c r="X151" s="84"/>
      <c r="Y151" s="84"/>
      <c r="Z151" s="84"/>
    </row>
    <row r="152" spans="1:26" hidden="1" x14ac:dyDescent="0.2">
      <c r="A152" s="56"/>
      <c r="H152"/>
      <c r="T152" s="84"/>
      <c r="U152" s="84"/>
      <c r="V152" s="84"/>
      <c r="W152" s="84"/>
      <c r="X152" s="84"/>
      <c r="Y152" s="84"/>
      <c r="Z152" s="84"/>
    </row>
    <row r="153" spans="1:26" hidden="1" x14ac:dyDescent="0.2">
      <c r="A153" s="56"/>
      <c r="H153"/>
      <c r="T153" s="84"/>
      <c r="U153" s="84"/>
      <c r="V153" s="84"/>
      <c r="W153" s="84"/>
      <c r="X153" s="84"/>
      <c r="Y153" s="84"/>
      <c r="Z153" s="84"/>
    </row>
    <row r="154" spans="1:26" hidden="1" x14ac:dyDescent="0.2">
      <c r="A154" s="56"/>
      <c r="H154"/>
      <c r="T154" s="84"/>
      <c r="U154" s="84"/>
      <c r="V154" s="84"/>
      <c r="W154" s="84"/>
      <c r="X154" s="84"/>
      <c r="Y154" s="84"/>
      <c r="Z154" s="84"/>
    </row>
    <row r="155" spans="1:26" hidden="1" x14ac:dyDescent="0.2">
      <c r="A155" s="56"/>
      <c r="H155"/>
      <c r="T155" s="84"/>
      <c r="U155" s="84"/>
      <c r="V155" s="84"/>
      <c r="W155" s="84"/>
      <c r="X155" s="84"/>
      <c r="Y155" s="84"/>
      <c r="Z155" s="84"/>
    </row>
    <row r="156" spans="1:26" hidden="1" x14ac:dyDescent="0.2">
      <c r="A156" s="56"/>
      <c r="H156"/>
      <c r="T156" s="84"/>
      <c r="U156" s="84"/>
      <c r="V156" s="84"/>
      <c r="W156" s="84"/>
      <c r="X156" s="84"/>
      <c r="Y156" s="84"/>
      <c r="Z156" s="84"/>
    </row>
    <row r="157" spans="1:26" hidden="1" x14ac:dyDescent="0.2">
      <c r="A157" s="56"/>
      <c r="H157"/>
      <c r="T157" s="84"/>
      <c r="U157" s="84"/>
      <c r="V157" s="84"/>
      <c r="W157" s="84"/>
      <c r="X157" s="84"/>
      <c r="Y157" s="84"/>
      <c r="Z157" s="84"/>
    </row>
    <row r="158" spans="1:26" hidden="1" x14ac:dyDescent="0.2">
      <c r="A158" s="56"/>
      <c r="H158"/>
      <c r="T158" s="84"/>
      <c r="U158" s="84"/>
      <c r="V158" s="84"/>
      <c r="W158" s="84"/>
      <c r="X158" s="84"/>
      <c r="Y158" s="84"/>
      <c r="Z158" s="84"/>
    </row>
    <row r="159" spans="1:26" hidden="1" x14ac:dyDescent="0.2">
      <c r="A159" s="56"/>
      <c r="H159"/>
      <c r="T159" s="84"/>
      <c r="U159" s="84"/>
      <c r="V159" s="84"/>
      <c r="W159" s="84"/>
      <c r="X159" s="84"/>
      <c r="Y159" s="84"/>
      <c r="Z159" s="84"/>
    </row>
    <row r="160" spans="1:26" hidden="1" x14ac:dyDescent="0.2">
      <c r="A160" s="56"/>
      <c r="H160"/>
      <c r="T160" s="84"/>
      <c r="U160" s="84"/>
      <c r="V160" s="84"/>
      <c r="W160" s="84"/>
      <c r="X160" s="84"/>
      <c r="Y160" s="84"/>
      <c r="Z160" s="84"/>
    </row>
    <row r="161" spans="1:26" hidden="1" x14ac:dyDescent="0.2">
      <c r="A161" s="56"/>
      <c r="H161"/>
      <c r="T161" s="84"/>
      <c r="U161" s="84"/>
      <c r="V161" s="84"/>
      <c r="W161" s="84"/>
      <c r="X161" s="84"/>
      <c r="Y161" s="84"/>
      <c r="Z161" s="84"/>
    </row>
    <row r="162" spans="1:26" hidden="1" x14ac:dyDescent="0.2">
      <c r="A162" s="56"/>
      <c r="H162"/>
      <c r="T162" s="84"/>
      <c r="U162" s="84"/>
      <c r="V162" s="84"/>
      <c r="W162" s="84"/>
      <c r="X162" s="84"/>
      <c r="Y162" s="84"/>
      <c r="Z162" s="84"/>
    </row>
    <row r="163" spans="1:26" hidden="1" x14ac:dyDescent="0.2">
      <c r="A163" s="56"/>
      <c r="H163"/>
      <c r="T163" s="84"/>
      <c r="U163" s="84"/>
      <c r="V163" s="84"/>
      <c r="W163" s="84"/>
      <c r="X163" s="84"/>
      <c r="Y163" s="84"/>
      <c r="Z163" s="84"/>
    </row>
    <row r="164" spans="1:26" hidden="1" x14ac:dyDescent="0.2">
      <c r="A164" s="56"/>
      <c r="H164"/>
      <c r="T164" s="84"/>
      <c r="U164" s="84"/>
      <c r="V164" s="84"/>
      <c r="W164" s="84"/>
      <c r="X164" s="84"/>
      <c r="Y164" s="84"/>
      <c r="Z164" s="84"/>
    </row>
    <row r="165" spans="1:26" hidden="1" x14ac:dyDescent="0.2">
      <c r="A165" s="56"/>
      <c r="H165"/>
      <c r="T165" s="84"/>
      <c r="U165" s="84"/>
      <c r="V165" s="84"/>
      <c r="W165" s="84"/>
      <c r="X165" s="84"/>
      <c r="Y165" s="84"/>
      <c r="Z165" s="84"/>
    </row>
    <row r="166" spans="1:26" hidden="1" x14ac:dyDescent="0.2">
      <c r="A166" s="56"/>
      <c r="H166"/>
      <c r="T166" s="84"/>
      <c r="U166" s="84"/>
      <c r="V166" s="84"/>
      <c r="W166" s="84"/>
      <c r="X166" s="84"/>
      <c r="Y166" s="84"/>
      <c r="Z166" s="84"/>
    </row>
    <row r="167" spans="1:26" hidden="1" x14ac:dyDescent="0.2">
      <c r="A167" s="56"/>
      <c r="H167"/>
      <c r="T167" s="84"/>
      <c r="U167" s="84"/>
      <c r="V167" s="84"/>
      <c r="W167" s="84"/>
      <c r="X167" s="84"/>
      <c r="Y167" s="84"/>
      <c r="Z167" s="84"/>
    </row>
    <row r="168" spans="1:26" hidden="1" x14ac:dyDescent="0.2">
      <c r="A168" s="56"/>
      <c r="H168"/>
      <c r="T168" s="84"/>
      <c r="U168" s="84"/>
      <c r="V168" s="84"/>
      <c r="W168" s="84"/>
      <c r="X168" s="84"/>
      <c r="Y168" s="84"/>
      <c r="Z168" s="84"/>
    </row>
    <row r="169" spans="1:26" hidden="1" x14ac:dyDescent="0.2">
      <c r="A169" s="56"/>
      <c r="H169"/>
      <c r="T169" s="84"/>
      <c r="U169" s="84"/>
      <c r="V169" s="84"/>
      <c r="W169" s="84"/>
      <c r="X169" s="84"/>
      <c r="Y169" s="84"/>
      <c r="Z169" s="84"/>
    </row>
    <row r="170" spans="1:26" hidden="1" x14ac:dyDescent="0.2">
      <c r="A170" s="56"/>
      <c r="H170"/>
      <c r="T170" s="84"/>
      <c r="U170" s="84"/>
      <c r="V170" s="84"/>
      <c r="W170" s="84"/>
      <c r="X170" s="84"/>
      <c r="Y170" s="84"/>
      <c r="Z170" s="84"/>
    </row>
    <row r="171" spans="1:26" hidden="1" x14ac:dyDescent="0.2">
      <c r="A171" s="56"/>
      <c r="H171"/>
      <c r="T171" s="84"/>
      <c r="U171" s="84"/>
      <c r="V171" s="84"/>
      <c r="W171" s="84"/>
      <c r="X171" s="84"/>
      <c r="Y171" s="84"/>
      <c r="Z171" s="84"/>
    </row>
    <row r="172" spans="1:26" hidden="1" x14ac:dyDescent="0.2">
      <c r="A172" s="56"/>
      <c r="H172"/>
      <c r="T172" s="84"/>
      <c r="U172" s="84"/>
      <c r="V172" s="84"/>
      <c r="W172" s="84"/>
      <c r="X172" s="84"/>
      <c r="Y172" s="84"/>
      <c r="Z172" s="84"/>
    </row>
    <row r="173" spans="1:26" hidden="1" x14ac:dyDescent="0.2">
      <c r="A173" s="56"/>
      <c r="H173"/>
      <c r="T173" s="84"/>
      <c r="U173" s="84"/>
      <c r="V173" s="84"/>
      <c r="W173" s="84"/>
      <c r="X173" s="84"/>
      <c r="Y173" s="84"/>
      <c r="Z173" s="84"/>
    </row>
    <row r="174" spans="1:26" hidden="1" x14ac:dyDescent="0.2">
      <c r="A174" s="56"/>
      <c r="H174"/>
      <c r="T174" s="84"/>
      <c r="U174" s="84"/>
      <c r="V174" s="84"/>
      <c r="W174" s="84"/>
      <c r="X174" s="84"/>
      <c r="Y174" s="84"/>
      <c r="Z174" s="84"/>
    </row>
    <row r="175" spans="1:26" hidden="1" x14ac:dyDescent="0.2">
      <c r="A175" s="56"/>
      <c r="H175"/>
      <c r="T175" s="84"/>
      <c r="U175" s="84"/>
      <c r="V175" s="84"/>
      <c r="W175" s="84"/>
      <c r="X175" s="84"/>
      <c r="Y175" s="84"/>
      <c r="Z175" s="84"/>
    </row>
    <row r="176" spans="1:26" hidden="1" x14ac:dyDescent="0.2">
      <c r="A176" s="56"/>
      <c r="H176"/>
      <c r="T176" s="84"/>
      <c r="U176" s="84"/>
      <c r="V176" s="84"/>
      <c r="W176" s="84"/>
      <c r="X176" s="84"/>
      <c r="Y176" s="84"/>
      <c r="Z176" s="84"/>
    </row>
    <row r="177" spans="1:26" hidden="1" x14ac:dyDescent="0.2">
      <c r="A177" s="56"/>
      <c r="H177"/>
      <c r="T177" s="84"/>
      <c r="U177" s="84"/>
      <c r="V177" s="84"/>
      <c r="W177" s="84"/>
      <c r="X177" s="84"/>
      <c r="Y177" s="84"/>
      <c r="Z177" s="84"/>
    </row>
    <row r="178" spans="1:26" hidden="1" x14ac:dyDescent="0.2">
      <c r="A178" s="56"/>
      <c r="H178"/>
      <c r="T178" s="84"/>
      <c r="U178" s="84"/>
      <c r="V178" s="84"/>
      <c r="W178" s="84"/>
      <c r="X178" s="84"/>
      <c r="Y178" s="84"/>
      <c r="Z178" s="84"/>
    </row>
    <row r="179" spans="1:26" hidden="1" x14ac:dyDescent="0.2">
      <c r="A179" s="56"/>
      <c r="H179"/>
      <c r="T179" s="84"/>
      <c r="U179" s="84"/>
      <c r="V179" s="84"/>
      <c r="W179" s="84"/>
      <c r="X179" s="84"/>
      <c r="Y179" s="84"/>
      <c r="Z179" s="84"/>
    </row>
    <row r="180" spans="1:26" hidden="1" x14ac:dyDescent="0.2">
      <c r="A180" s="56"/>
      <c r="H180"/>
      <c r="T180" s="84"/>
      <c r="U180" s="84"/>
      <c r="V180" s="84"/>
      <c r="W180" s="84"/>
      <c r="X180" s="84"/>
      <c r="Y180" s="84"/>
      <c r="Z180" s="84"/>
    </row>
    <row r="181" spans="1:26" hidden="1" x14ac:dyDescent="0.2">
      <c r="A181" s="56"/>
      <c r="H181"/>
      <c r="T181" s="84"/>
      <c r="U181" s="84"/>
      <c r="V181" s="84"/>
      <c r="W181" s="84"/>
      <c r="X181" s="84"/>
      <c r="Y181" s="84"/>
      <c r="Z181" s="84"/>
    </row>
    <row r="182" spans="1:26" hidden="1" x14ac:dyDescent="0.2">
      <c r="A182" s="56"/>
      <c r="H182"/>
      <c r="T182" s="84"/>
      <c r="U182" s="84"/>
      <c r="V182" s="84"/>
      <c r="W182" s="84"/>
      <c r="X182" s="84"/>
      <c r="Y182" s="84"/>
      <c r="Z182" s="84"/>
    </row>
    <row r="183" spans="1:26" hidden="1" x14ac:dyDescent="0.2">
      <c r="A183" s="56"/>
      <c r="H183"/>
      <c r="T183" s="84"/>
      <c r="U183" s="84"/>
      <c r="V183" s="84"/>
      <c r="W183" s="84"/>
      <c r="X183" s="84"/>
      <c r="Y183" s="84"/>
      <c r="Z183" s="84"/>
    </row>
    <row r="184" spans="1:26" hidden="1" x14ac:dyDescent="0.2">
      <c r="A184" s="56"/>
      <c r="H184"/>
      <c r="T184" s="84"/>
      <c r="U184" s="84"/>
      <c r="V184" s="84"/>
      <c r="W184" s="84"/>
      <c r="X184" s="84"/>
      <c r="Y184" s="84"/>
      <c r="Z184" s="84"/>
    </row>
    <row r="185" spans="1:26" hidden="1" x14ac:dyDescent="0.2">
      <c r="A185" s="56"/>
      <c r="H185"/>
      <c r="T185" s="84"/>
      <c r="U185" s="84"/>
      <c r="V185" s="84"/>
      <c r="W185" s="84"/>
      <c r="X185" s="84"/>
      <c r="Y185" s="84"/>
      <c r="Z185" s="84"/>
    </row>
    <row r="186" spans="1:26" hidden="1" x14ac:dyDescent="0.2">
      <c r="A186" s="56"/>
      <c r="H186"/>
      <c r="T186" s="84"/>
      <c r="U186" s="84"/>
      <c r="V186" s="84"/>
      <c r="W186" s="84"/>
      <c r="X186" s="84"/>
      <c r="Y186" s="84"/>
      <c r="Z186" s="84"/>
    </row>
    <row r="187" spans="1:26" hidden="1" x14ac:dyDescent="0.2">
      <c r="A187" s="56"/>
      <c r="H187"/>
      <c r="T187" s="84"/>
      <c r="U187" s="84"/>
      <c r="V187" s="84"/>
      <c r="W187" s="84"/>
      <c r="X187" s="84"/>
      <c r="Y187" s="84"/>
      <c r="Z187" s="84"/>
    </row>
    <row r="188" spans="1:26" hidden="1" x14ac:dyDescent="0.2">
      <c r="A188" s="56"/>
      <c r="H188"/>
      <c r="T188" s="84"/>
      <c r="U188" s="84"/>
      <c r="V188" s="84"/>
      <c r="W188" s="84"/>
      <c r="X188" s="84"/>
      <c r="Y188" s="84"/>
      <c r="Z188" s="84"/>
    </row>
    <row r="189" spans="1:26" hidden="1" x14ac:dyDescent="0.2">
      <c r="A189" s="56"/>
      <c r="H189"/>
      <c r="T189" s="84"/>
      <c r="U189" s="84"/>
      <c r="V189" s="84"/>
      <c r="W189" s="84"/>
      <c r="X189" s="84"/>
      <c r="Y189" s="84"/>
      <c r="Z189" s="84"/>
    </row>
    <row r="190" spans="1:26" hidden="1" x14ac:dyDescent="0.2">
      <c r="A190" s="56"/>
      <c r="H190"/>
      <c r="T190" s="84"/>
      <c r="U190" s="84"/>
      <c r="V190" s="84"/>
      <c r="W190" s="84"/>
      <c r="X190" s="84"/>
      <c r="Y190" s="84"/>
      <c r="Z190" s="84"/>
    </row>
    <row r="191" spans="1:26" hidden="1" x14ac:dyDescent="0.2">
      <c r="A191" s="56"/>
      <c r="H191"/>
      <c r="T191" s="84"/>
      <c r="U191" s="84"/>
      <c r="V191" s="84"/>
      <c r="W191" s="84"/>
      <c r="X191" s="84"/>
      <c r="Y191" s="84"/>
      <c r="Z191" s="84"/>
    </row>
    <row r="192" spans="1:26" hidden="1" x14ac:dyDescent="0.2">
      <c r="A192" s="56"/>
      <c r="H192"/>
      <c r="T192" s="84"/>
      <c r="U192" s="84"/>
      <c r="V192" s="84"/>
      <c r="W192" s="84"/>
      <c r="X192" s="84"/>
      <c r="Y192" s="84"/>
      <c r="Z192" s="84"/>
    </row>
    <row r="193" spans="1:26" hidden="1" x14ac:dyDescent="0.2">
      <c r="A193" s="56"/>
      <c r="H193"/>
      <c r="T193" s="84"/>
      <c r="U193" s="84"/>
      <c r="V193" s="84"/>
      <c r="W193" s="84"/>
      <c r="X193" s="84"/>
      <c r="Y193" s="84"/>
      <c r="Z193" s="84"/>
    </row>
    <row r="194" spans="1:26" hidden="1" x14ac:dyDescent="0.2">
      <c r="A194" s="56"/>
      <c r="H194"/>
      <c r="T194" s="84"/>
      <c r="U194" s="84"/>
      <c r="V194" s="84"/>
      <c r="W194" s="84"/>
      <c r="X194" s="84"/>
      <c r="Y194" s="84"/>
      <c r="Z194" s="84"/>
    </row>
    <row r="195" spans="1:26" hidden="1" x14ac:dyDescent="0.2">
      <c r="A195" s="56"/>
      <c r="H195"/>
      <c r="T195" s="84"/>
      <c r="U195" s="84"/>
      <c r="V195" s="84"/>
      <c r="W195" s="84"/>
      <c r="X195" s="84"/>
      <c r="Y195" s="84"/>
      <c r="Z195" s="84"/>
    </row>
    <row r="196" spans="1:26" hidden="1" x14ac:dyDescent="0.2">
      <c r="A196" s="56"/>
      <c r="H196"/>
      <c r="T196" s="84"/>
      <c r="U196" s="84"/>
      <c r="V196" s="84"/>
      <c r="W196" s="84"/>
      <c r="X196" s="84"/>
      <c r="Y196" s="84"/>
      <c r="Z196" s="84"/>
    </row>
    <row r="197" spans="1:26" hidden="1" x14ac:dyDescent="0.2">
      <c r="A197" s="56"/>
      <c r="H197"/>
      <c r="T197" s="84"/>
      <c r="U197" s="84"/>
      <c r="V197" s="84"/>
      <c r="W197" s="84"/>
      <c r="X197" s="84"/>
      <c r="Y197" s="84"/>
      <c r="Z197" s="84"/>
    </row>
    <row r="198" spans="1:26" hidden="1" x14ac:dyDescent="0.2">
      <c r="A198" s="56"/>
      <c r="H198"/>
      <c r="T198" s="84"/>
      <c r="U198" s="84"/>
      <c r="V198" s="84"/>
      <c r="W198" s="84"/>
      <c r="X198" s="84"/>
      <c r="Y198" s="84"/>
      <c r="Z198" s="84"/>
    </row>
    <row r="199" spans="1:26" hidden="1" x14ac:dyDescent="0.2">
      <c r="A199" s="56"/>
      <c r="H199"/>
      <c r="T199" s="84"/>
      <c r="U199" s="84"/>
      <c r="V199" s="84"/>
      <c r="W199" s="84"/>
      <c r="X199" s="84"/>
      <c r="Y199" s="84"/>
      <c r="Z199" s="84"/>
    </row>
    <row r="200" spans="1:26" hidden="1" x14ac:dyDescent="0.2">
      <c r="A200" s="56"/>
      <c r="H200"/>
      <c r="T200" s="84"/>
      <c r="U200" s="84"/>
      <c r="V200" s="84"/>
      <c r="W200" s="84"/>
      <c r="X200" s="84"/>
      <c r="Y200" s="84"/>
      <c r="Z200" s="84"/>
    </row>
    <row r="201" spans="1:26" hidden="1" x14ac:dyDescent="0.2">
      <c r="H201"/>
      <c r="T201" s="84"/>
      <c r="U201" s="84"/>
      <c r="V201" s="84"/>
      <c r="W201" s="84"/>
      <c r="X201" s="84"/>
      <c r="Y201" s="84"/>
      <c r="Z201" s="84"/>
    </row>
    <row r="202" spans="1:26" hidden="1" x14ac:dyDescent="0.2">
      <c r="H202"/>
    </row>
    <row r="203" spans="1:26" hidden="1" x14ac:dyDescent="0.2">
      <c r="H203"/>
    </row>
    <row r="204" spans="1:26" hidden="1" x14ac:dyDescent="0.2">
      <c r="H204"/>
    </row>
    <row r="205" spans="1:26" hidden="1" x14ac:dyDescent="0.2">
      <c r="H205"/>
    </row>
    <row r="206" spans="1:26" hidden="1" x14ac:dyDescent="0.2">
      <c r="H206"/>
    </row>
    <row r="207" spans="1:26" hidden="1" x14ac:dyDescent="0.2">
      <c r="F207" s="50"/>
      <c r="H207"/>
    </row>
    <row r="208" spans="1:26" hidden="1" x14ac:dyDescent="0.2">
      <c r="H208"/>
    </row>
    <row r="209" spans="6:8" hidden="1" x14ac:dyDescent="0.2">
      <c r="H209"/>
    </row>
    <row r="210" spans="6:8" hidden="1" x14ac:dyDescent="0.2">
      <c r="F210" s="50"/>
      <c r="H210"/>
    </row>
    <row r="211" spans="6:8" hidden="1" x14ac:dyDescent="0.2">
      <c r="H211"/>
    </row>
    <row r="212" spans="6:8" hidden="1" x14ac:dyDescent="0.2">
      <c r="H212"/>
    </row>
    <row r="213" spans="6:8" hidden="1" x14ac:dyDescent="0.2">
      <c r="H213"/>
    </row>
    <row r="214" spans="6:8" hidden="1" x14ac:dyDescent="0.2">
      <c r="H214"/>
    </row>
    <row r="215" spans="6:8" hidden="1" x14ac:dyDescent="0.2">
      <c r="H215"/>
    </row>
    <row r="216" spans="6:8" hidden="1" x14ac:dyDescent="0.2">
      <c r="H216"/>
    </row>
    <row r="217" spans="6:8" hidden="1" x14ac:dyDescent="0.2">
      <c r="H217"/>
    </row>
    <row r="218" spans="6:8" hidden="1" x14ac:dyDescent="0.2">
      <c r="H218"/>
    </row>
    <row r="219" spans="6:8" hidden="1" x14ac:dyDescent="0.2">
      <c r="H219"/>
    </row>
    <row r="220" spans="6:8" hidden="1" x14ac:dyDescent="0.2">
      <c r="H220"/>
    </row>
    <row r="221" spans="6:8" hidden="1" x14ac:dyDescent="0.2">
      <c r="H221"/>
    </row>
    <row r="222" spans="6:8" hidden="1" x14ac:dyDescent="0.2">
      <c r="H222"/>
    </row>
    <row r="223" spans="6:8" hidden="1" x14ac:dyDescent="0.2">
      <c r="H223"/>
    </row>
    <row r="224" spans="6:8" hidden="1" x14ac:dyDescent="0.2">
      <c r="H224"/>
    </row>
    <row r="225" spans="6:8" hidden="1" x14ac:dyDescent="0.2">
      <c r="H225"/>
    </row>
    <row r="226" spans="6:8" hidden="1" x14ac:dyDescent="0.2">
      <c r="H226"/>
    </row>
    <row r="227" spans="6:8" hidden="1" x14ac:dyDescent="0.2">
      <c r="H227"/>
    </row>
    <row r="228" spans="6:8" hidden="1" x14ac:dyDescent="0.2">
      <c r="F228" s="50"/>
      <c r="H228"/>
    </row>
    <row r="229" spans="6:8" hidden="1" x14ac:dyDescent="0.2">
      <c r="H229"/>
    </row>
    <row r="230" spans="6:8" hidden="1" x14ac:dyDescent="0.2">
      <c r="H230"/>
    </row>
    <row r="231" spans="6:8" hidden="1" x14ac:dyDescent="0.2">
      <c r="F231" s="50"/>
      <c r="H231"/>
    </row>
    <row r="232" spans="6:8" hidden="1" x14ac:dyDescent="0.2">
      <c r="H232"/>
    </row>
    <row r="233" spans="6:8" hidden="1" x14ac:dyDescent="0.2">
      <c r="H233"/>
    </row>
    <row r="234" spans="6:8" hidden="1" x14ac:dyDescent="0.2">
      <c r="H234"/>
    </row>
    <row r="235" spans="6:8" hidden="1" x14ac:dyDescent="0.2">
      <c r="H235"/>
    </row>
    <row r="236" spans="6:8" hidden="1" x14ac:dyDescent="0.2">
      <c r="H236"/>
    </row>
    <row r="237" spans="6:8" hidden="1" x14ac:dyDescent="0.2">
      <c r="H237"/>
    </row>
    <row r="238" spans="6:8" hidden="1" x14ac:dyDescent="0.2">
      <c r="H238"/>
    </row>
    <row r="239" spans="6:8" hidden="1" x14ac:dyDescent="0.2">
      <c r="H239"/>
    </row>
    <row r="240" spans="6:8" hidden="1" x14ac:dyDescent="0.2">
      <c r="H240"/>
    </row>
    <row r="241" spans="8:8" hidden="1" x14ac:dyDescent="0.2">
      <c r="H241"/>
    </row>
    <row r="242" spans="8:8" hidden="1" x14ac:dyDescent="0.2">
      <c r="H242"/>
    </row>
    <row r="243" spans="8:8" hidden="1" x14ac:dyDescent="0.2">
      <c r="H243"/>
    </row>
    <row r="244" spans="8:8" hidden="1" x14ac:dyDescent="0.2">
      <c r="H244"/>
    </row>
    <row r="245" spans="8:8" hidden="1" x14ac:dyDescent="0.2">
      <c r="H245"/>
    </row>
    <row r="246" spans="8:8" hidden="1" x14ac:dyDescent="0.2">
      <c r="H246"/>
    </row>
    <row r="247" spans="8:8" hidden="1" x14ac:dyDescent="0.2">
      <c r="H247"/>
    </row>
    <row r="248" spans="8:8" hidden="1" x14ac:dyDescent="0.2">
      <c r="H248"/>
    </row>
    <row r="249" spans="8:8" hidden="1" x14ac:dyDescent="0.2">
      <c r="H249"/>
    </row>
    <row r="250" spans="8:8" hidden="1" x14ac:dyDescent="0.2">
      <c r="H250"/>
    </row>
    <row r="251" spans="8:8" hidden="1" x14ac:dyDescent="0.2">
      <c r="H251"/>
    </row>
    <row r="252" spans="8:8" hidden="1" x14ac:dyDescent="0.2">
      <c r="H252"/>
    </row>
    <row r="253" spans="8:8" hidden="1" x14ac:dyDescent="0.2">
      <c r="H253"/>
    </row>
    <row r="254" spans="8:8" hidden="1" x14ac:dyDescent="0.2">
      <c r="H254"/>
    </row>
    <row r="255" spans="8:8" hidden="1" x14ac:dyDescent="0.2">
      <c r="H255"/>
    </row>
    <row r="256" spans="8:8" hidden="1" x14ac:dyDescent="0.2">
      <c r="H256"/>
    </row>
    <row r="257" spans="8:8" hidden="1" x14ac:dyDescent="0.2">
      <c r="H257"/>
    </row>
    <row r="258" spans="8:8" hidden="1" x14ac:dyDescent="0.2">
      <c r="H258"/>
    </row>
    <row r="259" spans="8:8" hidden="1" x14ac:dyDescent="0.2">
      <c r="H259"/>
    </row>
    <row r="260" spans="8:8" hidden="1" x14ac:dyDescent="0.2">
      <c r="H260"/>
    </row>
    <row r="261" spans="8:8" hidden="1" x14ac:dyDescent="0.2">
      <c r="H261"/>
    </row>
    <row r="262" spans="8:8" hidden="1" x14ac:dyDescent="0.2">
      <c r="H262"/>
    </row>
    <row r="263" spans="8:8" hidden="1" x14ac:dyDescent="0.2">
      <c r="H263"/>
    </row>
    <row r="264" spans="8:8" hidden="1" x14ac:dyDescent="0.2">
      <c r="H264"/>
    </row>
    <row r="265" spans="8:8" hidden="1" x14ac:dyDescent="0.2">
      <c r="H265"/>
    </row>
    <row r="266" spans="8:8" hidden="1" x14ac:dyDescent="0.2">
      <c r="H266"/>
    </row>
    <row r="267" spans="8:8" hidden="1" x14ac:dyDescent="0.2">
      <c r="H267"/>
    </row>
    <row r="268" spans="8:8" hidden="1" x14ac:dyDescent="0.2">
      <c r="H268"/>
    </row>
    <row r="269" spans="8:8" hidden="1" x14ac:dyDescent="0.2">
      <c r="H269"/>
    </row>
    <row r="270" spans="8:8" hidden="1" x14ac:dyDescent="0.2">
      <c r="H270"/>
    </row>
    <row r="271" spans="8:8" hidden="1" x14ac:dyDescent="0.2">
      <c r="H271"/>
    </row>
    <row r="272" spans="8:8" hidden="1" x14ac:dyDescent="0.2">
      <c r="H272"/>
    </row>
    <row r="273" spans="6:8" hidden="1" x14ac:dyDescent="0.2">
      <c r="H273"/>
    </row>
    <row r="274" spans="6:8" hidden="1" x14ac:dyDescent="0.2">
      <c r="H274"/>
    </row>
    <row r="275" spans="6:8" hidden="1" x14ac:dyDescent="0.2">
      <c r="F275" s="50"/>
      <c r="H275"/>
    </row>
    <row r="276" spans="6:8" hidden="1" x14ac:dyDescent="0.2">
      <c r="H276"/>
    </row>
    <row r="277" spans="6:8" hidden="1" x14ac:dyDescent="0.2">
      <c r="H277"/>
    </row>
    <row r="278" spans="6:8" hidden="1" x14ac:dyDescent="0.2">
      <c r="H278"/>
    </row>
    <row r="279" spans="6:8" hidden="1" x14ac:dyDescent="0.2">
      <c r="F279" s="50"/>
      <c r="H279" s="50"/>
    </row>
    <row r="280" spans="6:8" hidden="1" x14ac:dyDescent="0.2">
      <c r="H280"/>
    </row>
    <row r="281" spans="6:8" hidden="1" x14ac:dyDescent="0.2">
      <c r="H281"/>
    </row>
    <row r="282" spans="6:8" hidden="1" x14ac:dyDescent="0.2">
      <c r="H282"/>
    </row>
    <row r="283" spans="6:8" hidden="1" x14ac:dyDescent="0.2">
      <c r="H283"/>
    </row>
    <row r="284" spans="6:8" hidden="1" x14ac:dyDescent="0.2">
      <c r="H284"/>
    </row>
    <row r="285" spans="6:8" hidden="1" x14ac:dyDescent="0.2">
      <c r="H285"/>
    </row>
    <row r="286" spans="6:8" hidden="1" x14ac:dyDescent="0.2">
      <c r="F286" s="2"/>
      <c r="H286"/>
    </row>
    <row r="287" spans="6:8" hidden="1" x14ac:dyDescent="0.2">
      <c r="H287"/>
    </row>
    <row r="288" spans="6:8" hidden="1" x14ac:dyDescent="0.2">
      <c r="H288"/>
    </row>
    <row r="289" spans="6:8" hidden="1" x14ac:dyDescent="0.2">
      <c r="H289"/>
    </row>
    <row r="290" spans="6:8" hidden="1" x14ac:dyDescent="0.2">
      <c r="F290" s="50"/>
      <c r="H290"/>
    </row>
    <row r="291" spans="6:8" hidden="1" x14ac:dyDescent="0.2">
      <c r="H291"/>
    </row>
    <row r="292" spans="6:8" hidden="1" x14ac:dyDescent="0.2">
      <c r="H292"/>
    </row>
    <row r="293" spans="6:8" hidden="1" x14ac:dyDescent="0.2">
      <c r="H293"/>
    </row>
    <row r="294" spans="6:8" hidden="1" x14ac:dyDescent="0.2">
      <c r="H294"/>
    </row>
    <row r="295" spans="6:8" hidden="1" x14ac:dyDescent="0.2">
      <c r="H295"/>
    </row>
    <row r="296" spans="6:8" hidden="1" x14ac:dyDescent="0.2">
      <c r="H296"/>
    </row>
    <row r="297" spans="6:8" hidden="1" x14ac:dyDescent="0.2">
      <c r="H297"/>
    </row>
    <row r="298" spans="6:8" hidden="1" x14ac:dyDescent="0.2">
      <c r="H298"/>
    </row>
    <row r="299" spans="6:8" hidden="1" x14ac:dyDescent="0.2">
      <c r="H299"/>
    </row>
    <row r="300" spans="6:8" hidden="1" x14ac:dyDescent="0.2">
      <c r="H300"/>
    </row>
    <row r="301" spans="6:8" hidden="1" x14ac:dyDescent="0.2">
      <c r="H301"/>
    </row>
    <row r="302" spans="6:8" hidden="1" x14ac:dyDescent="0.2">
      <c r="H302"/>
    </row>
    <row r="303" spans="6:8" hidden="1" x14ac:dyDescent="0.2">
      <c r="F303" s="50"/>
      <c r="H303"/>
    </row>
    <row r="304" spans="6:8" hidden="1" x14ac:dyDescent="0.2">
      <c r="H304"/>
    </row>
    <row r="305" spans="6:8" hidden="1" x14ac:dyDescent="0.2">
      <c r="F305" s="50"/>
      <c r="H305"/>
    </row>
    <row r="306" spans="6:8" hidden="1" x14ac:dyDescent="0.2">
      <c r="F306" s="50"/>
      <c r="H306"/>
    </row>
    <row r="307" spans="6:8" hidden="1" x14ac:dyDescent="0.2">
      <c r="F307" s="50"/>
      <c r="H307"/>
    </row>
    <row r="308" spans="6:8" hidden="1" x14ac:dyDescent="0.2">
      <c r="F308" s="50"/>
      <c r="H308" s="50"/>
    </row>
    <row r="309" spans="6:8" hidden="1" x14ac:dyDescent="0.2">
      <c r="F309" s="50"/>
      <c r="H309" s="50"/>
    </row>
    <row r="310" spans="6:8" hidden="1" x14ac:dyDescent="0.2">
      <c r="F310" s="50"/>
      <c r="H310" s="50"/>
    </row>
    <row r="311" spans="6:8" hidden="1" x14ac:dyDescent="0.2">
      <c r="F311" s="50"/>
      <c r="H311" s="50"/>
    </row>
    <row r="312" spans="6:8" hidden="1" x14ac:dyDescent="0.2">
      <c r="F312" s="50"/>
      <c r="H312" s="50"/>
    </row>
    <row r="313" spans="6:8" hidden="1" x14ac:dyDescent="0.2">
      <c r="F313" s="50"/>
      <c r="H313"/>
    </row>
    <row r="314" spans="6:8" hidden="1" x14ac:dyDescent="0.2">
      <c r="F314" s="50"/>
      <c r="H314"/>
    </row>
    <row r="315" spans="6:8" hidden="1" x14ac:dyDescent="0.2">
      <c r="F315" s="50"/>
      <c r="H315"/>
    </row>
    <row r="316" spans="6:8" hidden="1" x14ac:dyDescent="0.2">
      <c r="F316" s="50"/>
      <c r="H316" s="50"/>
    </row>
    <row r="317" spans="6:8" hidden="1" x14ac:dyDescent="0.2">
      <c r="F317" s="50"/>
      <c r="H317"/>
    </row>
    <row r="318" spans="6:8" hidden="1" x14ac:dyDescent="0.2">
      <c r="F318" s="50"/>
      <c r="H318"/>
    </row>
    <row r="319" spans="6:8" hidden="1" x14ac:dyDescent="0.2">
      <c r="F319" s="50"/>
      <c r="H319"/>
    </row>
    <row r="320" spans="6:8" hidden="1" x14ac:dyDescent="0.2">
      <c r="F320" s="50"/>
      <c r="H320"/>
    </row>
    <row r="321" spans="6:8" hidden="1" x14ac:dyDescent="0.2">
      <c r="F321" s="50"/>
      <c r="H321"/>
    </row>
    <row r="322" spans="6:8" hidden="1" x14ac:dyDescent="0.2">
      <c r="F322" s="50"/>
      <c r="H322"/>
    </row>
    <row r="323" spans="6:8" hidden="1" x14ac:dyDescent="0.2">
      <c r="F323" s="50"/>
      <c r="H323"/>
    </row>
    <row r="324" spans="6:8" hidden="1" x14ac:dyDescent="0.2">
      <c r="F324" s="50"/>
      <c r="H324"/>
    </row>
    <row r="325" spans="6:8" hidden="1" x14ac:dyDescent="0.2">
      <c r="F325" s="50"/>
      <c r="H325"/>
    </row>
    <row r="326" spans="6:8" hidden="1" x14ac:dyDescent="0.2">
      <c r="F326" s="50"/>
      <c r="H326"/>
    </row>
    <row r="327" spans="6:8" hidden="1" x14ac:dyDescent="0.2">
      <c r="F327" s="50"/>
      <c r="H327"/>
    </row>
    <row r="328" spans="6:8" hidden="1" x14ac:dyDescent="0.2">
      <c r="F328" s="50"/>
      <c r="H328" s="50"/>
    </row>
    <row r="329" spans="6:8" hidden="1" x14ac:dyDescent="0.2">
      <c r="F329" s="50"/>
      <c r="H329"/>
    </row>
    <row r="330" spans="6:8" hidden="1" x14ac:dyDescent="0.2">
      <c r="H330"/>
    </row>
    <row r="331" spans="6:8" hidden="1" x14ac:dyDescent="0.2">
      <c r="F331" s="50"/>
      <c r="H331"/>
    </row>
    <row r="332" spans="6:8" hidden="1" x14ac:dyDescent="0.2">
      <c r="F332" s="50"/>
      <c r="H332"/>
    </row>
    <row r="333" spans="6:8" hidden="1" x14ac:dyDescent="0.2">
      <c r="F333" s="50"/>
      <c r="H333"/>
    </row>
    <row r="334" spans="6:8" hidden="1" x14ac:dyDescent="0.2">
      <c r="F334" s="50"/>
      <c r="H334"/>
    </row>
    <row r="335" spans="6:8" hidden="1" x14ac:dyDescent="0.2">
      <c r="F335" s="50"/>
      <c r="H335"/>
    </row>
    <row r="336" spans="6:8" hidden="1" x14ac:dyDescent="0.2">
      <c r="F336" s="50"/>
      <c r="H336"/>
    </row>
    <row r="337" spans="6:8" hidden="1" x14ac:dyDescent="0.2">
      <c r="F337" s="50"/>
      <c r="H337"/>
    </row>
    <row r="338" spans="6:8" hidden="1" x14ac:dyDescent="0.2">
      <c r="F338" s="50"/>
      <c r="H338"/>
    </row>
    <row r="339" spans="6:8" hidden="1" x14ac:dyDescent="0.2">
      <c r="F339" s="50"/>
      <c r="H339" s="50"/>
    </row>
    <row r="340" spans="6:8" hidden="1" x14ac:dyDescent="0.2">
      <c r="F340" s="50"/>
      <c r="H340" s="50"/>
    </row>
    <row r="341" spans="6:8" hidden="1" x14ac:dyDescent="0.2">
      <c r="F341" s="50"/>
      <c r="H341"/>
    </row>
    <row r="342" spans="6:8" hidden="1" x14ac:dyDescent="0.2">
      <c r="F342" s="50"/>
      <c r="H342"/>
    </row>
    <row r="343" spans="6:8" hidden="1" x14ac:dyDescent="0.2">
      <c r="F343" s="50"/>
      <c r="H343" s="50"/>
    </row>
    <row r="344" spans="6:8" hidden="1" x14ac:dyDescent="0.2">
      <c r="F344" s="50"/>
      <c r="H344"/>
    </row>
    <row r="345" spans="6:8" hidden="1" x14ac:dyDescent="0.2">
      <c r="F345" s="50"/>
      <c r="H345" s="50"/>
    </row>
    <row r="346" spans="6:8" hidden="1" x14ac:dyDescent="0.2">
      <c r="H346"/>
    </row>
    <row r="347" spans="6:8" hidden="1" x14ac:dyDescent="0.2">
      <c r="H347"/>
    </row>
    <row r="348" spans="6:8" hidden="1" x14ac:dyDescent="0.2">
      <c r="H348"/>
    </row>
    <row r="349" spans="6:8" hidden="1" x14ac:dyDescent="0.2">
      <c r="F349" s="50"/>
      <c r="H349"/>
    </row>
    <row r="350" spans="6:8" hidden="1" x14ac:dyDescent="0.2">
      <c r="F350" s="50"/>
      <c r="H350"/>
    </row>
    <row r="351" spans="6:8" hidden="1" x14ac:dyDescent="0.2">
      <c r="F351" s="50"/>
      <c r="H351" s="50"/>
    </row>
    <row r="352" spans="6:8" hidden="1" x14ac:dyDescent="0.2">
      <c r="F352" s="50"/>
      <c r="H352" s="50"/>
    </row>
    <row r="353" spans="6:8" hidden="1" x14ac:dyDescent="0.2">
      <c r="F353" s="50"/>
      <c r="H353" s="50"/>
    </row>
    <row r="354" spans="6:8" hidden="1" x14ac:dyDescent="0.2">
      <c r="F354" s="50"/>
      <c r="H354" s="50"/>
    </row>
    <row r="355" spans="6:8" hidden="1" x14ac:dyDescent="0.2">
      <c r="F355" s="50"/>
      <c r="H355"/>
    </row>
    <row r="356" spans="6:8" hidden="1" x14ac:dyDescent="0.2">
      <c r="F356" s="50"/>
      <c r="H356"/>
    </row>
    <row r="357" spans="6:8" hidden="1" x14ac:dyDescent="0.2">
      <c r="F357" s="50"/>
      <c r="H357" s="50"/>
    </row>
    <row r="358" spans="6:8" hidden="1" x14ac:dyDescent="0.2">
      <c r="F358" s="50"/>
      <c r="H358" s="50"/>
    </row>
    <row r="359" spans="6:8" hidden="1" x14ac:dyDescent="0.2">
      <c r="F359" s="50"/>
      <c r="H359" s="50"/>
    </row>
    <row r="360" spans="6:8" hidden="1" x14ac:dyDescent="0.2">
      <c r="F360" s="50"/>
      <c r="H360"/>
    </row>
    <row r="361" spans="6:8" hidden="1" x14ac:dyDescent="0.2">
      <c r="F361" s="50"/>
      <c r="H361"/>
    </row>
    <row r="362" spans="6:8" hidden="1" x14ac:dyDescent="0.2">
      <c r="F362" s="50"/>
      <c r="H362"/>
    </row>
    <row r="363" spans="6:8" hidden="1" x14ac:dyDescent="0.2">
      <c r="F363" s="50"/>
      <c r="H363"/>
    </row>
    <row r="364" spans="6:8" hidden="1" x14ac:dyDescent="0.2">
      <c r="F364" s="50"/>
      <c r="H364"/>
    </row>
    <row r="365" spans="6:8" hidden="1" x14ac:dyDescent="0.2">
      <c r="F365" s="50"/>
      <c r="H365"/>
    </row>
    <row r="366" spans="6:8" hidden="1" x14ac:dyDescent="0.2">
      <c r="F366" s="50"/>
      <c r="H366"/>
    </row>
    <row r="367" spans="6:8" hidden="1" x14ac:dyDescent="0.2">
      <c r="F367" s="50"/>
      <c r="H367"/>
    </row>
    <row r="368" spans="6:8" hidden="1" x14ac:dyDescent="0.2">
      <c r="F368" s="50"/>
      <c r="H368" s="50"/>
    </row>
    <row r="369" spans="6:8" hidden="1" x14ac:dyDescent="0.2">
      <c r="F369" s="50"/>
      <c r="H369"/>
    </row>
    <row r="370" spans="6:8" hidden="1" x14ac:dyDescent="0.2">
      <c r="F370" s="50"/>
      <c r="H370"/>
    </row>
    <row r="371" spans="6:8" hidden="1" x14ac:dyDescent="0.2">
      <c r="F371" s="50"/>
      <c r="H371"/>
    </row>
    <row r="372" spans="6:8" hidden="1" x14ac:dyDescent="0.2">
      <c r="F372" s="50"/>
      <c r="H372"/>
    </row>
    <row r="373" spans="6:8" hidden="1" x14ac:dyDescent="0.2">
      <c r="F373" s="50"/>
      <c r="H373"/>
    </row>
    <row r="374" spans="6:8" hidden="1" x14ac:dyDescent="0.2">
      <c r="F374" s="50"/>
      <c r="H374"/>
    </row>
    <row r="375" spans="6:8" hidden="1" x14ac:dyDescent="0.2">
      <c r="F375" s="50"/>
      <c r="H375"/>
    </row>
    <row r="376" spans="6:8" hidden="1" x14ac:dyDescent="0.2">
      <c r="F376" s="50"/>
      <c r="H376" s="50"/>
    </row>
    <row r="377" spans="6:8" hidden="1" x14ac:dyDescent="0.2">
      <c r="F377" s="50"/>
      <c r="H377" s="50"/>
    </row>
    <row r="378" spans="6:8" hidden="1" x14ac:dyDescent="0.2">
      <c r="F378" s="50"/>
      <c r="H378"/>
    </row>
    <row r="379" spans="6:8" hidden="1" x14ac:dyDescent="0.2">
      <c r="F379" s="50"/>
      <c r="H379"/>
    </row>
    <row r="380" spans="6:8" hidden="1" x14ac:dyDescent="0.2">
      <c r="F380" s="50"/>
      <c r="H380"/>
    </row>
    <row r="381" spans="6:8" hidden="1" x14ac:dyDescent="0.2">
      <c r="F381" s="50"/>
      <c r="H381"/>
    </row>
    <row r="382" spans="6:8" hidden="1" x14ac:dyDescent="0.2">
      <c r="F382" s="50"/>
      <c r="H382"/>
    </row>
    <row r="383" spans="6:8" hidden="1" x14ac:dyDescent="0.2">
      <c r="F383" s="50"/>
      <c r="H383" s="50"/>
    </row>
    <row r="384" spans="6:8" hidden="1" x14ac:dyDescent="0.2">
      <c r="F384" s="50"/>
      <c r="H384"/>
    </row>
    <row r="385" spans="6:8" hidden="1" x14ac:dyDescent="0.2">
      <c r="F385" s="50"/>
      <c r="H385"/>
    </row>
    <row r="386" spans="6:8" hidden="1" x14ac:dyDescent="0.2">
      <c r="F386" s="50"/>
      <c r="H386" s="50"/>
    </row>
    <row r="387" spans="6:8" hidden="1" x14ac:dyDescent="0.2">
      <c r="F387" s="50"/>
      <c r="H387"/>
    </row>
    <row r="388" spans="6:8" hidden="1" x14ac:dyDescent="0.2">
      <c r="F388" s="50"/>
      <c r="H388"/>
    </row>
    <row r="389" spans="6:8" hidden="1" x14ac:dyDescent="0.2">
      <c r="F389" s="50"/>
      <c r="H389"/>
    </row>
    <row r="390" spans="6:8" hidden="1" x14ac:dyDescent="0.2">
      <c r="F390" s="50"/>
      <c r="H390"/>
    </row>
    <row r="391" spans="6:8" hidden="1" x14ac:dyDescent="0.2">
      <c r="F391" s="50"/>
      <c r="H391"/>
    </row>
    <row r="392" spans="6:8" hidden="1" x14ac:dyDescent="0.2">
      <c r="F392" s="50"/>
      <c r="H392"/>
    </row>
    <row r="393" spans="6:8" hidden="1" x14ac:dyDescent="0.2">
      <c r="F393" s="50"/>
      <c r="H393"/>
    </row>
    <row r="394" spans="6:8" hidden="1" x14ac:dyDescent="0.2">
      <c r="F394" s="50"/>
      <c r="H394"/>
    </row>
    <row r="395" spans="6:8" hidden="1" x14ac:dyDescent="0.2">
      <c r="F395" s="50"/>
      <c r="H395"/>
    </row>
    <row r="396" spans="6:8" hidden="1" x14ac:dyDescent="0.2">
      <c r="F396" s="50"/>
      <c r="H396" s="50"/>
    </row>
    <row r="397" spans="6:8" hidden="1" x14ac:dyDescent="0.2">
      <c r="F397" s="50"/>
      <c r="H397"/>
    </row>
    <row r="398" spans="6:8" hidden="1" x14ac:dyDescent="0.2">
      <c r="F398" s="50"/>
      <c r="H398"/>
    </row>
    <row r="399" spans="6:8" hidden="1" x14ac:dyDescent="0.2">
      <c r="F399" s="50"/>
      <c r="H399"/>
    </row>
    <row r="400" spans="6:8" hidden="1" x14ac:dyDescent="0.2">
      <c r="F400" s="50"/>
      <c r="H400"/>
    </row>
    <row r="401" spans="6:8" hidden="1" x14ac:dyDescent="0.2">
      <c r="F401" s="50"/>
      <c r="H401"/>
    </row>
    <row r="402" spans="6:8" hidden="1" x14ac:dyDescent="0.2">
      <c r="F402" s="50"/>
      <c r="H402"/>
    </row>
    <row r="403" spans="6:8" hidden="1" x14ac:dyDescent="0.2">
      <c r="F403" s="50"/>
      <c r="H403"/>
    </row>
    <row r="404" spans="6:8" hidden="1" x14ac:dyDescent="0.2">
      <c r="F404" s="50"/>
      <c r="H404" s="50"/>
    </row>
    <row r="405" spans="6:8" hidden="1" x14ac:dyDescent="0.2">
      <c r="F405" s="50"/>
      <c r="H405" s="50"/>
    </row>
    <row r="406" spans="6:8" hidden="1" x14ac:dyDescent="0.2">
      <c r="F406" s="50"/>
      <c r="H406"/>
    </row>
    <row r="407" spans="6:8" hidden="1" x14ac:dyDescent="0.2">
      <c r="F407" s="50"/>
      <c r="H407"/>
    </row>
    <row r="408" spans="6:8" hidden="1" x14ac:dyDescent="0.2">
      <c r="F408" s="50"/>
      <c r="H408"/>
    </row>
    <row r="409" spans="6:8" hidden="1" x14ac:dyDescent="0.2">
      <c r="F409" s="50"/>
      <c r="H409"/>
    </row>
    <row r="410" spans="6:8" hidden="1" x14ac:dyDescent="0.2">
      <c r="F410" s="50"/>
      <c r="H410"/>
    </row>
    <row r="411" spans="6:8" hidden="1" x14ac:dyDescent="0.2">
      <c r="F411" s="50"/>
      <c r="H411"/>
    </row>
    <row r="412" spans="6:8" hidden="1" x14ac:dyDescent="0.2">
      <c r="F412" s="50"/>
      <c r="H412"/>
    </row>
    <row r="413" spans="6:8" hidden="1" x14ac:dyDescent="0.2">
      <c r="F413" s="50"/>
      <c r="H413"/>
    </row>
    <row r="414" spans="6:8" hidden="1" x14ac:dyDescent="0.2">
      <c r="F414" s="50"/>
      <c r="H414"/>
    </row>
    <row r="415" spans="6:8" hidden="1" x14ac:dyDescent="0.2">
      <c r="F415" s="50"/>
      <c r="H415"/>
    </row>
    <row r="416" spans="6:8" hidden="1" x14ac:dyDescent="0.2">
      <c r="F416" s="50"/>
      <c r="H416"/>
    </row>
    <row r="417" spans="6:8" hidden="1" x14ac:dyDescent="0.2">
      <c r="F417" s="50"/>
      <c r="H417"/>
    </row>
    <row r="418" spans="6:8" hidden="1" x14ac:dyDescent="0.2">
      <c r="F418" s="50"/>
      <c r="H418"/>
    </row>
    <row r="419" spans="6:8" hidden="1" x14ac:dyDescent="0.2">
      <c r="F419" s="50"/>
      <c r="H419"/>
    </row>
    <row r="420" spans="6:8" hidden="1" x14ac:dyDescent="0.2">
      <c r="F420" s="50"/>
      <c r="H420"/>
    </row>
    <row r="421" spans="6:8" hidden="1" x14ac:dyDescent="0.2">
      <c r="F421" s="50"/>
      <c r="H421"/>
    </row>
    <row r="422" spans="6:8" hidden="1" x14ac:dyDescent="0.2">
      <c r="F422" s="50"/>
      <c r="H422"/>
    </row>
    <row r="423" spans="6:8" hidden="1" x14ac:dyDescent="0.2">
      <c r="F423" s="50"/>
      <c r="H423"/>
    </row>
    <row r="424" spans="6:8" hidden="1" x14ac:dyDescent="0.2">
      <c r="F424" s="50"/>
      <c r="H424"/>
    </row>
    <row r="425" spans="6:8" hidden="1" x14ac:dyDescent="0.2">
      <c r="F425" s="50"/>
      <c r="H425"/>
    </row>
    <row r="426" spans="6:8" hidden="1" x14ac:dyDescent="0.2">
      <c r="F426" s="50"/>
      <c r="H426"/>
    </row>
    <row r="427" spans="6:8" hidden="1" x14ac:dyDescent="0.2">
      <c r="F427" s="50"/>
      <c r="H427" s="50"/>
    </row>
    <row r="428" spans="6:8" hidden="1" x14ac:dyDescent="0.2">
      <c r="F428" s="50"/>
      <c r="H428"/>
    </row>
    <row r="429" spans="6:8" hidden="1" x14ac:dyDescent="0.2">
      <c r="F429" s="50"/>
      <c r="H429"/>
    </row>
    <row r="430" spans="6:8" hidden="1" x14ac:dyDescent="0.2">
      <c r="F430" s="50"/>
      <c r="H430"/>
    </row>
    <row r="431" spans="6:8" hidden="1" x14ac:dyDescent="0.2">
      <c r="F431" s="50"/>
      <c r="H431"/>
    </row>
    <row r="432" spans="6:8" hidden="1" x14ac:dyDescent="0.2">
      <c r="F432" s="50"/>
      <c r="H432"/>
    </row>
    <row r="433" spans="6:8" hidden="1" x14ac:dyDescent="0.2">
      <c r="F433" s="50"/>
      <c r="H433"/>
    </row>
    <row r="434" spans="6:8" hidden="1" x14ac:dyDescent="0.2">
      <c r="F434" s="50"/>
      <c r="H434"/>
    </row>
    <row r="435" spans="6:8" hidden="1" x14ac:dyDescent="0.2">
      <c r="F435" s="50"/>
      <c r="H435"/>
    </row>
    <row r="436" spans="6:8" hidden="1" x14ac:dyDescent="0.2">
      <c r="F436" s="50"/>
      <c r="H436"/>
    </row>
    <row r="437" spans="6:8" hidden="1" x14ac:dyDescent="0.2">
      <c r="F437" s="50"/>
      <c r="H437" s="50"/>
    </row>
    <row r="438" spans="6:8" hidden="1" x14ac:dyDescent="0.2">
      <c r="F438" s="50"/>
      <c r="H438"/>
    </row>
    <row r="439" spans="6:8" hidden="1" x14ac:dyDescent="0.2">
      <c r="F439" s="50"/>
      <c r="H439"/>
    </row>
    <row r="440" spans="6:8" hidden="1" x14ac:dyDescent="0.2">
      <c r="F440" s="50"/>
      <c r="H440"/>
    </row>
    <row r="441" spans="6:8" hidden="1" x14ac:dyDescent="0.2">
      <c r="F441" s="50"/>
      <c r="H441" s="50"/>
    </row>
    <row r="442" spans="6:8" hidden="1" x14ac:dyDescent="0.2">
      <c r="F442" s="50"/>
      <c r="H442"/>
    </row>
    <row r="443" spans="6:8" hidden="1" x14ac:dyDescent="0.2">
      <c r="F443" s="50"/>
      <c r="H443"/>
    </row>
    <row r="444" spans="6:8" hidden="1" x14ac:dyDescent="0.2">
      <c r="F444" s="50"/>
      <c r="H444"/>
    </row>
    <row r="445" spans="6:8" hidden="1" x14ac:dyDescent="0.2">
      <c r="F445" s="50"/>
      <c r="H445"/>
    </row>
    <row r="446" spans="6:8" hidden="1" x14ac:dyDescent="0.2">
      <c r="F446" s="50"/>
      <c r="H446" s="50"/>
    </row>
    <row r="447" spans="6:8" hidden="1" x14ac:dyDescent="0.2">
      <c r="F447" s="50"/>
      <c r="H447"/>
    </row>
    <row r="448" spans="6:8" hidden="1" x14ac:dyDescent="0.2">
      <c r="F448" s="50"/>
      <c r="H448"/>
    </row>
    <row r="449" spans="6:8" hidden="1" x14ac:dyDescent="0.2">
      <c r="F449" s="50"/>
      <c r="H449"/>
    </row>
    <row r="450" spans="6:8" hidden="1" x14ac:dyDescent="0.2">
      <c r="F450" s="50"/>
      <c r="H450"/>
    </row>
    <row r="451" spans="6:8" hidden="1" x14ac:dyDescent="0.2">
      <c r="F451" s="50"/>
      <c r="H451"/>
    </row>
    <row r="452" spans="6:8" hidden="1" x14ac:dyDescent="0.2">
      <c r="F452" s="50"/>
      <c r="H452" s="50"/>
    </row>
    <row r="453" spans="6:8" hidden="1" x14ac:dyDescent="0.2">
      <c r="F453" s="50"/>
      <c r="H453" s="50"/>
    </row>
    <row r="454" spans="6:8" hidden="1" x14ac:dyDescent="0.2">
      <c r="F454" s="50"/>
      <c r="H454" s="50"/>
    </row>
    <row r="455" spans="6:8" hidden="1" x14ac:dyDescent="0.2">
      <c r="F455" s="50"/>
      <c r="H455"/>
    </row>
    <row r="456" spans="6:8" hidden="1" x14ac:dyDescent="0.2">
      <c r="F456" s="50"/>
      <c r="H456"/>
    </row>
    <row r="457" spans="6:8" hidden="1" x14ac:dyDescent="0.2">
      <c r="F457" s="50"/>
      <c r="H457" s="50"/>
    </row>
    <row r="458" spans="6:8" hidden="1" x14ac:dyDescent="0.2">
      <c r="F458" s="50"/>
      <c r="H458" s="50"/>
    </row>
    <row r="459" spans="6:8" hidden="1" x14ac:dyDescent="0.2">
      <c r="F459" s="50"/>
      <c r="H459"/>
    </row>
    <row r="460" spans="6:8" hidden="1" x14ac:dyDescent="0.2">
      <c r="F460" s="50"/>
      <c r="H460" s="50"/>
    </row>
    <row r="461" spans="6:8" hidden="1" x14ac:dyDescent="0.2">
      <c r="F461" s="50"/>
      <c r="H461"/>
    </row>
    <row r="462" spans="6:8" hidden="1" x14ac:dyDescent="0.2">
      <c r="F462" s="50"/>
      <c r="H462"/>
    </row>
    <row r="463" spans="6:8" hidden="1" x14ac:dyDescent="0.2">
      <c r="F463" s="50"/>
      <c r="H463"/>
    </row>
    <row r="464" spans="6:8" hidden="1" x14ac:dyDescent="0.2">
      <c r="F464" s="50"/>
      <c r="H464"/>
    </row>
    <row r="465" spans="6:8" hidden="1" x14ac:dyDescent="0.2">
      <c r="F465" s="50"/>
      <c r="H465"/>
    </row>
    <row r="466" spans="6:8" hidden="1" x14ac:dyDescent="0.2">
      <c r="F466" s="50"/>
      <c r="H466"/>
    </row>
    <row r="467" spans="6:8" hidden="1" x14ac:dyDescent="0.2">
      <c r="F467" s="50"/>
      <c r="H467"/>
    </row>
    <row r="468" spans="6:8" hidden="1" x14ac:dyDescent="0.2">
      <c r="F468" s="50"/>
      <c r="H468"/>
    </row>
    <row r="469" spans="6:8" hidden="1" x14ac:dyDescent="0.2">
      <c r="F469" s="50"/>
      <c r="H469"/>
    </row>
    <row r="470" spans="6:8" hidden="1" x14ac:dyDescent="0.2">
      <c r="F470" s="50"/>
      <c r="H470"/>
    </row>
    <row r="471" spans="6:8" hidden="1" x14ac:dyDescent="0.2">
      <c r="F471" s="50"/>
      <c r="H471"/>
    </row>
    <row r="472" spans="6:8" hidden="1" x14ac:dyDescent="0.2">
      <c r="F472" s="50"/>
      <c r="H472"/>
    </row>
    <row r="473" spans="6:8" hidden="1" x14ac:dyDescent="0.2">
      <c r="F473" s="50"/>
      <c r="H473"/>
    </row>
    <row r="474" spans="6:8" hidden="1" x14ac:dyDescent="0.2">
      <c r="F474" s="50"/>
      <c r="H474"/>
    </row>
    <row r="475" spans="6:8" hidden="1" x14ac:dyDescent="0.2">
      <c r="F475" s="50"/>
      <c r="H475"/>
    </row>
    <row r="476" spans="6:8" hidden="1" x14ac:dyDescent="0.2">
      <c r="F476" s="50"/>
      <c r="H476"/>
    </row>
    <row r="477" spans="6:8" hidden="1" x14ac:dyDescent="0.2">
      <c r="F477" s="50"/>
      <c r="H477"/>
    </row>
    <row r="478" spans="6:8" hidden="1" x14ac:dyDescent="0.2">
      <c r="F478" s="50"/>
      <c r="H478"/>
    </row>
    <row r="479" spans="6:8" hidden="1" x14ac:dyDescent="0.2">
      <c r="F479" s="50"/>
      <c r="H479"/>
    </row>
    <row r="480" spans="6:8" hidden="1" x14ac:dyDescent="0.2">
      <c r="F480" s="50"/>
      <c r="H480" s="50"/>
    </row>
    <row r="481" spans="6:8" hidden="1" x14ac:dyDescent="0.2">
      <c r="F481" s="50"/>
      <c r="H481" s="50"/>
    </row>
    <row r="482" spans="6:8" hidden="1" x14ac:dyDescent="0.2">
      <c r="F482" s="50"/>
      <c r="H482"/>
    </row>
    <row r="483" spans="6:8" hidden="1" x14ac:dyDescent="0.2">
      <c r="F483" s="50"/>
      <c r="H483"/>
    </row>
    <row r="484" spans="6:8" hidden="1" x14ac:dyDescent="0.2">
      <c r="F484" s="50"/>
      <c r="H484"/>
    </row>
    <row r="485" spans="6:8" hidden="1" x14ac:dyDescent="0.2">
      <c r="F485" s="50"/>
      <c r="H485"/>
    </row>
    <row r="486" spans="6:8" hidden="1" x14ac:dyDescent="0.2">
      <c r="F486" s="50"/>
      <c r="H486"/>
    </row>
    <row r="487" spans="6:8" hidden="1" x14ac:dyDescent="0.2">
      <c r="F487" s="50"/>
      <c r="H487"/>
    </row>
    <row r="488" spans="6:8" hidden="1" x14ac:dyDescent="0.2">
      <c r="F488" s="50"/>
      <c r="H488" s="50"/>
    </row>
    <row r="489" spans="6:8" hidden="1" x14ac:dyDescent="0.2">
      <c r="F489" s="50"/>
      <c r="H489"/>
    </row>
    <row r="490" spans="6:8" hidden="1" x14ac:dyDescent="0.2">
      <c r="F490" s="50"/>
      <c r="H490"/>
    </row>
    <row r="491" spans="6:8" hidden="1" x14ac:dyDescent="0.2">
      <c r="F491" s="50"/>
      <c r="H491"/>
    </row>
    <row r="492" spans="6:8" hidden="1" x14ac:dyDescent="0.2">
      <c r="H492"/>
    </row>
    <row r="493" spans="6:8" hidden="1" x14ac:dyDescent="0.2">
      <c r="F493" s="50"/>
      <c r="H493"/>
    </row>
    <row r="494" spans="6:8" hidden="1" x14ac:dyDescent="0.2">
      <c r="F494" s="50"/>
      <c r="H494"/>
    </row>
    <row r="495" spans="6:8" hidden="1" x14ac:dyDescent="0.2">
      <c r="F495" s="50"/>
      <c r="H495"/>
    </row>
    <row r="496" spans="6:8" hidden="1" x14ac:dyDescent="0.2">
      <c r="F496" s="50"/>
      <c r="H496"/>
    </row>
    <row r="497" spans="6:8" hidden="1" x14ac:dyDescent="0.2">
      <c r="F497" s="50"/>
      <c r="H497"/>
    </row>
    <row r="498" spans="6:8" hidden="1" x14ac:dyDescent="0.2">
      <c r="F498" s="50"/>
      <c r="H498"/>
    </row>
    <row r="499" spans="6:8" hidden="1" x14ac:dyDescent="0.2">
      <c r="F499" s="50"/>
      <c r="H499"/>
    </row>
    <row r="500" spans="6:8" hidden="1" x14ac:dyDescent="0.2">
      <c r="F500" s="50"/>
      <c r="H500" s="50"/>
    </row>
    <row r="501" spans="6:8" hidden="1" x14ac:dyDescent="0.2">
      <c r="F501" s="50"/>
      <c r="H501" s="50"/>
    </row>
    <row r="502" spans="6:8" hidden="1" x14ac:dyDescent="0.2">
      <c r="F502" s="50"/>
      <c r="H502"/>
    </row>
    <row r="503" spans="6:8" hidden="1" x14ac:dyDescent="0.2">
      <c r="F503" s="50"/>
      <c r="H503"/>
    </row>
    <row r="504" spans="6:8" hidden="1" x14ac:dyDescent="0.2">
      <c r="F504" s="50"/>
      <c r="H504" s="50"/>
    </row>
    <row r="505" spans="6:8" hidden="1" x14ac:dyDescent="0.2">
      <c r="F505" s="50"/>
      <c r="H505"/>
    </row>
    <row r="506" spans="6:8" hidden="1" x14ac:dyDescent="0.2">
      <c r="F506" s="50"/>
      <c r="H506"/>
    </row>
    <row r="507" spans="6:8" hidden="1" x14ac:dyDescent="0.2">
      <c r="F507" s="50"/>
      <c r="H507" s="50"/>
    </row>
    <row r="508" spans="6:8" hidden="1" x14ac:dyDescent="0.2">
      <c r="F508" s="50"/>
      <c r="H508"/>
    </row>
    <row r="509" spans="6:8" hidden="1" x14ac:dyDescent="0.2">
      <c r="F509" s="50"/>
      <c r="H509"/>
    </row>
    <row r="510" spans="6:8" hidden="1" x14ac:dyDescent="0.2">
      <c r="F510" s="50"/>
      <c r="H510"/>
    </row>
    <row r="511" spans="6:8" hidden="1" x14ac:dyDescent="0.2">
      <c r="F511" s="50"/>
      <c r="H511"/>
    </row>
    <row r="512" spans="6:8" hidden="1" x14ac:dyDescent="0.2">
      <c r="F512" s="50"/>
      <c r="H512"/>
    </row>
    <row r="513" spans="6:8" hidden="1" x14ac:dyDescent="0.2">
      <c r="F513" s="50"/>
      <c r="H513" s="50"/>
    </row>
    <row r="514" spans="6:8" hidden="1" x14ac:dyDescent="0.2">
      <c r="F514" s="50"/>
      <c r="H514" s="50"/>
    </row>
    <row r="515" spans="6:8" hidden="1" x14ac:dyDescent="0.2">
      <c r="F515" s="50"/>
      <c r="H515"/>
    </row>
    <row r="516" spans="6:8" hidden="1" x14ac:dyDescent="0.2">
      <c r="F516" s="50"/>
      <c r="H516" s="50"/>
    </row>
    <row r="517" spans="6:8" hidden="1" x14ac:dyDescent="0.2">
      <c r="F517" s="50"/>
      <c r="H517"/>
    </row>
    <row r="518" spans="6:8" hidden="1" x14ac:dyDescent="0.2">
      <c r="F518" s="50"/>
      <c r="H518"/>
    </row>
    <row r="519" spans="6:8" hidden="1" x14ac:dyDescent="0.2">
      <c r="F519" s="50"/>
      <c r="H519"/>
    </row>
    <row r="520" spans="6:8" hidden="1" x14ac:dyDescent="0.2">
      <c r="F520" s="50"/>
      <c r="H520" s="50"/>
    </row>
    <row r="521" spans="6:8" hidden="1" x14ac:dyDescent="0.2">
      <c r="F521" s="50"/>
      <c r="H521"/>
    </row>
    <row r="522" spans="6:8" hidden="1" x14ac:dyDescent="0.2">
      <c r="F522" s="50"/>
      <c r="H522" s="50"/>
    </row>
    <row r="523" spans="6:8" hidden="1" x14ac:dyDescent="0.2">
      <c r="F523" s="50"/>
      <c r="H523"/>
    </row>
    <row r="524" spans="6:8" hidden="1" x14ac:dyDescent="0.2">
      <c r="F524" s="50"/>
      <c r="H524" s="50"/>
    </row>
    <row r="525" spans="6:8" hidden="1" x14ac:dyDescent="0.2">
      <c r="F525" s="50"/>
      <c r="H525"/>
    </row>
    <row r="526" spans="6:8" hidden="1" x14ac:dyDescent="0.2">
      <c r="F526" s="50"/>
      <c r="H526"/>
    </row>
    <row r="527" spans="6:8" hidden="1" x14ac:dyDescent="0.2">
      <c r="F527" s="50"/>
      <c r="H527"/>
    </row>
    <row r="528" spans="6:8" hidden="1" x14ac:dyDescent="0.2">
      <c r="F528" s="50"/>
      <c r="H528"/>
    </row>
    <row r="529" spans="6:8" hidden="1" x14ac:dyDescent="0.2">
      <c r="F529" s="50"/>
      <c r="H529"/>
    </row>
    <row r="530" spans="6:8" hidden="1" x14ac:dyDescent="0.2">
      <c r="F530" s="50"/>
      <c r="H530"/>
    </row>
    <row r="531" spans="6:8" hidden="1" x14ac:dyDescent="0.2">
      <c r="F531" s="50"/>
      <c r="H531"/>
    </row>
    <row r="532" spans="6:8" hidden="1" x14ac:dyDescent="0.2">
      <c r="F532" s="50"/>
      <c r="H532"/>
    </row>
    <row r="533" spans="6:8" hidden="1" x14ac:dyDescent="0.2">
      <c r="F533" s="50"/>
      <c r="H533"/>
    </row>
    <row r="534" spans="6:8" hidden="1" x14ac:dyDescent="0.2">
      <c r="F534" s="50"/>
      <c r="H534"/>
    </row>
    <row r="535" spans="6:8" hidden="1" x14ac:dyDescent="0.2">
      <c r="F535" s="50"/>
      <c r="H535"/>
    </row>
    <row r="536" spans="6:8" hidden="1" x14ac:dyDescent="0.2">
      <c r="F536" s="50"/>
      <c r="H536"/>
    </row>
    <row r="537" spans="6:8" hidden="1" x14ac:dyDescent="0.2">
      <c r="F537" s="50"/>
      <c r="H537"/>
    </row>
    <row r="538" spans="6:8" hidden="1" x14ac:dyDescent="0.2">
      <c r="F538" s="50"/>
      <c r="H538" s="50"/>
    </row>
    <row r="539" spans="6:8" hidden="1" x14ac:dyDescent="0.2">
      <c r="F539" s="50"/>
      <c r="H539" s="50"/>
    </row>
    <row r="540" spans="6:8" hidden="1" x14ac:dyDescent="0.2">
      <c r="F540" s="50"/>
      <c r="H540" s="50"/>
    </row>
    <row r="541" spans="6:8" hidden="1" x14ac:dyDescent="0.2">
      <c r="F541" s="50"/>
      <c r="H541"/>
    </row>
    <row r="542" spans="6:8" hidden="1" x14ac:dyDescent="0.2">
      <c r="F542" s="50"/>
      <c r="H542"/>
    </row>
    <row r="543" spans="6:8" hidden="1" x14ac:dyDescent="0.2">
      <c r="F543" s="50"/>
      <c r="H543" s="50"/>
    </row>
    <row r="544" spans="6:8" hidden="1" x14ac:dyDescent="0.2">
      <c r="F544" s="50"/>
      <c r="H544"/>
    </row>
    <row r="545" spans="6:8" hidden="1" x14ac:dyDescent="0.2">
      <c r="F545" s="50"/>
      <c r="H545" s="50"/>
    </row>
    <row r="546" spans="6:8" hidden="1" x14ac:dyDescent="0.2">
      <c r="F546" s="50"/>
      <c r="H546"/>
    </row>
    <row r="547" spans="6:8" hidden="1" x14ac:dyDescent="0.2">
      <c r="H547"/>
    </row>
    <row r="548" spans="6:8" hidden="1" x14ac:dyDescent="0.2">
      <c r="H548"/>
    </row>
    <row r="549" spans="6:8" hidden="1" x14ac:dyDescent="0.2">
      <c r="F549" s="50"/>
      <c r="H549" s="50"/>
    </row>
    <row r="550" spans="6:8" hidden="1" x14ac:dyDescent="0.2">
      <c r="F550" s="50"/>
      <c r="H550" s="50"/>
    </row>
    <row r="551" spans="6:8" hidden="1" x14ac:dyDescent="0.2">
      <c r="F551" s="50"/>
      <c r="H551"/>
    </row>
    <row r="552" spans="6:8" hidden="1" x14ac:dyDescent="0.2">
      <c r="F552" s="50"/>
      <c r="H552" s="50"/>
    </row>
    <row r="553" spans="6:8" hidden="1" x14ac:dyDescent="0.2">
      <c r="F553" s="50"/>
      <c r="H553" s="50"/>
    </row>
    <row r="554" spans="6:8" hidden="1" x14ac:dyDescent="0.2">
      <c r="F554" s="50"/>
      <c r="H554"/>
    </row>
    <row r="555" spans="6:8" hidden="1" x14ac:dyDescent="0.2">
      <c r="F555" s="50"/>
      <c r="H555"/>
    </row>
    <row r="556" spans="6:8" hidden="1" x14ac:dyDescent="0.2">
      <c r="F556" s="50"/>
      <c r="H556"/>
    </row>
    <row r="557" spans="6:8" hidden="1" x14ac:dyDescent="0.2">
      <c r="F557" s="50"/>
      <c r="H557"/>
    </row>
    <row r="558" spans="6:8" hidden="1" x14ac:dyDescent="0.2">
      <c r="F558" s="50"/>
      <c r="H558"/>
    </row>
    <row r="559" spans="6:8" hidden="1" x14ac:dyDescent="0.2">
      <c r="F559" s="50"/>
      <c r="H559"/>
    </row>
    <row r="560" spans="6:8" hidden="1" x14ac:dyDescent="0.2">
      <c r="F560" s="50"/>
      <c r="H560"/>
    </row>
    <row r="561" spans="6:8" hidden="1" x14ac:dyDescent="0.2">
      <c r="F561" s="50"/>
      <c r="H561"/>
    </row>
    <row r="562" spans="6:8" hidden="1" x14ac:dyDescent="0.2">
      <c r="F562" s="50"/>
      <c r="H562"/>
    </row>
    <row r="563" spans="6:8" hidden="1" x14ac:dyDescent="0.2">
      <c r="F563" s="50"/>
      <c r="H563"/>
    </row>
    <row r="564" spans="6:8" hidden="1" x14ac:dyDescent="0.2">
      <c r="F564" s="50"/>
      <c r="H564"/>
    </row>
    <row r="565" spans="6:8" hidden="1" x14ac:dyDescent="0.2">
      <c r="F565" s="50"/>
      <c r="H565"/>
    </row>
    <row r="566" spans="6:8" hidden="1" x14ac:dyDescent="0.2">
      <c r="F566" s="50"/>
      <c r="H566"/>
    </row>
    <row r="567" spans="6:8" hidden="1" x14ac:dyDescent="0.2">
      <c r="F567" s="50"/>
      <c r="H567"/>
    </row>
    <row r="568" spans="6:8" hidden="1" x14ac:dyDescent="0.2">
      <c r="F568" s="50"/>
      <c r="H568"/>
    </row>
    <row r="569" spans="6:8" hidden="1" x14ac:dyDescent="0.2">
      <c r="F569" s="50"/>
      <c r="H569"/>
    </row>
    <row r="570" spans="6:8" hidden="1" x14ac:dyDescent="0.2">
      <c r="F570" s="50"/>
      <c r="H570"/>
    </row>
    <row r="571" spans="6:8" hidden="1" x14ac:dyDescent="0.2">
      <c r="F571" s="50"/>
      <c r="H571"/>
    </row>
    <row r="572" spans="6:8" hidden="1" x14ac:dyDescent="0.2">
      <c r="F572" s="50"/>
      <c r="H572"/>
    </row>
    <row r="573" spans="6:8" hidden="1" x14ac:dyDescent="0.2">
      <c r="F573" s="50"/>
      <c r="H573"/>
    </row>
    <row r="574" spans="6:8" hidden="1" x14ac:dyDescent="0.2">
      <c r="F574" s="50"/>
      <c r="H574"/>
    </row>
    <row r="575" spans="6:8" hidden="1" x14ac:dyDescent="0.2">
      <c r="F575" s="50"/>
      <c r="H575"/>
    </row>
    <row r="576" spans="6:8" hidden="1" x14ac:dyDescent="0.2">
      <c r="F576" s="50"/>
      <c r="H576"/>
    </row>
    <row r="577" spans="6:8" hidden="1" x14ac:dyDescent="0.2">
      <c r="F577" s="50"/>
      <c r="H577"/>
    </row>
    <row r="578" spans="6:8" hidden="1" x14ac:dyDescent="0.2">
      <c r="F578" s="50"/>
      <c r="H578"/>
    </row>
    <row r="579" spans="6:8" hidden="1" x14ac:dyDescent="0.2">
      <c r="F579" s="50"/>
      <c r="H579"/>
    </row>
    <row r="580" spans="6:8" hidden="1" x14ac:dyDescent="0.2">
      <c r="F580" s="50"/>
      <c r="H580"/>
    </row>
    <row r="581" spans="6:8" hidden="1" x14ac:dyDescent="0.2">
      <c r="F581" s="50"/>
      <c r="H581"/>
    </row>
    <row r="582" spans="6:8" hidden="1" x14ac:dyDescent="0.2">
      <c r="F582" s="50"/>
      <c r="H582"/>
    </row>
    <row r="583" spans="6:8" hidden="1" x14ac:dyDescent="0.2">
      <c r="F583" s="50"/>
      <c r="H583"/>
    </row>
    <row r="584" spans="6:8" hidden="1" x14ac:dyDescent="0.2">
      <c r="F584" s="50"/>
      <c r="H584" s="50"/>
    </row>
    <row r="585" spans="6:8" hidden="1" x14ac:dyDescent="0.2">
      <c r="F585" s="50"/>
      <c r="H585"/>
    </row>
    <row r="586" spans="6:8" hidden="1" x14ac:dyDescent="0.2">
      <c r="F586" s="50"/>
      <c r="H586"/>
    </row>
    <row r="587" spans="6:8" hidden="1" x14ac:dyDescent="0.2">
      <c r="F587" s="50"/>
      <c r="H587" s="50"/>
    </row>
    <row r="588" spans="6:8" hidden="1" x14ac:dyDescent="0.2">
      <c r="F588" s="50"/>
      <c r="H588"/>
    </row>
    <row r="589" spans="6:8" hidden="1" x14ac:dyDescent="0.2">
      <c r="F589" s="50"/>
      <c r="H589"/>
    </row>
    <row r="590" spans="6:8" hidden="1" x14ac:dyDescent="0.2">
      <c r="F590" s="50"/>
      <c r="H590" s="50"/>
    </row>
    <row r="591" spans="6:8" hidden="1" x14ac:dyDescent="0.2">
      <c r="F591" s="50"/>
      <c r="H591"/>
    </row>
    <row r="592" spans="6:8" hidden="1" x14ac:dyDescent="0.2">
      <c r="F592" s="50"/>
      <c r="H592"/>
    </row>
    <row r="593" spans="6:8" hidden="1" x14ac:dyDescent="0.2">
      <c r="F593" s="50"/>
      <c r="H593"/>
    </row>
    <row r="594" spans="6:8" hidden="1" x14ac:dyDescent="0.2">
      <c r="F594" s="50"/>
      <c r="H594"/>
    </row>
    <row r="595" spans="6:8" hidden="1" x14ac:dyDescent="0.2">
      <c r="F595" s="50"/>
      <c r="H595"/>
    </row>
    <row r="596" spans="6:8" hidden="1" x14ac:dyDescent="0.2">
      <c r="F596" s="50"/>
      <c r="H596"/>
    </row>
    <row r="597" spans="6:8" hidden="1" x14ac:dyDescent="0.2">
      <c r="F597" s="50"/>
      <c r="H597"/>
    </row>
    <row r="598" spans="6:8" hidden="1" x14ac:dyDescent="0.2">
      <c r="F598" s="50"/>
      <c r="H598"/>
    </row>
    <row r="599" spans="6:8" hidden="1" x14ac:dyDescent="0.2">
      <c r="F599" s="50"/>
      <c r="H599"/>
    </row>
    <row r="600" spans="6:8" hidden="1" x14ac:dyDescent="0.2">
      <c r="F600" s="50"/>
      <c r="H600"/>
    </row>
    <row r="601" spans="6:8" hidden="1" x14ac:dyDescent="0.2">
      <c r="F601" s="50"/>
      <c r="H601"/>
    </row>
    <row r="602" spans="6:8" hidden="1" x14ac:dyDescent="0.2">
      <c r="F602" s="50"/>
      <c r="H602" s="50"/>
    </row>
    <row r="603" spans="6:8" hidden="1" x14ac:dyDescent="0.2">
      <c r="F603" s="50"/>
      <c r="H603"/>
    </row>
    <row r="604" spans="6:8" hidden="1" x14ac:dyDescent="0.2">
      <c r="F604" s="50"/>
      <c r="H604"/>
    </row>
    <row r="605" spans="6:8" hidden="1" x14ac:dyDescent="0.2">
      <c r="F605" s="50"/>
      <c r="H605"/>
    </row>
    <row r="606" spans="6:8" hidden="1" x14ac:dyDescent="0.2">
      <c r="F606" s="50"/>
      <c r="H606"/>
    </row>
    <row r="607" spans="6:8" hidden="1" x14ac:dyDescent="0.2">
      <c r="F607" s="50"/>
      <c r="H607"/>
    </row>
    <row r="608" spans="6:8" hidden="1" x14ac:dyDescent="0.2">
      <c r="F608" s="50"/>
      <c r="H608"/>
    </row>
    <row r="609" spans="6:8" hidden="1" x14ac:dyDescent="0.2">
      <c r="F609" s="50"/>
      <c r="H609"/>
    </row>
    <row r="610" spans="6:8" hidden="1" x14ac:dyDescent="0.2">
      <c r="F610" s="50"/>
      <c r="H610"/>
    </row>
    <row r="611" spans="6:8" hidden="1" x14ac:dyDescent="0.2">
      <c r="F611" s="50"/>
      <c r="H611"/>
    </row>
    <row r="612" spans="6:8" hidden="1" x14ac:dyDescent="0.2">
      <c r="F612" s="50"/>
      <c r="H612" s="50"/>
    </row>
    <row r="613" spans="6:8" hidden="1" x14ac:dyDescent="0.2">
      <c r="F613" s="50"/>
      <c r="H613"/>
    </row>
    <row r="614" spans="6:8" hidden="1" x14ac:dyDescent="0.2">
      <c r="F614" s="50"/>
      <c r="H614"/>
    </row>
    <row r="615" spans="6:8" hidden="1" x14ac:dyDescent="0.2">
      <c r="F615" s="50"/>
      <c r="H615"/>
    </row>
    <row r="616" spans="6:8" hidden="1" x14ac:dyDescent="0.2">
      <c r="F616" s="50"/>
      <c r="H616"/>
    </row>
    <row r="617" spans="6:8" hidden="1" x14ac:dyDescent="0.2">
      <c r="F617" s="50"/>
      <c r="H617"/>
    </row>
    <row r="618" spans="6:8" hidden="1" x14ac:dyDescent="0.2">
      <c r="F618" s="50"/>
      <c r="H618" s="50"/>
    </row>
    <row r="619" spans="6:8" hidden="1" x14ac:dyDescent="0.2">
      <c r="F619" s="50"/>
      <c r="H619"/>
    </row>
    <row r="620" spans="6:8" hidden="1" x14ac:dyDescent="0.2">
      <c r="F620" s="50"/>
      <c r="H620"/>
    </row>
    <row r="621" spans="6:8" hidden="1" x14ac:dyDescent="0.2">
      <c r="F621" s="50"/>
      <c r="H621"/>
    </row>
    <row r="622" spans="6:8" hidden="1" x14ac:dyDescent="0.2">
      <c r="F622" s="50"/>
      <c r="H622" s="50"/>
    </row>
    <row r="623" spans="6:8" hidden="1" x14ac:dyDescent="0.2">
      <c r="F623" s="50"/>
      <c r="H623"/>
    </row>
    <row r="624" spans="6:8" hidden="1" x14ac:dyDescent="0.2">
      <c r="F624" s="50"/>
      <c r="H624"/>
    </row>
    <row r="625" spans="6:8" hidden="1" x14ac:dyDescent="0.2">
      <c r="F625" s="50"/>
      <c r="H625" s="50"/>
    </row>
    <row r="626" spans="6:8" hidden="1" x14ac:dyDescent="0.2">
      <c r="F626" s="50"/>
      <c r="H626" s="50"/>
    </row>
    <row r="627" spans="6:8" hidden="1" x14ac:dyDescent="0.2">
      <c r="F627" s="50"/>
      <c r="H627" s="50"/>
    </row>
    <row r="628" spans="6:8" hidden="1" x14ac:dyDescent="0.2">
      <c r="F628" s="50"/>
      <c r="H628" s="50"/>
    </row>
    <row r="629" spans="6:8" hidden="1" x14ac:dyDescent="0.2">
      <c r="F629" s="50"/>
      <c r="H629" s="50"/>
    </row>
    <row r="630" spans="6:8" hidden="1" x14ac:dyDescent="0.2">
      <c r="F630" s="50"/>
      <c r="H630" s="50"/>
    </row>
    <row r="631" spans="6:8" hidden="1" x14ac:dyDescent="0.2">
      <c r="F631" s="50"/>
      <c r="H631"/>
    </row>
    <row r="632" spans="6:8" hidden="1" x14ac:dyDescent="0.2">
      <c r="F632" s="50"/>
      <c r="H632" s="50"/>
    </row>
    <row r="633" spans="6:8" hidden="1" x14ac:dyDescent="0.2">
      <c r="F633" s="50"/>
      <c r="H633"/>
    </row>
    <row r="634" spans="6:8" hidden="1" x14ac:dyDescent="0.2">
      <c r="F634" s="50"/>
      <c r="H634" s="50"/>
    </row>
    <row r="635" spans="6:8" hidden="1" x14ac:dyDescent="0.2">
      <c r="F635" s="50"/>
      <c r="H635"/>
    </row>
    <row r="636" spans="6:8" hidden="1" x14ac:dyDescent="0.2">
      <c r="F636" s="50"/>
      <c r="H636" s="50"/>
    </row>
    <row r="637" spans="6:8" hidden="1" x14ac:dyDescent="0.2">
      <c r="F637" s="50"/>
      <c r="H637"/>
    </row>
    <row r="638" spans="6:8" hidden="1" x14ac:dyDescent="0.2">
      <c r="F638" s="50"/>
      <c r="H638"/>
    </row>
    <row r="639" spans="6:8" hidden="1" x14ac:dyDescent="0.2">
      <c r="F639" s="50"/>
      <c r="H639"/>
    </row>
    <row r="640" spans="6:8" hidden="1" x14ac:dyDescent="0.2">
      <c r="F640" s="50"/>
      <c r="H640"/>
    </row>
    <row r="641" spans="6:8" hidden="1" x14ac:dyDescent="0.2">
      <c r="F641" s="50"/>
      <c r="H641"/>
    </row>
    <row r="642" spans="6:8" hidden="1" x14ac:dyDescent="0.2">
      <c r="F642" s="50"/>
      <c r="H642"/>
    </row>
    <row r="643" spans="6:8" hidden="1" x14ac:dyDescent="0.2">
      <c r="F643" s="50"/>
      <c r="H643"/>
    </row>
    <row r="644" spans="6:8" hidden="1" x14ac:dyDescent="0.2">
      <c r="F644" s="50"/>
      <c r="H644"/>
    </row>
    <row r="645" spans="6:8" hidden="1" x14ac:dyDescent="0.2">
      <c r="H645"/>
    </row>
    <row r="646" spans="6:8" hidden="1" x14ac:dyDescent="0.2">
      <c r="H646"/>
    </row>
    <row r="647" spans="6:8" hidden="1" x14ac:dyDescent="0.2">
      <c r="F647" s="50"/>
      <c r="H647"/>
    </row>
    <row r="648" spans="6:8" hidden="1" x14ac:dyDescent="0.2">
      <c r="F648" s="50"/>
      <c r="H648" s="50"/>
    </row>
    <row r="649" spans="6:8" hidden="1" x14ac:dyDescent="0.2">
      <c r="F649" s="50"/>
      <c r="H649"/>
    </row>
    <row r="650" spans="6:8" hidden="1" x14ac:dyDescent="0.2">
      <c r="F650" s="50"/>
      <c r="H650"/>
    </row>
    <row r="651" spans="6:8" hidden="1" x14ac:dyDescent="0.2">
      <c r="F651" s="50"/>
      <c r="H651"/>
    </row>
    <row r="652" spans="6:8" hidden="1" x14ac:dyDescent="0.2">
      <c r="F652" s="50"/>
      <c r="H652"/>
    </row>
    <row r="653" spans="6:8" hidden="1" x14ac:dyDescent="0.2">
      <c r="F653" s="50"/>
      <c r="H653"/>
    </row>
    <row r="654" spans="6:8" hidden="1" x14ac:dyDescent="0.2">
      <c r="F654" s="50"/>
      <c r="H654" s="50"/>
    </row>
    <row r="655" spans="6:8" hidden="1" x14ac:dyDescent="0.2">
      <c r="F655" s="50"/>
      <c r="H655"/>
    </row>
    <row r="656" spans="6:8" hidden="1" x14ac:dyDescent="0.2">
      <c r="F656" s="50"/>
      <c r="H656"/>
    </row>
    <row r="657" spans="6:8" hidden="1" x14ac:dyDescent="0.2">
      <c r="F657" s="50"/>
      <c r="H657"/>
    </row>
    <row r="658" spans="6:8" hidden="1" x14ac:dyDescent="0.2">
      <c r="F658" s="50"/>
      <c r="H658" s="50"/>
    </row>
    <row r="659" spans="6:8" hidden="1" x14ac:dyDescent="0.2">
      <c r="H659"/>
    </row>
    <row r="660" spans="6:8" hidden="1" x14ac:dyDescent="0.2">
      <c r="F660" s="50"/>
      <c r="H660"/>
    </row>
    <row r="661" spans="6:8" hidden="1" x14ac:dyDescent="0.2">
      <c r="F661" s="50"/>
      <c r="H661"/>
    </row>
    <row r="662" spans="6:8" hidden="1" x14ac:dyDescent="0.2">
      <c r="F662" s="50"/>
      <c r="H662"/>
    </row>
    <row r="663" spans="6:8" hidden="1" x14ac:dyDescent="0.2">
      <c r="F663" s="50"/>
      <c r="H663" s="50"/>
    </row>
    <row r="664" spans="6:8" hidden="1" x14ac:dyDescent="0.2">
      <c r="F664" s="50"/>
      <c r="H664"/>
    </row>
    <row r="665" spans="6:8" hidden="1" x14ac:dyDescent="0.2">
      <c r="F665" s="50"/>
      <c r="H665"/>
    </row>
    <row r="666" spans="6:8" hidden="1" x14ac:dyDescent="0.2">
      <c r="F666" s="50"/>
      <c r="H666" s="50"/>
    </row>
    <row r="667" spans="6:8" hidden="1" x14ac:dyDescent="0.2">
      <c r="F667" s="50"/>
      <c r="H667"/>
    </row>
    <row r="668" spans="6:8" hidden="1" x14ac:dyDescent="0.2">
      <c r="F668" s="50"/>
      <c r="H668"/>
    </row>
    <row r="669" spans="6:8" hidden="1" x14ac:dyDescent="0.2">
      <c r="F669" s="50"/>
      <c r="H669" s="50"/>
    </row>
    <row r="670" spans="6:8" hidden="1" x14ac:dyDescent="0.2">
      <c r="F670" s="50"/>
      <c r="H670"/>
    </row>
    <row r="671" spans="6:8" hidden="1" x14ac:dyDescent="0.2">
      <c r="F671" s="50"/>
      <c r="H671"/>
    </row>
    <row r="672" spans="6:8" hidden="1" x14ac:dyDescent="0.2">
      <c r="F672" s="50"/>
      <c r="H672" s="50"/>
    </row>
    <row r="673" spans="6:8" hidden="1" x14ac:dyDescent="0.2">
      <c r="F673" s="50"/>
      <c r="H673"/>
    </row>
    <row r="674" spans="6:8" hidden="1" x14ac:dyDescent="0.2">
      <c r="F674" s="50"/>
      <c r="H674" s="50"/>
    </row>
    <row r="675" spans="6:8" hidden="1" x14ac:dyDescent="0.2">
      <c r="F675" s="50"/>
      <c r="H675" s="50"/>
    </row>
    <row r="676" spans="6:8" hidden="1" x14ac:dyDescent="0.2">
      <c r="F676" s="50"/>
      <c r="H676"/>
    </row>
    <row r="677" spans="6:8" hidden="1" x14ac:dyDescent="0.2">
      <c r="F677" s="50"/>
      <c r="H677"/>
    </row>
    <row r="678" spans="6:8" hidden="1" x14ac:dyDescent="0.2">
      <c r="F678" s="50"/>
      <c r="H678"/>
    </row>
    <row r="679" spans="6:8" hidden="1" x14ac:dyDescent="0.2">
      <c r="F679" s="50"/>
      <c r="H679" s="50"/>
    </row>
    <row r="680" spans="6:8" hidden="1" x14ac:dyDescent="0.2">
      <c r="F680" s="50"/>
      <c r="H680" s="50"/>
    </row>
    <row r="681" spans="6:8" hidden="1" x14ac:dyDescent="0.2">
      <c r="F681" s="50"/>
      <c r="H681"/>
    </row>
    <row r="682" spans="6:8" hidden="1" x14ac:dyDescent="0.2">
      <c r="F682" s="50"/>
      <c r="H682"/>
    </row>
    <row r="683" spans="6:8" hidden="1" x14ac:dyDescent="0.2">
      <c r="F683" s="50"/>
      <c r="H683" s="50"/>
    </row>
    <row r="684" spans="6:8" hidden="1" x14ac:dyDescent="0.2">
      <c r="F684" s="50"/>
      <c r="H684"/>
    </row>
    <row r="685" spans="6:8" hidden="1" x14ac:dyDescent="0.2">
      <c r="F685" s="50"/>
      <c r="H685"/>
    </row>
    <row r="686" spans="6:8" hidden="1" x14ac:dyDescent="0.2">
      <c r="F686" s="50"/>
      <c r="H686"/>
    </row>
    <row r="687" spans="6:8" hidden="1" x14ac:dyDescent="0.2">
      <c r="F687" s="50"/>
      <c r="H687"/>
    </row>
    <row r="688" spans="6:8" hidden="1" x14ac:dyDescent="0.2">
      <c r="F688" s="50"/>
      <c r="H688"/>
    </row>
    <row r="689" spans="6:8" hidden="1" x14ac:dyDescent="0.2">
      <c r="F689" s="50"/>
      <c r="H689"/>
    </row>
    <row r="690" spans="6:8" hidden="1" x14ac:dyDescent="0.2">
      <c r="F690" s="50"/>
      <c r="H690" s="50"/>
    </row>
    <row r="691" spans="6:8" hidden="1" x14ac:dyDescent="0.2">
      <c r="F691" s="50"/>
      <c r="H691"/>
    </row>
    <row r="692" spans="6:8" hidden="1" x14ac:dyDescent="0.2">
      <c r="F692" s="50"/>
      <c r="H692"/>
    </row>
    <row r="693" spans="6:8" hidden="1" x14ac:dyDescent="0.2">
      <c r="F693" s="50"/>
      <c r="H693"/>
    </row>
    <row r="694" spans="6:8" hidden="1" x14ac:dyDescent="0.2">
      <c r="F694" s="50"/>
      <c r="H694" s="50"/>
    </row>
    <row r="695" spans="6:8" hidden="1" x14ac:dyDescent="0.2">
      <c r="F695" s="50"/>
      <c r="H695" s="50"/>
    </row>
    <row r="696" spans="6:8" hidden="1" x14ac:dyDescent="0.2">
      <c r="F696" s="50"/>
      <c r="H696"/>
    </row>
    <row r="697" spans="6:8" hidden="1" x14ac:dyDescent="0.2">
      <c r="F697" s="50"/>
      <c r="H697"/>
    </row>
    <row r="698" spans="6:8" hidden="1" x14ac:dyDescent="0.2">
      <c r="F698" s="50"/>
      <c r="H698"/>
    </row>
    <row r="699" spans="6:8" hidden="1" x14ac:dyDescent="0.2">
      <c r="F699" s="50"/>
      <c r="H699" s="50"/>
    </row>
    <row r="700" spans="6:8" hidden="1" x14ac:dyDescent="0.2">
      <c r="F700" s="50"/>
      <c r="H700"/>
    </row>
    <row r="701" spans="6:8" hidden="1" x14ac:dyDescent="0.2">
      <c r="F701" s="50"/>
      <c r="H701" s="50"/>
    </row>
    <row r="702" spans="6:8" hidden="1" x14ac:dyDescent="0.2">
      <c r="F702" s="50"/>
      <c r="H702" s="50"/>
    </row>
    <row r="703" spans="6:8" hidden="1" x14ac:dyDescent="0.2">
      <c r="F703" s="50"/>
      <c r="H703" s="50"/>
    </row>
    <row r="704" spans="6:8" hidden="1" x14ac:dyDescent="0.2">
      <c r="F704" s="50"/>
      <c r="H704"/>
    </row>
    <row r="705" spans="6:8" hidden="1" x14ac:dyDescent="0.2">
      <c r="F705" s="50"/>
      <c r="H705" s="50"/>
    </row>
    <row r="706" spans="6:8" hidden="1" x14ac:dyDescent="0.2">
      <c r="F706" s="50"/>
      <c r="H706" s="50"/>
    </row>
    <row r="707" spans="6:8" hidden="1" x14ac:dyDescent="0.2">
      <c r="F707" s="50"/>
      <c r="H707" s="50"/>
    </row>
    <row r="708" spans="6:8" hidden="1" x14ac:dyDescent="0.2">
      <c r="F708" s="50"/>
      <c r="H708" s="50"/>
    </row>
    <row r="709" spans="6:8" hidden="1" x14ac:dyDescent="0.2">
      <c r="F709" s="50"/>
      <c r="H709"/>
    </row>
    <row r="710" spans="6:8" hidden="1" x14ac:dyDescent="0.2">
      <c r="F710" s="50"/>
      <c r="H710"/>
    </row>
    <row r="711" spans="6:8" hidden="1" x14ac:dyDescent="0.2">
      <c r="F711" s="50"/>
      <c r="H711"/>
    </row>
    <row r="712" spans="6:8" hidden="1" x14ac:dyDescent="0.2">
      <c r="F712" s="50"/>
      <c r="H712"/>
    </row>
    <row r="713" spans="6:8" hidden="1" x14ac:dyDescent="0.2">
      <c r="F713" s="50"/>
      <c r="H713"/>
    </row>
    <row r="714" spans="6:8" hidden="1" x14ac:dyDescent="0.2">
      <c r="F714" s="50"/>
      <c r="H714"/>
    </row>
    <row r="715" spans="6:8" hidden="1" x14ac:dyDescent="0.2">
      <c r="F715" s="50"/>
      <c r="H715"/>
    </row>
    <row r="716" spans="6:8" hidden="1" x14ac:dyDescent="0.2">
      <c r="F716" s="50"/>
      <c r="H716"/>
    </row>
    <row r="717" spans="6:8" hidden="1" x14ac:dyDescent="0.2">
      <c r="F717" s="50"/>
      <c r="H717"/>
    </row>
    <row r="718" spans="6:8" hidden="1" x14ac:dyDescent="0.2">
      <c r="F718" s="50"/>
      <c r="H718" s="50"/>
    </row>
    <row r="719" spans="6:8" hidden="1" x14ac:dyDescent="0.2">
      <c r="F719" s="50"/>
      <c r="H719" s="50"/>
    </row>
    <row r="720" spans="6:8" hidden="1" x14ac:dyDescent="0.2">
      <c r="F720" s="50"/>
      <c r="H720"/>
    </row>
    <row r="721" spans="6:8" hidden="1" x14ac:dyDescent="0.2">
      <c r="F721" s="50"/>
      <c r="H721"/>
    </row>
    <row r="722" spans="6:8" hidden="1" x14ac:dyDescent="0.2">
      <c r="F722" s="50"/>
      <c r="H722"/>
    </row>
    <row r="723" spans="6:8" hidden="1" x14ac:dyDescent="0.2">
      <c r="F723" s="50"/>
      <c r="H723"/>
    </row>
    <row r="724" spans="6:8" hidden="1" x14ac:dyDescent="0.2">
      <c r="F724" s="50"/>
      <c r="H724"/>
    </row>
    <row r="725" spans="6:8" hidden="1" x14ac:dyDescent="0.2">
      <c r="F725" s="50"/>
      <c r="H725" s="50"/>
    </row>
    <row r="726" spans="6:8" hidden="1" x14ac:dyDescent="0.2">
      <c r="F726" s="50"/>
      <c r="H726"/>
    </row>
    <row r="727" spans="6:8" hidden="1" x14ac:dyDescent="0.2">
      <c r="H727"/>
    </row>
    <row r="728" spans="6:8" hidden="1" x14ac:dyDescent="0.2">
      <c r="F728" s="50"/>
      <c r="H728"/>
    </row>
    <row r="729" spans="6:8" hidden="1" x14ac:dyDescent="0.2">
      <c r="H729"/>
    </row>
    <row r="730" spans="6:8" hidden="1" x14ac:dyDescent="0.2">
      <c r="F730" s="50"/>
      <c r="H730" s="50"/>
    </row>
    <row r="731" spans="6:8" hidden="1" x14ac:dyDescent="0.2">
      <c r="F731" s="50"/>
      <c r="H731" s="50"/>
    </row>
    <row r="732" spans="6:8" hidden="1" x14ac:dyDescent="0.2">
      <c r="F732" s="50"/>
      <c r="H732" s="50"/>
    </row>
    <row r="733" spans="6:8" hidden="1" x14ac:dyDescent="0.2">
      <c r="F733" s="50"/>
      <c r="H733" s="50"/>
    </row>
    <row r="734" spans="6:8" hidden="1" x14ac:dyDescent="0.2">
      <c r="F734" s="50"/>
      <c r="H734"/>
    </row>
    <row r="735" spans="6:8" hidden="1" x14ac:dyDescent="0.2">
      <c r="F735" s="50"/>
      <c r="H735"/>
    </row>
    <row r="736" spans="6:8" hidden="1" x14ac:dyDescent="0.2">
      <c r="F736" s="50"/>
      <c r="H736"/>
    </row>
    <row r="737" spans="6:8" hidden="1" x14ac:dyDescent="0.2">
      <c r="F737" s="50"/>
      <c r="H737"/>
    </row>
    <row r="738" spans="6:8" hidden="1" x14ac:dyDescent="0.2">
      <c r="F738" s="50"/>
      <c r="H738" s="50"/>
    </row>
    <row r="739" spans="6:8" hidden="1" x14ac:dyDescent="0.2">
      <c r="F739" s="50"/>
      <c r="H739"/>
    </row>
    <row r="740" spans="6:8" hidden="1" x14ac:dyDescent="0.2">
      <c r="F740" s="50"/>
      <c r="H740" s="50"/>
    </row>
    <row r="741" spans="6:8" hidden="1" x14ac:dyDescent="0.2">
      <c r="F741" s="50"/>
      <c r="H741" s="50"/>
    </row>
    <row r="742" spans="6:8" hidden="1" x14ac:dyDescent="0.2">
      <c r="F742" s="50"/>
      <c r="H742"/>
    </row>
    <row r="743" spans="6:8" hidden="1" x14ac:dyDescent="0.2">
      <c r="F743" s="50"/>
      <c r="H743"/>
    </row>
    <row r="744" spans="6:8" hidden="1" x14ac:dyDescent="0.2">
      <c r="F744" s="50"/>
      <c r="H744"/>
    </row>
    <row r="745" spans="6:8" hidden="1" x14ac:dyDescent="0.2">
      <c r="F745" s="50"/>
      <c r="H745"/>
    </row>
    <row r="746" spans="6:8" hidden="1" x14ac:dyDescent="0.2">
      <c r="F746" s="50"/>
      <c r="H746"/>
    </row>
    <row r="747" spans="6:8" hidden="1" x14ac:dyDescent="0.2">
      <c r="F747" s="50"/>
      <c r="H747"/>
    </row>
    <row r="748" spans="6:8" hidden="1" x14ac:dyDescent="0.2">
      <c r="F748" s="50"/>
      <c r="H748"/>
    </row>
    <row r="749" spans="6:8" ht="15" hidden="1" x14ac:dyDescent="0.25">
      <c r="F749" s="50"/>
      <c r="H749" s="61"/>
    </row>
    <row r="750" spans="6:8" hidden="1" x14ac:dyDescent="0.2">
      <c r="F750" s="50"/>
      <c r="H750"/>
    </row>
    <row r="751" spans="6:8" hidden="1" x14ac:dyDescent="0.2">
      <c r="F751" s="50"/>
      <c r="H751"/>
    </row>
    <row r="752" spans="6:8" hidden="1" x14ac:dyDescent="0.2">
      <c r="F752" s="50"/>
      <c r="H752"/>
    </row>
    <row r="753" spans="6:8" hidden="1" x14ac:dyDescent="0.2">
      <c r="F753" s="50"/>
      <c r="H753"/>
    </row>
    <row r="754" spans="6:8" hidden="1" x14ac:dyDescent="0.2">
      <c r="F754" s="50"/>
      <c r="H754" s="50"/>
    </row>
    <row r="755" spans="6:8" hidden="1" x14ac:dyDescent="0.2">
      <c r="F755" s="50"/>
      <c r="H755"/>
    </row>
    <row r="756" spans="6:8" hidden="1" x14ac:dyDescent="0.2">
      <c r="F756" s="50"/>
      <c r="H756"/>
    </row>
    <row r="757" spans="6:8" hidden="1" x14ac:dyDescent="0.2">
      <c r="F757" s="50"/>
      <c r="H757" s="50"/>
    </row>
    <row r="758" spans="6:8" hidden="1" x14ac:dyDescent="0.2">
      <c r="F758" s="50"/>
      <c r="H758"/>
    </row>
    <row r="759" spans="6:8" hidden="1" x14ac:dyDescent="0.2">
      <c r="F759" s="50"/>
      <c r="H759"/>
    </row>
    <row r="760" spans="6:8" hidden="1" x14ac:dyDescent="0.2">
      <c r="F760" s="50"/>
      <c r="H760"/>
    </row>
    <row r="761" spans="6:8" hidden="1" x14ac:dyDescent="0.2">
      <c r="F761" s="50"/>
      <c r="H761"/>
    </row>
    <row r="762" spans="6:8" hidden="1" x14ac:dyDescent="0.2">
      <c r="F762" s="50"/>
      <c r="H762"/>
    </row>
    <row r="763" spans="6:8" hidden="1" x14ac:dyDescent="0.2">
      <c r="F763" s="50"/>
      <c r="H763"/>
    </row>
    <row r="764" spans="6:8" hidden="1" x14ac:dyDescent="0.2">
      <c r="F764" s="50"/>
      <c r="H764"/>
    </row>
    <row r="765" spans="6:8" hidden="1" x14ac:dyDescent="0.2">
      <c r="F765" s="50"/>
      <c r="H765" s="50"/>
    </row>
    <row r="766" spans="6:8" hidden="1" x14ac:dyDescent="0.2">
      <c r="F766" s="50"/>
      <c r="H766" s="50"/>
    </row>
    <row r="767" spans="6:8" hidden="1" x14ac:dyDescent="0.2">
      <c r="F767" s="50"/>
      <c r="H767" s="50"/>
    </row>
    <row r="768" spans="6:8" hidden="1" x14ac:dyDescent="0.2">
      <c r="F768" s="50"/>
      <c r="H768"/>
    </row>
    <row r="769" spans="6:8" hidden="1" x14ac:dyDescent="0.2">
      <c r="F769" s="50"/>
      <c r="H769"/>
    </row>
    <row r="770" spans="6:8" hidden="1" x14ac:dyDescent="0.2">
      <c r="F770" s="50"/>
      <c r="H770"/>
    </row>
    <row r="771" spans="6:8" hidden="1" x14ac:dyDescent="0.2">
      <c r="F771" s="50"/>
      <c r="H771"/>
    </row>
    <row r="772" spans="6:8" hidden="1" x14ac:dyDescent="0.2">
      <c r="F772" s="50"/>
      <c r="H772" s="50"/>
    </row>
    <row r="773" spans="6:8" hidden="1" x14ac:dyDescent="0.2">
      <c r="F773" s="50"/>
      <c r="H773" s="50"/>
    </row>
    <row r="774" spans="6:8" hidden="1" x14ac:dyDescent="0.2">
      <c r="F774" s="50"/>
      <c r="H774"/>
    </row>
    <row r="775" spans="6:8" hidden="1" x14ac:dyDescent="0.2">
      <c r="F775" s="50"/>
      <c r="H775"/>
    </row>
    <row r="776" spans="6:8" hidden="1" x14ac:dyDescent="0.2">
      <c r="F776" s="50"/>
      <c r="H776"/>
    </row>
    <row r="777" spans="6:8" hidden="1" x14ac:dyDescent="0.2">
      <c r="F777" s="50"/>
      <c r="H777"/>
    </row>
    <row r="778" spans="6:8" hidden="1" x14ac:dyDescent="0.2">
      <c r="F778" s="50"/>
      <c r="H778"/>
    </row>
    <row r="779" spans="6:8" hidden="1" x14ac:dyDescent="0.2">
      <c r="F779" s="50"/>
      <c r="H779"/>
    </row>
    <row r="780" spans="6:8" hidden="1" x14ac:dyDescent="0.2">
      <c r="F780" s="50"/>
      <c r="H780"/>
    </row>
    <row r="781" spans="6:8" hidden="1" x14ac:dyDescent="0.2">
      <c r="F781" s="50"/>
      <c r="H781"/>
    </row>
    <row r="782" spans="6:8" hidden="1" x14ac:dyDescent="0.2">
      <c r="F782" s="50"/>
      <c r="H782"/>
    </row>
    <row r="783" spans="6:8" hidden="1" x14ac:dyDescent="0.2">
      <c r="F783" s="50"/>
      <c r="H783"/>
    </row>
    <row r="784" spans="6:8" hidden="1" x14ac:dyDescent="0.2">
      <c r="F784" s="50"/>
      <c r="H784"/>
    </row>
    <row r="785" spans="6:8" hidden="1" x14ac:dyDescent="0.2">
      <c r="F785" s="50"/>
      <c r="H785"/>
    </row>
    <row r="786" spans="6:8" hidden="1" x14ac:dyDescent="0.2">
      <c r="F786" s="50"/>
      <c r="H786"/>
    </row>
    <row r="787" spans="6:8" hidden="1" x14ac:dyDescent="0.2">
      <c r="F787" s="50"/>
      <c r="H787"/>
    </row>
    <row r="788" spans="6:8" hidden="1" x14ac:dyDescent="0.2">
      <c r="F788" s="50"/>
      <c r="H788" s="50"/>
    </row>
    <row r="789" spans="6:8" hidden="1" x14ac:dyDescent="0.2">
      <c r="F789" s="50"/>
      <c r="H789"/>
    </row>
    <row r="790" spans="6:8" hidden="1" x14ac:dyDescent="0.2">
      <c r="F790" s="50"/>
      <c r="H790"/>
    </row>
    <row r="791" spans="6:8" hidden="1" x14ac:dyDescent="0.2">
      <c r="F791" s="50"/>
      <c r="H791"/>
    </row>
    <row r="792" spans="6:8" hidden="1" x14ac:dyDescent="0.2">
      <c r="H792"/>
    </row>
    <row r="793" spans="6:8" hidden="1" x14ac:dyDescent="0.2">
      <c r="F793" s="50"/>
      <c r="H793"/>
    </row>
    <row r="794" spans="6:8" hidden="1" x14ac:dyDescent="0.2">
      <c r="F794" s="50"/>
      <c r="H794"/>
    </row>
    <row r="795" spans="6:8" hidden="1" x14ac:dyDescent="0.2">
      <c r="F795" s="50"/>
      <c r="H795" s="50"/>
    </row>
    <row r="796" spans="6:8" hidden="1" x14ac:dyDescent="0.2">
      <c r="F796" s="50"/>
      <c r="H796" s="50"/>
    </row>
    <row r="797" spans="6:8" hidden="1" x14ac:dyDescent="0.2">
      <c r="F797" s="50"/>
      <c r="H797"/>
    </row>
    <row r="798" spans="6:8" hidden="1" x14ac:dyDescent="0.2">
      <c r="F798" s="50"/>
      <c r="H798"/>
    </row>
    <row r="799" spans="6:8" hidden="1" x14ac:dyDescent="0.2">
      <c r="F799" s="50"/>
      <c r="H799"/>
    </row>
    <row r="800" spans="6:8" hidden="1" x14ac:dyDescent="0.2">
      <c r="F800" s="50"/>
      <c r="H800"/>
    </row>
    <row r="801" spans="6:8" hidden="1" x14ac:dyDescent="0.2">
      <c r="F801" s="50"/>
      <c r="H801"/>
    </row>
    <row r="802" spans="6:8" hidden="1" x14ac:dyDescent="0.2">
      <c r="F802" s="50"/>
      <c r="H802" s="50"/>
    </row>
    <row r="803" spans="6:8" hidden="1" x14ac:dyDescent="0.2">
      <c r="F803" s="50"/>
      <c r="H803"/>
    </row>
    <row r="804" spans="6:8" hidden="1" x14ac:dyDescent="0.2">
      <c r="F804" s="50"/>
      <c r="H804"/>
    </row>
    <row r="805" spans="6:8" hidden="1" x14ac:dyDescent="0.2">
      <c r="F805" s="50"/>
      <c r="H805"/>
    </row>
    <row r="806" spans="6:8" hidden="1" x14ac:dyDescent="0.2">
      <c r="F806" s="50"/>
      <c r="H806"/>
    </row>
    <row r="807" spans="6:8" hidden="1" x14ac:dyDescent="0.2">
      <c r="F807" s="50"/>
      <c r="H807" s="50"/>
    </row>
    <row r="808" spans="6:8" hidden="1" x14ac:dyDescent="0.2">
      <c r="F808" s="50"/>
      <c r="H808"/>
    </row>
    <row r="809" spans="6:8" hidden="1" x14ac:dyDescent="0.2">
      <c r="F809" s="50"/>
      <c r="H809"/>
    </row>
    <row r="810" spans="6:8" hidden="1" x14ac:dyDescent="0.2">
      <c r="F810" s="50"/>
      <c r="H810"/>
    </row>
    <row r="811" spans="6:8" hidden="1" x14ac:dyDescent="0.2">
      <c r="F811" s="50"/>
      <c r="H811"/>
    </row>
    <row r="812" spans="6:8" hidden="1" x14ac:dyDescent="0.2">
      <c r="F812" s="50"/>
      <c r="H812"/>
    </row>
    <row r="813" spans="6:8" hidden="1" x14ac:dyDescent="0.2">
      <c r="F813" s="50"/>
      <c r="H813"/>
    </row>
    <row r="814" spans="6:8" hidden="1" x14ac:dyDescent="0.2">
      <c r="H814"/>
    </row>
    <row r="815" spans="6:8" hidden="1" x14ac:dyDescent="0.2">
      <c r="F815" s="50"/>
      <c r="H815"/>
    </row>
    <row r="816" spans="6:8" hidden="1" x14ac:dyDescent="0.2">
      <c r="F816" s="50"/>
      <c r="H816"/>
    </row>
    <row r="817" spans="6:8" hidden="1" x14ac:dyDescent="0.2">
      <c r="F817" s="50"/>
      <c r="H817"/>
    </row>
    <row r="818" spans="6:8" hidden="1" x14ac:dyDescent="0.2">
      <c r="F818" s="50"/>
      <c r="H818"/>
    </row>
    <row r="819" spans="6:8" hidden="1" x14ac:dyDescent="0.2">
      <c r="F819" s="50"/>
      <c r="H819" s="50"/>
    </row>
    <row r="820" spans="6:8" hidden="1" x14ac:dyDescent="0.2">
      <c r="F820" s="50"/>
      <c r="H820"/>
    </row>
    <row r="821" spans="6:8" hidden="1" x14ac:dyDescent="0.2">
      <c r="F821" s="50"/>
      <c r="H821"/>
    </row>
    <row r="822" spans="6:8" hidden="1" x14ac:dyDescent="0.2">
      <c r="F822" s="50"/>
      <c r="H822"/>
    </row>
    <row r="823" spans="6:8" hidden="1" x14ac:dyDescent="0.2">
      <c r="F823" s="50"/>
      <c r="H823"/>
    </row>
    <row r="824" spans="6:8" hidden="1" x14ac:dyDescent="0.2">
      <c r="F824" s="50"/>
      <c r="H824"/>
    </row>
    <row r="825" spans="6:8" hidden="1" x14ac:dyDescent="0.2">
      <c r="F825" s="50"/>
      <c r="H825"/>
    </row>
    <row r="826" spans="6:8" hidden="1" x14ac:dyDescent="0.2">
      <c r="F826" s="50"/>
      <c r="H826"/>
    </row>
    <row r="827" spans="6:8" hidden="1" x14ac:dyDescent="0.2">
      <c r="F827" s="50"/>
      <c r="H827"/>
    </row>
    <row r="828" spans="6:8" hidden="1" x14ac:dyDescent="0.2">
      <c r="F828" s="50"/>
      <c r="H828"/>
    </row>
    <row r="829" spans="6:8" hidden="1" x14ac:dyDescent="0.2">
      <c r="H829"/>
    </row>
    <row r="830" spans="6:8" hidden="1" x14ac:dyDescent="0.2">
      <c r="F830" s="50"/>
      <c r="H830"/>
    </row>
    <row r="831" spans="6:8" hidden="1" x14ac:dyDescent="0.2">
      <c r="F831" s="50"/>
      <c r="H831"/>
    </row>
    <row r="832" spans="6:8" hidden="1" x14ac:dyDescent="0.2">
      <c r="F832" s="50"/>
      <c r="H832"/>
    </row>
    <row r="833" spans="6:8" hidden="1" x14ac:dyDescent="0.2">
      <c r="H833"/>
    </row>
    <row r="834" spans="6:8" hidden="1" x14ac:dyDescent="0.2">
      <c r="H834"/>
    </row>
    <row r="835" spans="6:8" hidden="1" x14ac:dyDescent="0.2">
      <c r="H835"/>
    </row>
    <row r="836" spans="6:8" hidden="1" x14ac:dyDescent="0.2">
      <c r="H836"/>
    </row>
    <row r="837" spans="6:8" hidden="1" x14ac:dyDescent="0.2">
      <c r="H837"/>
    </row>
    <row r="838" spans="6:8" hidden="1" x14ac:dyDescent="0.2">
      <c r="H838"/>
    </row>
    <row r="839" spans="6:8" hidden="1" x14ac:dyDescent="0.2">
      <c r="F839" s="50"/>
      <c r="H839"/>
    </row>
    <row r="840" spans="6:8" hidden="1" x14ac:dyDescent="0.2">
      <c r="F840" s="50"/>
      <c r="H840" s="50"/>
    </row>
    <row r="841" spans="6:8" hidden="1" x14ac:dyDescent="0.2">
      <c r="F841" s="50"/>
      <c r="H841"/>
    </row>
    <row r="842" spans="6:8" hidden="1" x14ac:dyDescent="0.2">
      <c r="F842" s="50"/>
      <c r="H842"/>
    </row>
    <row r="843" spans="6:8" hidden="1" x14ac:dyDescent="0.2">
      <c r="F843" s="50"/>
      <c r="H843"/>
    </row>
    <row r="844" spans="6:8" hidden="1" x14ac:dyDescent="0.2">
      <c r="F844" s="50"/>
      <c r="H844"/>
    </row>
    <row r="845" spans="6:8" hidden="1" x14ac:dyDescent="0.2">
      <c r="F845" s="50"/>
      <c r="H845" s="50"/>
    </row>
    <row r="846" spans="6:8" hidden="1" x14ac:dyDescent="0.2">
      <c r="F846" s="50"/>
      <c r="H846" s="50"/>
    </row>
    <row r="847" spans="6:8" hidden="1" x14ac:dyDescent="0.2">
      <c r="F847" s="50"/>
      <c r="H847"/>
    </row>
    <row r="848" spans="6:8" hidden="1" x14ac:dyDescent="0.2">
      <c r="F848" s="50"/>
      <c r="H848" s="50"/>
    </row>
    <row r="849" spans="6:8" hidden="1" x14ac:dyDescent="0.2">
      <c r="F849" s="50"/>
      <c r="H849"/>
    </row>
    <row r="850" spans="6:8" hidden="1" x14ac:dyDescent="0.2">
      <c r="F850" s="50"/>
      <c r="H850"/>
    </row>
    <row r="851" spans="6:8" hidden="1" x14ac:dyDescent="0.2">
      <c r="F851" s="50"/>
      <c r="H851"/>
    </row>
    <row r="852" spans="6:8" hidden="1" x14ac:dyDescent="0.2">
      <c r="F852" s="50"/>
      <c r="H852" s="50"/>
    </row>
    <row r="853" spans="6:8" hidden="1" x14ac:dyDescent="0.2">
      <c r="F853" s="50"/>
      <c r="H853"/>
    </row>
    <row r="854" spans="6:8" hidden="1" x14ac:dyDescent="0.2">
      <c r="F854" s="50"/>
      <c r="H854"/>
    </row>
    <row r="855" spans="6:8" hidden="1" x14ac:dyDescent="0.2">
      <c r="F855" s="50"/>
      <c r="H855"/>
    </row>
    <row r="856" spans="6:8" hidden="1" x14ac:dyDescent="0.2">
      <c r="F856" s="50"/>
      <c r="H856"/>
    </row>
    <row r="857" spans="6:8" hidden="1" x14ac:dyDescent="0.2">
      <c r="F857" s="50"/>
      <c r="H857"/>
    </row>
    <row r="858" spans="6:8" hidden="1" x14ac:dyDescent="0.2">
      <c r="F858" s="50"/>
      <c r="H858"/>
    </row>
    <row r="859" spans="6:8" hidden="1" x14ac:dyDescent="0.2">
      <c r="F859" s="50"/>
      <c r="H859" s="50"/>
    </row>
    <row r="860" spans="6:8" hidden="1" x14ac:dyDescent="0.2">
      <c r="F860" s="50"/>
      <c r="H860"/>
    </row>
    <row r="861" spans="6:8" hidden="1" x14ac:dyDescent="0.2">
      <c r="F861" s="50"/>
      <c r="H861" s="50"/>
    </row>
    <row r="862" spans="6:8" hidden="1" x14ac:dyDescent="0.2">
      <c r="F862" s="50"/>
      <c r="H862" s="50"/>
    </row>
    <row r="863" spans="6:8" hidden="1" x14ac:dyDescent="0.2">
      <c r="F863" s="50"/>
      <c r="H863"/>
    </row>
    <row r="864" spans="6:8" hidden="1" x14ac:dyDescent="0.2">
      <c r="F864" s="50"/>
      <c r="H864"/>
    </row>
    <row r="865" spans="6:8" hidden="1" x14ac:dyDescent="0.2">
      <c r="F865" s="50"/>
      <c r="H865"/>
    </row>
    <row r="866" spans="6:8" hidden="1" x14ac:dyDescent="0.2">
      <c r="F866" s="50"/>
      <c r="H866"/>
    </row>
    <row r="867" spans="6:8" hidden="1" x14ac:dyDescent="0.2">
      <c r="F867" s="50"/>
      <c r="H867"/>
    </row>
    <row r="868" spans="6:8" hidden="1" x14ac:dyDescent="0.2">
      <c r="F868" s="50"/>
      <c r="H868" s="50"/>
    </row>
    <row r="869" spans="6:8" hidden="1" x14ac:dyDescent="0.2">
      <c r="F869" s="50"/>
      <c r="H869" s="50"/>
    </row>
    <row r="870" spans="6:8" hidden="1" x14ac:dyDescent="0.2">
      <c r="F870" s="50"/>
      <c r="H870"/>
    </row>
    <row r="871" spans="6:8" hidden="1" x14ac:dyDescent="0.2">
      <c r="F871" s="50"/>
      <c r="H871"/>
    </row>
    <row r="872" spans="6:8" hidden="1" x14ac:dyDescent="0.2">
      <c r="F872" s="50"/>
      <c r="H872"/>
    </row>
    <row r="873" spans="6:8" hidden="1" x14ac:dyDescent="0.2">
      <c r="F873" s="50"/>
      <c r="H873"/>
    </row>
    <row r="874" spans="6:8" hidden="1" x14ac:dyDescent="0.2">
      <c r="F874" s="50"/>
      <c r="H874" s="50"/>
    </row>
    <row r="875" spans="6:8" hidden="1" x14ac:dyDescent="0.2">
      <c r="F875" s="50"/>
      <c r="H875" s="50"/>
    </row>
    <row r="876" spans="6:8" hidden="1" x14ac:dyDescent="0.2">
      <c r="F876" s="50"/>
      <c r="H876" s="50"/>
    </row>
    <row r="877" spans="6:8" hidden="1" x14ac:dyDescent="0.2">
      <c r="F877" s="50"/>
      <c r="H877"/>
    </row>
    <row r="878" spans="6:8" hidden="1" x14ac:dyDescent="0.2">
      <c r="F878" s="50"/>
      <c r="H878" s="50"/>
    </row>
    <row r="879" spans="6:8" hidden="1" x14ac:dyDescent="0.2">
      <c r="F879" s="50"/>
      <c r="H879" s="50"/>
    </row>
    <row r="880" spans="6:8" hidden="1" x14ac:dyDescent="0.2">
      <c r="F880" s="50"/>
      <c r="H880" s="50"/>
    </row>
    <row r="881" spans="6:8" hidden="1" x14ac:dyDescent="0.2">
      <c r="F881" s="50"/>
      <c r="H881"/>
    </row>
    <row r="882" spans="6:8" hidden="1" x14ac:dyDescent="0.2">
      <c r="F882" s="50"/>
      <c r="H882"/>
    </row>
    <row r="883" spans="6:8" hidden="1" x14ac:dyDescent="0.2">
      <c r="F883" s="50"/>
      <c r="H883"/>
    </row>
    <row r="884" spans="6:8" hidden="1" x14ac:dyDescent="0.2">
      <c r="F884" s="50"/>
      <c r="H884"/>
    </row>
    <row r="885" spans="6:8" hidden="1" x14ac:dyDescent="0.2">
      <c r="F885" s="50"/>
      <c r="H885"/>
    </row>
    <row r="886" spans="6:8" hidden="1" x14ac:dyDescent="0.2">
      <c r="F886" s="50"/>
      <c r="H886"/>
    </row>
    <row r="887" spans="6:8" hidden="1" x14ac:dyDescent="0.2">
      <c r="F887" s="50"/>
      <c r="H887"/>
    </row>
    <row r="888" spans="6:8" hidden="1" x14ac:dyDescent="0.2">
      <c r="F888" s="50"/>
      <c r="H888"/>
    </row>
    <row r="889" spans="6:8" hidden="1" x14ac:dyDescent="0.2">
      <c r="F889" s="50"/>
      <c r="H889" s="50"/>
    </row>
    <row r="890" spans="6:8" hidden="1" x14ac:dyDescent="0.2">
      <c r="F890" s="50"/>
      <c r="H890" s="50"/>
    </row>
    <row r="891" spans="6:8" hidden="1" x14ac:dyDescent="0.2">
      <c r="F891" s="50"/>
      <c r="H891" s="50"/>
    </row>
    <row r="892" spans="6:8" hidden="1" x14ac:dyDescent="0.2">
      <c r="F892" s="50"/>
      <c r="H892" s="50"/>
    </row>
    <row r="893" spans="6:8" hidden="1" x14ac:dyDescent="0.2">
      <c r="F893" s="50"/>
      <c r="H893"/>
    </row>
    <row r="894" spans="6:8" hidden="1" x14ac:dyDescent="0.2">
      <c r="F894" s="50"/>
      <c r="H894"/>
    </row>
    <row r="895" spans="6:8" hidden="1" x14ac:dyDescent="0.2">
      <c r="F895" s="50"/>
      <c r="H895"/>
    </row>
    <row r="896" spans="6:8" hidden="1" x14ac:dyDescent="0.2">
      <c r="F896" s="50"/>
      <c r="H896" s="50"/>
    </row>
    <row r="897" spans="6:8" hidden="1" x14ac:dyDescent="0.2">
      <c r="F897" s="50"/>
      <c r="H897" s="50"/>
    </row>
    <row r="898" spans="6:8" hidden="1" x14ac:dyDescent="0.2">
      <c r="F898" s="50"/>
      <c r="H898" s="50"/>
    </row>
    <row r="899" spans="6:8" hidden="1" x14ac:dyDescent="0.2">
      <c r="F899" s="50"/>
      <c r="H899" s="50"/>
    </row>
    <row r="900" spans="6:8" hidden="1" x14ac:dyDescent="0.2">
      <c r="F900" s="50"/>
      <c r="H900"/>
    </row>
    <row r="901" spans="6:8" hidden="1" x14ac:dyDescent="0.2">
      <c r="F901" s="50"/>
      <c r="H901" s="50"/>
    </row>
    <row r="902" spans="6:8" hidden="1" x14ac:dyDescent="0.2">
      <c r="F902" s="50"/>
      <c r="H902" s="50"/>
    </row>
    <row r="903" spans="6:8" hidden="1" x14ac:dyDescent="0.2">
      <c r="F903" s="50"/>
      <c r="H903"/>
    </row>
    <row r="904" spans="6:8" hidden="1" x14ac:dyDescent="0.2">
      <c r="H904"/>
    </row>
    <row r="905" spans="6:8" hidden="1" x14ac:dyDescent="0.2">
      <c r="F905" s="50"/>
      <c r="H905"/>
    </row>
    <row r="906" spans="6:8" hidden="1" x14ac:dyDescent="0.2">
      <c r="F906" s="50"/>
      <c r="H906" s="50"/>
    </row>
    <row r="907" spans="6:8" hidden="1" x14ac:dyDescent="0.2">
      <c r="F907" s="50"/>
      <c r="H907"/>
    </row>
    <row r="908" spans="6:8" hidden="1" x14ac:dyDescent="0.2">
      <c r="F908" s="50"/>
      <c r="H908"/>
    </row>
    <row r="909" spans="6:8" hidden="1" x14ac:dyDescent="0.2">
      <c r="F909" s="50"/>
      <c r="H909"/>
    </row>
    <row r="910" spans="6:8" hidden="1" x14ac:dyDescent="0.2">
      <c r="F910" s="50"/>
      <c r="H910"/>
    </row>
    <row r="911" spans="6:8" hidden="1" x14ac:dyDescent="0.2">
      <c r="F911" s="50"/>
      <c r="H911"/>
    </row>
    <row r="912" spans="6:8" hidden="1" x14ac:dyDescent="0.2">
      <c r="F912" s="50"/>
      <c r="H912"/>
    </row>
    <row r="913" spans="6:8" hidden="1" x14ac:dyDescent="0.2">
      <c r="F913" s="50"/>
      <c r="H913"/>
    </row>
    <row r="914" spans="6:8" hidden="1" x14ac:dyDescent="0.2">
      <c r="F914" s="50"/>
      <c r="H914" s="50"/>
    </row>
    <row r="915" spans="6:8" hidden="1" x14ac:dyDescent="0.2">
      <c r="F915" s="50"/>
      <c r="H915" s="50"/>
    </row>
    <row r="916" spans="6:8" hidden="1" x14ac:dyDescent="0.2">
      <c r="F916" s="50"/>
      <c r="H916"/>
    </row>
    <row r="917" spans="6:8" hidden="1" x14ac:dyDescent="0.2">
      <c r="F917" s="50"/>
      <c r="H917" s="50"/>
    </row>
    <row r="918" spans="6:8" hidden="1" x14ac:dyDescent="0.2">
      <c r="F918" s="50"/>
      <c r="H918"/>
    </row>
    <row r="919" spans="6:8" hidden="1" x14ac:dyDescent="0.2">
      <c r="F919" s="50"/>
      <c r="H919"/>
    </row>
    <row r="920" spans="6:8" hidden="1" x14ac:dyDescent="0.2">
      <c r="F920" s="50"/>
      <c r="H920"/>
    </row>
    <row r="921" spans="6:8" hidden="1" x14ac:dyDescent="0.2">
      <c r="F921" s="50"/>
      <c r="H921" s="50"/>
    </row>
    <row r="922" spans="6:8" hidden="1" x14ac:dyDescent="0.2">
      <c r="F922" s="50"/>
      <c r="H922"/>
    </row>
    <row r="923" spans="6:8" hidden="1" x14ac:dyDescent="0.2">
      <c r="F923" s="50"/>
      <c r="H923"/>
    </row>
    <row r="924" spans="6:8" hidden="1" x14ac:dyDescent="0.2">
      <c r="F924" s="50"/>
      <c r="H924"/>
    </row>
    <row r="925" spans="6:8" hidden="1" x14ac:dyDescent="0.2">
      <c r="F925" s="50"/>
      <c r="H925"/>
    </row>
    <row r="926" spans="6:8" hidden="1" x14ac:dyDescent="0.2">
      <c r="F926" s="50"/>
      <c r="H926" s="50"/>
    </row>
    <row r="927" spans="6:8" hidden="1" x14ac:dyDescent="0.2">
      <c r="F927" s="50"/>
      <c r="H927"/>
    </row>
    <row r="928" spans="6:8" hidden="1" x14ac:dyDescent="0.2">
      <c r="F928" s="50"/>
      <c r="H928"/>
    </row>
    <row r="929" spans="6:8" hidden="1" x14ac:dyDescent="0.2">
      <c r="F929" s="50"/>
      <c r="H929"/>
    </row>
    <row r="930" spans="6:8" hidden="1" x14ac:dyDescent="0.2">
      <c r="F930" s="50"/>
      <c r="H930"/>
    </row>
    <row r="931" spans="6:8" hidden="1" x14ac:dyDescent="0.2">
      <c r="F931" s="50"/>
      <c r="H931"/>
    </row>
    <row r="932" spans="6:8" hidden="1" x14ac:dyDescent="0.2">
      <c r="F932" s="50"/>
      <c r="H932"/>
    </row>
    <row r="933" spans="6:8" hidden="1" x14ac:dyDescent="0.2">
      <c r="F933" s="50"/>
      <c r="H933"/>
    </row>
    <row r="934" spans="6:8" hidden="1" x14ac:dyDescent="0.2">
      <c r="F934" s="50"/>
      <c r="H934"/>
    </row>
    <row r="935" spans="6:8" hidden="1" x14ac:dyDescent="0.2">
      <c r="F935" s="50"/>
      <c r="H935"/>
    </row>
    <row r="936" spans="6:8" hidden="1" x14ac:dyDescent="0.2">
      <c r="F936" s="50"/>
      <c r="H936" s="50"/>
    </row>
    <row r="937" spans="6:8" hidden="1" x14ac:dyDescent="0.2">
      <c r="F937" s="50"/>
      <c r="H937"/>
    </row>
    <row r="938" spans="6:8" hidden="1" x14ac:dyDescent="0.2">
      <c r="F938" s="50"/>
      <c r="H938"/>
    </row>
    <row r="939" spans="6:8" hidden="1" x14ac:dyDescent="0.2">
      <c r="F939" s="50"/>
      <c r="H939" s="50"/>
    </row>
    <row r="940" spans="6:8" hidden="1" x14ac:dyDescent="0.2">
      <c r="F940" s="50"/>
      <c r="H940"/>
    </row>
    <row r="941" spans="6:8" hidden="1" x14ac:dyDescent="0.2">
      <c r="F941" s="50"/>
      <c r="H941"/>
    </row>
    <row r="942" spans="6:8" hidden="1" x14ac:dyDescent="0.2">
      <c r="F942" s="50"/>
      <c r="H942"/>
    </row>
    <row r="943" spans="6:8" hidden="1" x14ac:dyDescent="0.2">
      <c r="F943" s="50"/>
      <c r="H943"/>
    </row>
    <row r="944" spans="6:8" hidden="1" x14ac:dyDescent="0.2">
      <c r="F944" s="50"/>
      <c r="H944"/>
    </row>
    <row r="945" spans="6:8" hidden="1" x14ac:dyDescent="0.2">
      <c r="F945" s="50"/>
      <c r="H945"/>
    </row>
    <row r="946" spans="6:8" hidden="1" x14ac:dyDescent="0.2">
      <c r="F946" s="50"/>
      <c r="H946"/>
    </row>
    <row r="947" spans="6:8" hidden="1" x14ac:dyDescent="0.2">
      <c r="F947" s="50"/>
      <c r="H947" s="50"/>
    </row>
    <row r="948" spans="6:8" hidden="1" x14ac:dyDescent="0.2">
      <c r="F948" s="50"/>
      <c r="H948"/>
    </row>
    <row r="949" spans="6:8" hidden="1" x14ac:dyDescent="0.2">
      <c r="F949" s="50"/>
      <c r="H949"/>
    </row>
    <row r="950" spans="6:8" hidden="1" x14ac:dyDescent="0.2">
      <c r="F950" s="50"/>
      <c r="H950"/>
    </row>
    <row r="951" spans="6:8" hidden="1" x14ac:dyDescent="0.2">
      <c r="F951" s="50"/>
      <c r="H951"/>
    </row>
    <row r="952" spans="6:8" hidden="1" x14ac:dyDescent="0.2">
      <c r="F952" s="50"/>
      <c r="H952"/>
    </row>
    <row r="953" spans="6:8" hidden="1" x14ac:dyDescent="0.2">
      <c r="F953" s="50"/>
      <c r="H953"/>
    </row>
    <row r="954" spans="6:8" hidden="1" x14ac:dyDescent="0.2">
      <c r="F954" s="50"/>
      <c r="H954"/>
    </row>
    <row r="955" spans="6:8" hidden="1" x14ac:dyDescent="0.2">
      <c r="F955" s="50"/>
      <c r="H955"/>
    </row>
    <row r="956" spans="6:8" hidden="1" x14ac:dyDescent="0.2">
      <c r="F956" s="50"/>
      <c r="H956"/>
    </row>
    <row r="957" spans="6:8" hidden="1" x14ac:dyDescent="0.2">
      <c r="F957" s="50"/>
      <c r="H957"/>
    </row>
    <row r="958" spans="6:8" hidden="1" x14ac:dyDescent="0.2">
      <c r="F958" s="50"/>
      <c r="H958"/>
    </row>
    <row r="959" spans="6:8" hidden="1" x14ac:dyDescent="0.2">
      <c r="F959" s="50"/>
      <c r="H959"/>
    </row>
    <row r="960" spans="6:8" hidden="1" x14ac:dyDescent="0.2">
      <c r="F960" s="50"/>
      <c r="H960" s="50"/>
    </row>
    <row r="961" spans="6:8" hidden="1" x14ac:dyDescent="0.2">
      <c r="F961" s="50"/>
      <c r="H961" s="50"/>
    </row>
    <row r="962" spans="6:8" hidden="1" x14ac:dyDescent="0.2">
      <c r="F962" s="50"/>
      <c r="H962"/>
    </row>
    <row r="963" spans="6:8" hidden="1" x14ac:dyDescent="0.2">
      <c r="F963" s="50"/>
      <c r="H963"/>
    </row>
    <row r="964" spans="6:8" hidden="1" x14ac:dyDescent="0.2">
      <c r="F964" s="50"/>
      <c r="H964"/>
    </row>
    <row r="965" spans="6:8" hidden="1" x14ac:dyDescent="0.2">
      <c r="F965" s="50"/>
      <c r="H965"/>
    </row>
    <row r="966" spans="6:8" hidden="1" x14ac:dyDescent="0.2">
      <c r="F966" s="50"/>
      <c r="H966"/>
    </row>
    <row r="967" spans="6:8" hidden="1" x14ac:dyDescent="0.2">
      <c r="F967" s="50"/>
      <c r="H967"/>
    </row>
    <row r="968" spans="6:8" hidden="1" x14ac:dyDescent="0.2">
      <c r="F968" s="50"/>
      <c r="H968"/>
    </row>
    <row r="969" spans="6:8" hidden="1" x14ac:dyDescent="0.2">
      <c r="F969" s="50"/>
      <c r="H969"/>
    </row>
    <row r="970" spans="6:8" hidden="1" x14ac:dyDescent="0.2">
      <c r="F970" s="50"/>
      <c r="H970"/>
    </row>
    <row r="971" spans="6:8" hidden="1" x14ac:dyDescent="0.2">
      <c r="F971" s="50"/>
      <c r="H971"/>
    </row>
    <row r="972" spans="6:8" hidden="1" x14ac:dyDescent="0.2">
      <c r="F972" s="50"/>
      <c r="H972"/>
    </row>
    <row r="973" spans="6:8" hidden="1" x14ac:dyDescent="0.2">
      <c r="F973" s="50"/>
      <c r="H973"/>
    </row>
    <row r="974" spans="6:8" hidden="1" x14ac:dyDescent="0.2">
      <c r="F974" s="50"/>
      <c r="H974"/>
    </row>
    <row r="975" spans="6:8" hidden="1" x14ac:dyDescent="0.2">
      <c r="F975" s="50"/>
      <c r="H975"/>
    </row>
    <row r="976" spans="6:8" hidden="1" x14ac:dyDescent="0.2">
      <c r="F976" s="50"/>
      <c r="H976"/>
    </row>
    <row r="977" spans="6:8" hidden="1" x14ac:dyDescent="0.2">
      <c r="F977" s="50"/>
      <c r="H977"/>
    </row>
    <row r="978" spans="6:8" hidden="1" x14ac:dyDescent="0.2">
      <c r="F978" s="50"/>
      <c r="H978"/>
    </row>
    <row r="979" spans="6:8" hidden="1" x14ac:dyDescent="0.2">
      <c r="F979" s="50"/>
      <c r="H979"/>
    </row>
    <row r="980" spans="6:8" hidden="1" x14ac:dyDescent="0.2">
      <c r="F980" s="50"/>
      <c r="H980"/>
    </row>
    <row r="981" spans="6:8" hidden="1" x14ac:dyDescent="0.2">
      <c r="F981" s="50"/>
      <c r="H981"/>
    </row>
    <row r="982" spans="6:8" hidden="1" x14ac:dyDescent="0.2">
      <c r="F982" s="50"/>
      <c r="H982"/>
    </row>
    <row r="983" spans="6:8" hidden="1" x14ac:dyDescent="0.2">
      <c r="F983" s="50"/>
      <c r="H983"/>
    </row>
    <row r="984" spans="6:8" hidden="1" x14ac:dyDescent="0.2">
      <c r="F984" s="50"/>
      <c r="H984"/>
    </row>
    <row r="985" spans="6:8" hidden="1" x14ac:dyDescent="0.2">
      <c r="F985" s="50"/>
      <c r="H985"/>
    </row>
    <row r="986" spans="6:8" hidden="1" x14ac:dyDescent="0.2">
      <c r="F986" s="50"/>
      <c r="H986"/>
    </row>
    <row r="987" spans="6:8" hidden="1" x14ac:dyDescent="0.2">
      <c r="F987" s="50"/>
      <c r="H987"/>
    </row>
    <row r="988" spans="6:8" hidden="1" x14ac:dyDescent="0.2">
      <c r="F988" s="50"/>
      <c r="H988"/>
    </row>
    <row r="989" spans="6:8" hidden="1" x14ac:dyDescent="0.2">
      <c r="F989" s="50"/>
      <c r="H989"/>
    </row>
    <row r="990" spans="6:8" hidden="1" x14ac:dyDescent="0.2">
      <c r="F990" s="50"/>
      <c r="H990"/>
    </row>
    <row r="991" spans="6:8" hidden="1" x14ac:dyDescent="0.2">
      <c r="F991" s="50"/>
      <c r="H991" s="50"/>
    </row>
    <row r="992" spans="6:8" hidden="1" x14ac:dyDescent="0.2">
      <c r="F992" s="50"/>
      <c r="H992" s="50"/>
    </row>
    <row r="993" spans="6:8" hidden="1" x14ac:dyDescent="0.2">
      <c r="F993" s="50"/>
      <c r="H993" s="50"/>
    </row>
    <row r="994" spans="6:8" hidden="1" x14ac:dyDescent="0.2">
      <c r="F994" s="50"/>
      <c r="H994"/>
    </row>
    <row r="995" spans="6:8" hidden="1" x14ac:dyDescent="0.2">
      <c r="F995" s="50"/>
      <c r="H995"/>
    </row>
    <row r="996" spans="6:8" hidden="1" x14ac:dyDescent="0.2">
      <c r="F996" s="50"/>
      <c r="H996"/>
    </row>
    <row r="997" spans="6:8" hidden="1" x14ac:dyDescent="0.2">
      <c r="F997" s="50"/>
      <c r="H997"/>
    </row>
    <row r="998" spans="6:8" hidden="1" x14ac:dyDescent="0.2">
      <c r="F998" s="50"/>
      <c r="H998"/>
    </row>
    <row r="999" spans="6:8" hidden="1" x14ac:dyDescent="0.2">
      <c r="F999" s="50"/>
      <c r="H999"/>
    </row>
    <row r="1000" spans="6:8" hidden="1" x14ac:dyDescent="0.2">
      <c r="F1000" s="50"/>
      <c r="H1000"/>
    </row>
    <row r="1001" spans="6:8" hidden="1" x14ac:dyDescent="0.2">
      <c r="F1001" s="50"/>
      <c r="H1001"/>
    </row>
    <row r="1002" spans="6:8" hidden="1" x14ac:dyDescent="0.2">
      <c r="F1002" s="50"/>
      <c r="H1002"/>
    </row>
    <row r="1003" spans="6:8" hidden="1" x14ac:dyDescent="0.2">
      <c r="F1003" s="50"/>
      <c r="H1003"/>
    </row>
    <row r="1004" spans="6:8" hidden="1" x14ac:dyDescent="0.2">
      <c r="F1004" s="50"/>
      <c r="H1004"/>
    </row>
    <row r="1005" spans="6:8" hidden="1" x14ac:dyDescent="0.2">
      <c r="F1005" s="50"/>
      <c r="H1005"/>
    </row>
    <row r="1006" spans="6:8" hidden="1" x14ac:dyDescent="0.2">
      <c r="F1006" s="50"/>
      <c r="H1006"/>
    </row>
    <row r="1007" spans="6:8" hidden="1" x14ac:dyDescent="0.2">
      <c r="F1007" s="50"/>
      <c r="H1007"/>
    </row>
    <row r="1008" spans="6:8" hidden="1" x14ac:dyDescent="0.2">
      <c r="F1008" s="50"/>
      <c r="H1008"/>
    </row>
    <row r="1009" spans="6:8" hidden="1" x14ac:dyDescent="0.2">
      <c r="F1009" s="50"/>
      <c r="H1009"/>
    </row>
    <row r="1010" spans="6:8" hidden="1" x14ac:dyDescent="0.2">
      <c r="F1010" s="50"/>
      <c r="H1010"/>
    </row>
    <row r="1011" spans="6:8" hidden="1" x14ac:dyDescent="0.2">
      <c r="F1011" s="50"/>
      <c r="H1011"/>
    </row>
    <row r="1012" spans="6:8" hidden="1" x14ac:dyDescent="0.2">
      <c r="F1012" s="50"/>
      <c r="H1012"/>
    </row>
    <row r="1013" spans="6:8" hidden="1" x14ac:dyDescent="0.2">
      <c r="F1013" s="50"/>
      <c r="H1013"/>
    </row>
    <row r="1014" spans="6:8" hidden="1" x14ac:dyDescent="0.2">
      <c r="F1014" s="50"/>
      <c r="H1014" s="50"/>
    </row>
    <row r="1015" spans="6:8" hidden="1" x14ac:dyDescent="0.2">
      <c r="F1015" s="50"/>
      <c r="H1015"/>
    </row>
    <row r="1016" spans="6:8" hidden="1" x14ac:dyDescent="0.2">
      <c r="F1016" s="50"/>
      <c r="H1016"/>
    </row>
    <row r="1017" spans="6:8" hidden="1" x14ac:dyDescent="0.2">
      <c r="F1017" s="50"/>
      <c r="H1017"/>
    </row>
    <row r="1018" spans="6:8" hidden="1" x14ac:dyDescent="0.2">
      <c r="F1018" s="50"/>
      <c r="H1018"/>
    </row>
    <row r="1019" spans="6:8" hidden="1" x14ac:dyDescent="0.2">
      <c r="F1019" s="50"/>
      <c r="H1019"/>
    </row>
    <row r="1020" spans="6:8" hidden="1" x14ac:dyDescent="0.2">
      <c r="F1020" s="50"/>
      <c r="H1020"/>
    </row>
    <row r="1021" spans="6:8" hidden="1" x14ac:dyDescent="0.2">
      <c r="F1021" s="50"/>
      <c r="H1021"/>
    </row>
    <row r="1022" spans="6:8" hidden="1" x14ac:dyDescent="0.2">
      <c r="F1022" s="50"/>
      <c r="H1022"/>
    </row>
    <row r="1023" spans="6:8" hidden="1" x14ac:dyDescent="0.2">
      <c r="F1023" s="50"/>
      <c r="H1023"/>
    </row>
    <row r="1024" spans="6:8" hidden="1" x14ac:dyDescent="0.2">
      <c r="F1024" s="50"/>
      <c r="H1024"/>
    </row>
    <row r="1025" spans="6:8" hidden="1" x14ac:dyDescent="0.2">
      <c r="F1025" s="50"/>
      <c r="H1025"/>
    </row>
    <row r="1026" spans="6:8" hidden="1" x14ac:dyDescent="0.2">
      <c r="F1026" s="50"/>
      <c r="H1026"/>
    </row>
    <row r="1027" spans="6:8" hidden="1" x14ac:dyDescent="0.2">
      <c r="F1027" s="50"/>
      <c r="H1027"/>
    </row>
    <row r="1028" spans="6:8" hidden="1" x14ac:dyDescent="0.2">
      <c r="F1028" s="50"/>
      <c r="H1028"/>
    </row>
    <row r="1029" spans="6:8" hidden="1" x14ac:dyDescent="0.2">
      <c r="F1029" s="50"/>
      <c r="H1029" s="50"/>
    </row>
    <row r="1030" spans="6:8" hidden="1" x14ac:dyDescent="0.2">
      <c r="F1030" s="50"/>
      <c r="H1030" s="50"/>
    </row>
    <row r="1031" spans="6:8" hidden="1" x14ac:dyDescent="0.2">
      <c r="F1031" s="50"/>
      <c r="H1031" s="50"/>
    </row>
    <row r="1032" spans="6:8" hidden="1" x14ac:dyDescent="0.2">
      <c r="F1032" s="50"/>
      <c r="H1032" s="50"/>
    </row>
    <row r="1033" spans="6:8" hidden="1" x14ac:dyDescent="0.2">
      <c r="F1033" s="50"/>
      <c r="H1033" s="50"/>
    </row>
    <row r="1034" spans="6:8" hidden="1" x14ac:dyDescent="0.2">
      <c r="F1034" s="50"/>
      <c r="H1034" s="50"/>
    </row>
    <row r="1035" spans="6:8" hidden="1" x14ac:dyDescent="0.2">
      <c r="F1035" s="50"/>
      <c r="H1035" s="50"/>
    </row>
    <row r="1036" spans="6:8" hidden="1" x14ac:dyDescent="0.2">
      <c r="F1036" s="50"/>
      <c r="H1036"/>
    </row>
    <row r="1037" spans="6:8" hidden="1" x14ac:dyDescent="0.2">
      <c r="F1037" s="50"/>
      <c r="H1037"/>
    </row>
    <row r="1038" spans="6:8" hidden="1" x14ac:dyDescent="0.2">
      <c r="F1038" s="50"/>
      <c r="H1038"/>
    </row>
    <row r="1039" spans="6:8" hidden="1" x14ac:dyDescent="0.2">
      <c r="F1039" s="50"/>
      <c r="H1039"/>
    </row>
    <row r="1040" spans="6:8" ht="15" hidden="1" x14ac:dyDescent="0.25">
      <c r="F1040" s="50"/>
      <c r="H1040" s="54"/>
    </row>
    <row r="1041" spans="6:8" ht="15" hidden="1" x14ac:dyDescent="0.25">
      <c r="F1041" s="50"/>
      <c r="H1041" s="54"/>
    </row>
    <row r="1042" spans="6:8" ht="15" hidden="1" x14ac:dyDescent="0.25">
      <c r="F1042" s="50"/>
      <c r="H1042" s="54"/>
    </row>
    <row r="1043" spans="6:8" hidden="1" x14ac:dyDescent="0.2">
      <c r="F1043" s="50"/>
      <c r="H1043" s="50"/>
    </row>
    <row r="1044" spans="6:8" hidden="1" x14ac:dyDescent="0.2">
      <c r="F1044" s="50"/>
      <c r="H1044"/>
    </row>
    <row r="1045" spans="6:8" hidden="1" x14ac:dyDescent="0.2">
      <c r="F1045" s="50"/>
      <c r="H1045" s="50"/>
    </row>
    <row r="1046" spans="6:8" hidden="1" x14ac:dyDescent="0.2">
      <c r="F1046" s="50"/>
      <c r="H1046"/>
    </row>
    <row r="1047" spans="6:8" hidden="1" x14ac:dyDescent="0.2">
      <c r="F1047" s="50"/>
      <c r="H1047"/>
    </row>
    <row r="1048" spans="6:8" hidden="1" x14ac:dyDescent="0.2">
      <c r="F1048" s="50"/>
      <c r="H1048"/>
    </row>
    <row r="1049" spans="6:8" hidden="1" x14ac:dyDescent="0.2">
      <c r="F1049" s="50"/>
      <c r="H1049"/>
    </row>
    <row r="1050" spans="6:8" hidden="1" x14ac:dyDescent="0.2">
      <c r="F1050" s="50"/>
      <c r="H1050"/>
    </row>
    <row r="1051" spans="6:8" hidden="1" x14ac:dyDescent="0.2">
      <c r="F1051" s="50"/>
      <c r="H1051"/>
    </row>
    <row r="1052" spans="6:8" hidden="1" x14ac:dyDescent="0.2">
      <c r="F1052" s="50"/>
      <c r="H1052"/>
    </row>
    <row r="1053" spans="6:8" hidden="1" x14ac:dyDescent="0.2">
      <c r="F1053" s="50"/>
      <c r="H1053"/>
    </row>
    <row r="1054" spans="6:8" hidden="1" x14ac:dyDescent="0.2">
      <c r="F1054" s="50"/>
      <c r="H1054"/>
    </row>
    <row r="1055" spans="6:8" hidden="1" x14ac:dyDescent="0.2">
      <c r="F1055" s="50"/>
      <c r="H1055"/>
    </row>
    <row r="1056" spans="6:8" hidden="1" x14ac:dyDescent="0.2">
      <c r="F1056" s="50"/>
      <c r="H1056" s="50"/>
    </row>
    <row r="1057" spans="1:8" hidden="1" x14ac:dyDescent="0.2">
      <c r="A1057" s="55"/>
      <c r="C1057" s="55"/>
      <c r="H1057"/>
    </row>
    <row r="1058" spans="1:8" hidden="1" x14ac:dyDescent="0.2">
      <c r="A1058" s="55"/>
      <c r="C1058" s="55"/>
      <c r="H1058"/>
    </row>
    <row r="1059" spans="1:8" hidden="1" x14ac:dyDescent="0.2">
      <c r="A1059" s="55"/>
      <c r="C1059" s="55"/>
      <c r="H1059"/>
    </row>
    <row r="1060" spans="1:8" hidden="1" x14ac:dyDescent="0.2">
      <c r="A1060" s="55"/>
      <c r="C1060" s="55"/>
      <c r="H1060"/>
    </row>
    <row r="1061" spans="1:8" hidden="1" x14ac:dyDescent="0.2">
      <c r="A1061" s="55"/>
      <c r="C1061" s="55"/>
      <c r="H1061"/>
    </row>
    <row r="1062" spans="1:8" hidden="1" x14ac:dyDescent="0.2">
      <c r="A1062" s="55"/>
      <c r="C1062" s="55"/>
      <c r="H1062"/>
    </row>
    <row r="1063" spans="1:8" hidden="1" x14ac:dyDescent="0.2">
      <c r="A1063" s="55"/>
      <c r="C1063" s="55"/>
      <c r="H1063"/>
    </row>
    <row r="1064" spans="1:8" hidden="1" x14ac:dyDescent="0.2">
      <c r="A1064" s="55"/>
      <c r="C1064" s="55"/>
      <c r="H1064"/>
    </row>
    <row r="1065" spans="1:8" hidden="1" x14ac:dyDescent="0.2">
      <c r="A1065" s="55"/>
      <c r="C1065" s="55"/>
      <c r="H1065"/>
    </row>
    <row r="1066" spans="1:8" hidden="1" x14ac:dyDescent="0.2">
      <c r="A1066" s="55"/>
      <c r="C1066" s="55"/>
      <c r="H1066"/>
    </row>
    <row r="1067" spans="1:8" hidden="1" x14ac:dyDescent="0.2">
      <c r="A1067" s="55"/>
      <c r="C1067" s="55"/>
      <c r="H1067"/>
    </row>
    <row r="1068" spans="1:8" hidden="1" x14ac:dyDescent="0.2">
      <c r="A1068" s="55"/>
      <c r="C1068" s="55"/>
      <c r="H1068"/>
    </row>
    <row r="1069" spans="1:8" hidden="1" x14ac:dyDescent="0.2">
      <c r="A1069" s="55"/>
      <c r="C1069" s="55"/>
      <c r="H1069"/>
    </row>
    <row r="1070" spans="1:8" hidden="1" x14ac:dyDescent="0.2">
      <c r="A1070" s="55"/>
      <c r="C1070" s="55"/>
      <c r="H1070"/>
    </row>
    <row r="1071" spans="1:8" hidden="1" x14ac:dyDescent="0.2">
      <c r="A1071" s="55"/>
      <c r="C1071" s="55"/>
      <c r="H1071"/>
    </row>
    <row r="1072" spans="1:8" hidden="1" x14ac:dyDescent="0.2">
      <c r="A1072" s="55"/>
      <c r="C1072" s="55"/>
      <c r="H1072"/>
    </row>
    <row r="1073" spans="1:8" hidden="1" x14ac:dyDescent="0.2">
      <c r="A1073" s="55"/>
      <c r="C1073" s="55"/>
      <c r="H1073"/>
    </row>
    <row r="1074" spans="1:8" hidden="1" x14ac:dyDescent="0.2">
      <c r="A1074" s="55"/>
      <c r="C1074" s="55"/>
      <c r="H1074"/>
    </row>
    <row r="1075" spans="1:8" hidden="1" x14ac:dyDescent="0.2">
      <c r="A1075" s="55"/>
      <c r="C1075" s="55"/>
      <c r="H1075"/>
    </row>
    <row r="1076" spans="1:8" hidden="1" x14ac:dyDescent="0.2">
      <c r="A1076" s="55"/>
      <c r="C1076" s="55"/>
      <c r="H1076"/>
    </row>
    <row r="1077" spans="1:8" hidden="1" x14ac:dyDescent="0.2">
      <c r="A1077" s="55"/>
      <c r="C1077" s="55"/>
      <c r="H1077"/>
    </row>
    <row r="1078" spans="1:8" hidden="1" x14ac:dyDescent="0.2">
      <c r="A1078" s="55"/>
      <c r="C1078" s="55"/>
      <c r="F1078" s="50"/>
      <c r="H1078"/>
    </row>
    <row r="1079" spans="1:8" hidden="1" x14ac:dyDescent="0.2">
      <c r="A1079" s="55"/>
      <c r="C1079" s="55"/>
      <c r="H1079"/>
    </row>
    <row r="1080" spans="1:8" hidden="1" x14ac:dyDescent="0.2">
      <c r="A1080" s="55"/>
      <c r="C1080" s="55"/>
      <c r="H1080"/>
    </row>
    <row r="1081" spans="1:8" hidden="1" x14ac:dyDescent="0.2">
      <c r="A1081" s="55"/>
      <c r="C1081" s="55"/>
      <c r="H1081"/>
    </row>
    <row r="1082" spans="1:8" hidden="1" x14ac:dyDescent="0.2">
      <c r="A1082" s="55"/>
      <c r="C1082" s="55"/>
      <c r="H1082"/>
    </row>
    <row r="1083" spans="1:8" hidden="1" x14ac:dyDescent="0.2">
      <c r="A1083" s="55"/>
      <c r="C1083" s="55"/>
      <c r="F1083" s="50"/>
      <c r="H1083"/>
    </row>
    <row r="1084" spans="1:8" hidden="1" x14ac:dyDescent="0.2">
      <c r="A1084" s="55"/>
      <c r="C1084" s="55"/>
      <c r="H1084"/>
    </row>
    <row r="1085" spans="1:8" hidden="1" x14ac:dyDescent="0.2">
      <c r="A1085" s="55"/>
      <c r="C1085" s="55"/>
      <c r="H1085"/>
    </row>
    <row r="1086" spans="1:8" hidden="1" x14ac:dyDescent="0.2">
      <c r="A1086" s="55"/>
      <c r="C1086" s="55"/>
      <c r="H1086"/>
    </row>
    <row r="1087" spans="1:8" hidden="1" x14ac:dyDescent="0.2">
      <c r="A1087" s="55"/>
      <c r="C1087" s="55"/>
      <c r="F1087" s="50"/>
      <c r="H1087"/>
    </row>
    <row r="1088" spans="1:8" hidden="1" x14ac:dyDescent="0.2">
      <c r="A1088" s="55"/>
      <c r="C1088" s="55"/>
      <c r="H1088"/>
    </row>
    <row r="1089" spans="1:8" hidden="1" x14ac:dyDescent="0.2">
      <c r="A1089" s="55"/>
      <c r="C1089" s="55"/>
      <c r="H1089"/>
    </row>
    <row r="1090" spans="1:8" hidden="1" x14ac:dyDescent="0.2">
      <c r="A1090" s="55"/>
      <c r="C1090" s="55"/>
      <c r="H1090"/>
    </row>
    <row r="1091" spans="1:8" hidden="1" x14ac:dyDescent="0.2">
      <c r="A1091" s="55"/>
      <c r="C1091" s="55"/>
      <c r="H1091"/>
    </row>
    <row r="1092" spans="1:8" hidden="1" x14ac:dyDescent="0.2">
      <c r="A1092" s="55"/>
      <c r="C1092" s="55"/>
      <c r="H1092"/>
    </row>
    <row r="1093" spans="1:8" hidden="1" x14ac:dyDescent="0.2">
      <c r="A1093" s="55"/>
      <c r="C1093" s="55"/>
      <c r="H1093"/>
    </row>
    <row r="1094" spans="1:8" hidden="1" x14ac:dyDescent="0.2">
      <c r="A1094" s="55"/>
      <c r="C1094" s="55"/>
      <c r="H1094"/>
    </row>
    <row r="1095" spans="1:8" hidden="1" x14ac:dyDescent="0.2">
      <c r="A1095" s="55"/>
      <c r="C1095" s="55"/>
      <c r="F1095" s="50"/>
      <c r="H1095"/>
    </row>
    <row r="1096" spans="1:8" hidden="1" x14ac:dyDescent="0.2">
      <c r="A1096" s="55"/>
      <c r="C1096" s="55"/>
    </row>
    <row r="1097" spans="1:8" hidden="1" x14ac:dyDescent="0.2">
      <c r="A1097" s="55"/>
      <c r="C1097" s="55"/>
      <c r="H1097"/>
    </row>
    <row r="1098" spans="1:8" hidden="1" x14ac:dyDescent="0.2">
      <c r="A1098" s="55"/>
      <c r="C1098" s="55"/>
      <c r="H1098"/>
    </row>
    <row r="1099" spans="1:8" hidden="1" x14ac:dyDescent="0.2">
      <c r="A1099" s="55"/>
      <c r="C1099" s="55"/>
      <c r="H1099"/>
    </row>
    <row r="1100" spans="1:8" hidden="1" x14ac:dyDescent="0.2">
      <c r="A1100" s="55"/>
      <c r="C1100" s="55"/>
      <c r="H1100"/>
    </row>
    <row r="1101" spans="1:8" hidden="1" x14ac:dyDescent="0.2">
      <c r="A1101" s="55"/>
      <c r="C1101" s="55"/>
      <c r="H1101"/>
    </row>
    <row r="1102" spans="1:8" hidden="1" x14ac:dyDescent="0.2">
      <c r="A1102" s="55"/>
      <c r="C1102" s="55"/>
      <c r="F1102" s="50"/>
      <c r="H1102"/>
    </row>
    <row r="1103" spans="1:8" hidden="1" x14ac:dyDescent="0.2">
      <c r="F1103" s="50"/>
    </row>
    <row r="1104" spans="1:8" hidden="1" x14ac:dyDescent="0.2">
      <c r="A1104" s="55"/>
      <c r="C1104" s="55"/>
    </row>
    <row r="1105" spans="1:8" hidden="1" x14ac:dyDescent="0.2">
      <c r="A1105" s="55"/>
      <c r="C1105" s="55"/>
    </row>
    <row r="1106" spans="1:8" hidden="1" x14ac:dyDescent="0.2">
      <c r="A1106" s="55"/>
      <c r="C1106" s="55"/>
    </row>
    <row r="1107" spans="1:8" hidden="1" x14ac:dyDescent="0.2">
      <c r="A1107" s="55"/>
      <c r="C1107" s="55"/>
    </row>
    <row r="1108" spans="1:8" hidden="1" x14ac:dyDescent="0.2">
      <c r="A1108" s="55"/>
      <c r="C1108" s="55"/>
    </row>
    <row r="1109" spans="1:8" hidden="1" x14ac:dyDescent="0.2">
      <c r="A1109" s="55"/>
      <c r="C1109" s="55"/>
    </row>
    <row r="1110" spans="1:8" hidden="1" x14ac:dyDescent="0.2">
      <c r="A1110" s="55"/>
      <c r="C1110" s="55"/>
      <c r="H1110"/>
    </row>
    <row r="1111" spans="1:8" hidden="1" x14ac:dyDescent="0.2">
      <c r="A1111" s="55"/>
      <c r="C1111" s="55"/>
    </row>
    <row r="1112" spans="1:8" hidden="1" x14ac:dyDescent="0.2">
      <c r="A1112" s="55"/>
      <c r="C1112" s="55"/>
    </row>
    <row r="1113" spans="1:8" hidden="1" x14ac:dyDescent="0.2">
      <c r="A1113" s="55"/>
      <c r="C1113" s="55"/>
    </row>
    <row r="1114" spans="1:8" hidden="1" x14ac:dyDescent="0.2">
      <c r="A1114" s="55"/>
      <c r="C1114" s="55"/>
    </row>
    <row r="1115" spans="1:8" hidden="1" x14ac:dyDescent="0.2">
      <c r="A1115" s="55"/>
      <c r="C1115" s="55"/>
    </row>
    <row r="1116" spans="1:8" hidden="1" x14ac:dyDescent="0.2">
      <c r="A1116" s="55"/>
      <c r="C1116" s="55"/>
    </row>
    <row r="1117" spans="1:8" hidden="1" x14ac:dyDescent="0.2">
      <c r="A1117" s="55"/>
      <c r="C1117" s="55"/>
    </row>
    <row r="1118" spans="1:8" hidden="1" x14ac:dyDescent="0.2">
      <c r="A1118" s="55"/>
      <c r="C1118" s="55"/>
    </row>
    <row r="1119" spans="1:8" hidden="1" x14ac:dyDescent="0.2">
      <c r="A1119" s="55"/>
      <c r="C1119" s="55"/>
    </row>
    <row r="1120" spans="1:8" hidden="1" x14ac:dyDescent="0.2">
      <c r="A1120" s="55"/>
      <c r="C1120" s="55"/>
    </row>
    <row r="1121" spans="1:6" hidden="1" x14ac:dyDescent="0.2">
      <c r="A1121" s="55"/>
      <c r="C1121" s="55"/>
    </row>
    <row r="1122" spans="1:6" hidden="1" x14ac:dyDescent="0.2">
      <c r="A1122" s="55"/>
      <c r="C1122" s="55"/>
      <c r="F1122" s="50"/>
    </row>
    <row r="1123" spans="1:6" hidden="1" x14ac:dyDescent="0.2">
      <c r="A1123" s="55"/>
      <c r="C1123" s="55"/>
      <c r="F1123" s="50"/>
    </row>
    <row r="1124" spans="1:6" hidden="1" x14ac:dyDescent="0.2">
      <c r="A1124" s="55"/>
      <c r="C1124" s="55"/>
    </row>
    <row r="1125" spans="1:6" hidden="1" x14ac:dyDescent="0.2">
      <c r="A1125" s="55"/>
      <c r="C1125" s="55"/>
    </row>
    <row r="1126" spans="1:6" hidden="1" x14ac:dyDescent="0.2">
      <c r="A1126" s="55"/>
      <c r="C1126" s="55"/>
    </row>
    <row r="1127" spans="1:6" hidden="1" x14ac:dyDescent="0.2">
      <c r="A1127" s="55"/>
      <c r="C1127" s="55"/>
    </row>
    <row r="1128" spans="1:6" hidden="1" x14ac:dyDescent="0.2">
      <c r="A1128" s="55"/>
      <c r="C1128" s="55"/>
    </row>
    <row r="1129" spans="1:6" hidden="1" x14ac:dyDescent="0.2">
      <c r="A1129" s="55"/>
      <c r="C1129" s="55"/>
    </row>
    <row r="1130" spans="1:6" hidden="1" x14ac:dyDescent="0.2">
      <c r="A1130" s="55"/>
      <c r="C1130" s="55"/>
    </row>
    <row r="1131" spans="1:6" hidden="1" x14ac:dyDescent="0.2">
      <c r="A1131" s="55"/>
      <c r="C1131" s="55"/>
    </row>
    <row r="1134" spans="1:6" hidden="1" x14ac:dyDescent="0.2">
      <c r="A1134" s="55"/>
      <c r="C1134" s="55"/>
    </row>
    <row r="1135" spans="1:6" hidden="1" x14ac:dyDescent="0.2">
      <c r="A1135" s="55"/>
      <c r="C1135" s="55"/>
    </row>
    <row r="1136" spans="1:6" hidden="1" x14ac:dyDescent="0.2">
      <c r="A1136" s="55"/>
      <c r="C1136" s="55"/>
    </row>
    <row r="1137" spans="1:6" hidden="1" x14ac:dyDescent="0.2">
      <c r="A1137" s="55"/>
      <c r="C1137" s="55"/>
    </row>
    <row r="1138" spans="1:6" hidden="1" x14ac:dyDescent="0.2">
      <c r="A1138" s="55"/>
      <c r="C1138" s="55"/>
    </row>
    <row r="1139" spans="1:6" hidden="1" x14ac:dyDescent="0.2">
      <c r="A1139" s="55"/>
      <c r="C1139" s="55"/>
    </row>
    <row r="1140" spans="1:6" hidden="1" x14ac:dyDescent="0.2">
      <c r="A1140" s="55"/>
      <c r="C1140" s="55"/>
      <c r="F1140" s="50"/>
    </row>
    <row r="1141" spans="1:6" hidden="1" x14ac:dyDescent="0.2">
      <c r="A1141" s="55"/>
      <c r="C1141" s="55"/>
    </row>
    <row r="1142" spans="1:6" hidden="1" x14ac:dyDescent="0.2">
      <c r="F1142" s="50"/>
    </row>
    <row r="1143" spans="1:6" hidden="1" x14ac:dyDescent="0.2">
      <c r="F1143" s="50"/>
    </row>
    <row r="1144" spans="1:6" hidden="1" x14ac:dyDescent="0.2">
      <c r="F1144" s="50"/>
    </row>
    <row r="1145" spans="1:6" hidden="1" x14ac:dyDescent="0.2">
      <c r="F1145" s="50"/>
    </row>
    <row r="1146" spans="1:6" hidden="1" x14ac:dyDescent="0.2">
      <c r="F1146" s="50"/>
    </row>
    <row r="1147" spans="1:6" hidden="1" x14ac:dyDescent="0.2">
      <c r="F1147" s="50"/>
    </row>
    <row r="1148" spans="1:6" hidden="1" x14ac:dyDescent="0.2">
      <c r="F1148" s="50"/>
    </row>
    <row r="1149" spans="1:6" hidden="1" x14ac:dyDescent="0.2">
      <c r="F1149" s="50"/>
    </row>
    <row r="1150" spans="1:6" hidden="1" x14ac:dyDescent="0.2">
      <c r="F1150" s="50"/>
    </row>
    <row r="1151" spans="1:6" hidden="1" x14ac:dyDescent="0.2">
      <c r="F1151" s="50"/>
    </row>
    <row r="1152" spans="1:6" hidden="1" x14ac:dyDescent="0.2">
      <c r="F1152" s="50"/>
    </row>
    <row r="1153" spans="1:6" hidden="1" x14ac:dyDescent="0.2">
      <c r="F1153" s="50"/>
    </row>
    <row r="1154" spans="1:6" hidden="1" x14ac:dyDescent="0.2">
      <c r="F1154" s="50"/>
    </row>
    <row r="1155" spans="1:6" hidden="1" x14ac:dyDescent="0.2">
      <c r="F1155" s="50"/>
    </row>
    <row r="1156" spans="1:6" hidden="1" x14ac:dyDescent="0.2">
      <c r="F1156" s="50"/>
    </row>
    <row r="1157" spans="1:6" ht="15" hidden="1" x14ac:dyDescent="0.25">
      <c r="A1157" s="58"/>
      <c r="C1157" s="58"/>
    </row>
    <row r="1158" spans="1:6" hidden="1" x14ac:dyDescent="0.2">
      <c r="F1158" s="50"/>
    </row>
    <row r="1159" spans="1:6" hidden="1" x14ac:dyDescent="0.2">
      <c r="F1159" s="50"/>
    </row>
    <row r="1160" spans="1:6" hidden="1" x14ac:dyDescent="0.2">
      <c r="F1160" s="50"/>
    </row>
    <row r="1161" spans="1:6" hidden="1" x14ac:dyDescent="0.2">
      <c r="F1161" s="50"/>
    </row>
    <row r="1162" spans="1:6" hidden="1" x14ac:dyDescent="0.2">
      <c r="F1162" s="50"/>
    </row>
    <row r="1163" spans="1:6" hidden="1" x14ac:dyDescent="0.2">
      <c r="F1163" s="50"/>
    </row>
    <row r="1164" spans="1:6" hidden="1" x14ac:dyDescent="0.2">
      <c r="F1164" s="50"/>
    </row>
    <row r="1165" spans="1:6" hidden="1" x14ac:dyDescent="0.2">
      <c r="F1165" s="50"/>
    </row>
    <row r="1166" spans="1:6" hidden="1" x14ac:dyDescent="0.2">
      <c r="F1166" s="50"/>
    </row>
    <row r="1167" spans="1:6" hidden="1" x14ac:dyDescent="0.2">
      <c r="F1167" s="50"/>
    </row>
    <row r="1168" spans="1:6" hidden="1" x14ac:dyDescent="0.2">
      <c r="F1168" s="50"/>
    </row>
    <row r="1169" spans="6:6" hidden="1" x14ac:dyDescent="0.2">
      <c r="F1169" s="50"/>
    </row>
    <row r="1170" spans="6:6" hidden="1" x14ac:dyDescent="0.2">
      <c r="F1170" s="50"/>
    </row>
    <row r="1171" spans="6:6" hidden="1" x14ac:dyDescent="0.2">
      <c r="F1171" s="50"/>
    </row>
    <row r="1172" spans="6:6" hidden="1" x14ac:dyDescent="0.2">
      <c r="F1172" s="50"/>
    </row>
    <row r="1173" spans="6:6" hidden="1" x14ac:dyDescent="0.2">
      <c r="F1173" s="50"/>
    </row>
    <row r="1174" spans="6:6" hidden="1" x14ac:dyDescent="0.2">
      <c r="F1174" s="50"/>
    </row>
    <row r="1175" spans="6:6" hidden="1" x14ac:dyDescent="0.2">
      <c r="F1175" s="50"/>
    </row>
    <row r="1176" spans="6:6" hidden="1" x14ac:dyDescent="0.2">
      <c r="F1176" s="50"/>
    </row>
    <row r="1177" spans="6:6" hidden="1" x14ac:dyDescent="0.2">
      <c r="F1177" s="50"/>
    </row>
    <row r="1178" spans="6:6" hidden="1" x14ac:dyDescent="0.2">
      <c r="F1178" s="50"/>
    </row>
    <row r="1179" spans="6:6" hidden="1" x14ac:dyDescent="0.2">
      <c r="F1179" s="50"/>
    </row>
    <row r="1180" spans="6:6" hidden="1" x14ac:dyDescent="0.2">
      <c r="F1180" s="50"/>
    </row>
    <row r="1181" spans="6:6" hidden="1" x14ac:dyDescent="0.2">
      <c r="F1181" s="50"/>
    </row>
    <row r="1182" spans="6:6" hidden="1" x14ac:dyDescent="0.2">
      <c r="F1182" s="50"/>
    </row>
    <row r="1183" spans="6:6" hidden="1" x14ac:dyDescent="0.2">
      <c r="F1183" s="50"/>
    </row>
    <row r="1184" spans="6:6" hidden="1" x14ac:dyDescent="0.2">
      <c r="F1184" s="50"/>
    </row>
    <row r="1185" spans="1:6" hidden="1" x14ac:dyDescent="0.2">
      <c r="F1185" s="50"/>
    </row>
    <row r="1186" spans="1:6" hidden="1" x14ac:dyDescent="0.2">
      <c r="F1186" s="50"/>
    </row>
    <row r="1187" spans="1:6" hidden="1" x14ac:dyDescent="0.2">
      <c r="F1187" s="50"/>
    </row>
    <row r="1188" spans="1:6" hidden="1" x14ac:dyDescent="0.2">
      <c r="F1188" s="50"/>
    </row>
    <row r="1189" spans="1:6" hidden="1" x14ac:dyDescent="0.2">
      <c r="F1189" s="50"/>
    </row>
    <row r="1190" spans="1:6" hidden="1" x14ac:dyDescent="0.2">
      <c r="F1190" s="50"/>
    </row>
    <row r="1191" spans="1:6" hidden="1" x14ac:dyDescent="0.2">
      <c r="F1191" s="50"/>
    </row>
    <row r="1192" spans="1:6" hidden="1" x14ac:dyDescent="0.2">
      <c r="F1192" s="50"/>
    </row>
    <row r="1193" spans="1:6" hidden="1" x14ac:dyDescent="0.2">
      <c r="F1193" s="50"/>
    </row>
    <row r="1194" spans="1:6" ht="15.75" hidden="1" thickBot="1" x14ac:dyDescent="0.25">
      <c r="A1194" s="59"/>
      <c r="C1194" s="59"/>
    </row>
    <row r="1195" spans="1:6" hidden="1" x14ac:dyDescent="0.2">
      <c r="F1195" s="50"/>
    </row>
    <row r="1196" spans="1:6" hidden="1" x14ac:dyDescent="0.2">
      <c r="F1196" s="50"/>
    </row>
    <row r="1197" spans="1:6" hidden="1" x14ac:dyDescent="0.2">
      <c r="F1197" s="50"/>
    </row>
    <row r="1198" spans="1:6" hidden="1" x14ac:dyDescent="0.2">
      <c r="F1198" s="50"/>
    </row>
    <row r="1199" spans="1:6" hidden="1" x14ac:dyDescent="0.2">
      <c r="F1199" s="50"/>
    </row>
    <row r="1200" spans="1:6" hidden="1" x14ac:dyDescent="0.2">
      <c r="F1200" s="50"/>
    </row>
    <row r="1201" spans="6:6" hidden="1" x14ac:dyDescent="0.2">
      <c r="F1201" s="50"/>
    </row>
    <row r="1202" spans="6:6" hidden="1" x14ac:dyDescent="0.2">
      <c r="F1202" s="50"/>
    </row>
    <row r="1203" spans="6:6" hidden="1" x14ac:dyDescent="0.2">
      <c r="F1203" s="50"/>
    </row>
    <row r="1204" spans="6:6" hidden="1" x14ac:dyDescent="0.2">
      <c r="F1204" s="50"/>
    </row>
    <row r="1205" spans="6:6" hidden="1" x14ac:dyDescent="0.2">
      <c r="F1205" s="50"/>
    </row>
    <row r="1206" spans="6:6" hidden="1" x14ac:dyDescent="0.2">
      <c r="F1206" s="50"/>
    </row>
    <row r="1207" spans="6:6" hidden="1" x14ac:dyDescent="0.2">
      <c r="F1207" s="50"/>
    </row>
    <row r="1208" spans="6:6" hidden="1" x14ac:dyDescent="0.2">
      <c r="F1208" s="50"/>
    </row>
    <row r="1209" spans="6:6" hidden="1" x14ac:dyDescent="0.2">
      <c r="F1209" s="50"/>
    </row>
    <row r="1210" spans="6:6" hidden="1" x14ac:dyDescent="0.2">
      <c r="F1210" s="50"/>
    </row>
    <row r="1211" spans="6:6" hidden="1" x14ac:dyDescent="0.2">
      <c r="F1211" s="50"/>
    </row>
    <row r="1212" spans="6:6" hidden="1" x14ac:dyDescent="0.2">
      <c r="F1212" s="50"/>
    </row>
    <row r="1213" spans="6:6" hidden="1" x14ac:dyDescent="0.2">
      <c r="F1213" s="50"/>
    </row>
    <row r="1214" spans="6:6" hidden="1" x14ac:dyDescent="0.2">
      <c r="F1214" s="50"/>
    </row>
    <row r="1215" spans="6:6" hidden="1" x14ac:dyDescent="0.2">
      <c r="F1215" s="50"/>
    </row>
    <row r="1216" spans="6:6" hidden="1" x14ac:dyDescent="0.2">
      <c r="F1216" s="50"/>
    </row>
    <row r="1217" spans="6:6" hidden="1" x14ac:dyDescent="0.2">
      <c r="F1217" s="50"/>
    </row>
    <row r="1218" spans="6:6" hidden="1" x14ac:dyDescent="0.2">
      <c r="F1218" s="50"/>
    </row>
    <row r="1219" spans="6:6" hidden="1" x14ac:dyDescent="0.2">
      <c r="F1219" s="50"/>
    </row>
    <row r="1220" spans="6:6" hidden="1" x14ac:dyDescent="0.2">
      <c r="F1220" s="50"/>
    </row>
    <row r="1221" spans="6:6" hidden="1" x14ac:dyDescent="0.2">
      <c r="F1221" s="50"/>
    </row>
    <row r="1223" spans="6:6" hidden="1" x14ac:dyDescent="0.2">
      <c r="F1223" s="50"/>
    </row>
    <row r="1224" spans="6:6" hidden="1" x14ac:dyDescent="0.2">
      <c r="F1224" s="50"/>
    </row>
    <row r="1225" spans="6:6" hidden="1" x14ac:dyDescent="0.2">
      <c r="F1225" s="50"/>
    </row>
    <row r="1226" spans="6:6" hidden="1" x14ac:dyDescent="0.2">
      <c r="F1226" s="50"/>
    </row>
    <row r="1227" spans="6:6" hidden="1" x14ac:dyDescent="0.2">
      <c r="F1227" s="50"/>
    </row>
    <row r="1228" spans="6:6" hidden="1" x14ac:dyDescent="0.2">
      <c r="F1228" s="50"/>
    </row>
    <row r="1229" spans="6:6" hidden="1" x14ac:dyDescent="0.2">
      <c r="F1229" s="50"/>
    </row>
    <row r="1230" spans="6:6" hidden="1" x14ac:dyDescent="0.2">
      <c r="F1230" s="50"/>
    </row>
    <row r="1231" spans="6:6" hidden="1" x14ac:dyDescent="0.2">
      <c r="F1231" s="50"/>
    </row>
    <row r="1232" spans="6:6" hidden="1" x14ac:dyDescent="0.2">
      <c r="F1232" s="50"/>
    </row>
    <row r="1233" spans="1:6" hidden="1" x14ac:dyDescent="0.2">
      <c r="F1233" s="50"/>
    </row>
    <row r="1234" spans="1:6" hidden="1" x14ac:dyDescent="0.2">
      <c r="F1234" s="50"/>
    </row>
    <row r="1235" spans="1:6" hidden="1" x14ac:dyDescent="0.2">
      <c r="F1235" s="50"/>
    </row>
    <row r="1236" spans="1:6" hidden="1" x14ac:dyDescent="0.2">
      <c r="F1236" s="50"/>
    </row>
    <row r="1237" spans="1:6" hidden="1" x14ac:dyDescent="0.2">
      <c r="A1237" s="60"/>
    </row>
    <row r="1238" spans="1:6" hidden="1" x14ac:dyDescent="0.2">
      <c r="A1238" s="60"/>
      <c r="C1238" s="60"/>
    </row>
    <row r="1239" spans="1:6" hidden="1" x14ac:dyDescent="0.2">
      <c r="A1239" s="60"/>
      <c r="C1239" s="60"/>
    </row>
    <row r="1240" spans="1:6" hidden="1" x14ac:dyDescent="0.2">
      <c r="A1240" s="60"/>
      <c r="C1240" s="60"/>
    </row>
    <row r="1241" spans="1:6" hidden="1" x14ac:dyDescent="0.2">
      <c r="A1241" s="60"/>
      <c r="C1241" s="60"/>
    </row>
    <row r="1242" spans="1:6" hidden="1" x14ac:dyDescent="0.2">
      <c r="A1242" s="60"/>
      <c r="C1242" s="60"/>
    </row>
    <row r="1243" spans="1:6" hidden="1" x14ac:dyDescent="0.2">
      <c r="A1243" s="60"/>
      <c r="C1243" s="60"/>
    </row>
    <row r="1244" spans="1:6" hidden="1" x14ac:dyDescent="0.2">
      <c r="A1244" s="60"/>
      <c r="C1244" s="60"/>
    </row>
    <row r="1245" spans="1:6" hidden="1" x14ac:dyDescent="0.2">
      <c r="A1245" s="60"/>
      <c r="C1245" s="60"/>
    </row>
    <row r="1246" spans="1:6" hidden="1" x14ac:dyDescent="0.2">
      <c r="A1246" s="60"/>
      <c r="C1246" s="60"/>
    </row>
    <row r="1247" spans="1:6" hidden="1" x14ac:dyDescent="0.2">
      <c r="A1247" s="60"/>
      <c r="C1247" s="60"/>
    </row>
    <row r="1248" spans="1:6" hidden="1" x14ac:dyDescent="0.2">
      <c r="A1248" s="60"/>
      <c r="C1248" s="60"/>
    </row>
    <row r="1249" spans="1:8" hidden="1" x14ac:dyDescent="0.2">
      <c r="A1249" s="60"/>
      <c r="C1249" s="60"/>
    </row>
    <row r="1250" spans="1:8" hidden="1" x14ac:dyDescent="0.2">
      <c r="A1250" s="60"/>
      <c r="C1250" s="60"/>
    </row>
    <row r="1251" spans="1:8" hidden="1" x14ac:dyDescent="0.2">
      <c r="A1251" s="60"/>
      <c r="C1251" s="60"/>
    </row>
    <row r="1252" spans="1:8" ht="15" hidden="1" x14ac:dyDescent="0.25">
      <c r="A1252" s="60"/>
      <c r="C1252" s="60"/>
      <c r="H1252" s="62"/>
    </row>
    <row r="1253" spans="1:8" ht="15" hidden="1" x14ac:dyDescent="0.25">
      <c r="A1253" s="60"/>
      <c r="C1253" s="60"/>
      <c r="H1253" s="62"/>
    </row>
    <row r="1254" spans="1:8" hidden="1" x14ac:dyDescent="0.2">
      <c r="A1254" s="60"/>
      <c r="C1254" s="60"/>
    </row>
    <row r="1255" spans="1:8" hidden="1" x14ac:dyDescent="0.2">
      <c r="A1255" s="60"/>
      <c r="C1255" s="60"/>
    </row>
    <row r="1256" spans="1:8" hidden="1" x14ac:dyDescent="0.2">
      <c r="A1256" s="60"/>
      <c r="C1256" s="60"/>
    </row>
    <row r="1257" spans="1:8" hidden="1" x14ac:dyDescent="0.2">
      <c r="A1257" s="60"/>
      <c r="C1257" s="60"/>
    </row>
    <row r="1258" spans="1:8" hidden="1" x14ac:dyDescent="0.2">
      <c r="A1258" s="60"/>
      <c r="C1258" s="60"/>
    </row>
    <row r="1259" spans="1:8" hidden="1" x14ac:dyDescent="0.2">
      <c r="A1259" s="60"/>
      <c r="C1259" s="60"/>
    </row>
    <row r="1260" spans="1:8" hidden="1" x14ac:dyDescent="0.2">
      <c r="A1260" s="60"/>
      <c r="C1260" s="60"/>
    </row>
    <row r="1261" spans="1:8" hidden="1" x14ac:dyDescent="0.2">
      <c r="A1261" s="60"/>
      <c r="C1261" s="60"/>
    </row>
    <row r="1262" spans="1:8" hidden="1" x14ac:dyDescent="0.2">
      <c r="A1262" s="60"/>
      <c r="C1262" s="60"/>
    </row>
    <row r="1263" spans="1:8" hidden="1" x14ac:dyDescent="0.2">
      <c r="A1263" s="60"/>
      <c r="C1263" s="60"/>
    </row>
    <row r="1264" spans="1:8" hidden="1" x14ac:dyDescent="0.2">
      <c r="A1264" s="60"/>
      <c r="C1264" s="60"/>
    </row>
    <row r="1265" spans="1:8" hidden="1" x14ac:dyDescent="0.2">
      <c r="A1265" s="60"/>
      <c r="C1265" s="60"/>
    </row>
    <row r="1266" spans="1:8" hidden="1" x14ac:dyDescent="0.2">
      <c r="A1266" s="60"/>
      <c r="C1266" s="60"/>
    </row>
    <row r="1267" spans="1:8" hidden="1" x14ac:dyDescent="0.2">
      <c r="A1267" s="60"/>
      <c r="C1267" s="60"/>
    </row>
    <row r="1268" spans="1:8" hidden="1" x14ac:dyDescent="0.2">
      <c r="F1268" s="50"/>
    </row>
    <row r="1269" spans="1:8" hidden="1" x14ac:dyDescent="0.2">
      <c r="F1269" s="50"/>
    </row>
    <row r="1270" spans="1:8" hidden="1" x14ac:dyDescent="0.2">
      <c r="F1270" s="50"/>
    </row>
    <row r="1271" spans="1:8" hidden="1" x14ac:dyDescent="0.2">
      <c r="F1271" s="50"/>
    </row>
    <row r="1272" spans="1:8" hidden="1" x14ac:dyDescent="0.2">
      <c r="F1272" s="50"/>
    </row>
    <row r="1273" spans="1:8" hidden="1" x14ac:dyDescent="0.2">
      <c r="F1273" s="50"/>
    </row>
    <row r="1274" spans="1:8" hidden="1" x14ac:dyDescent="0.2">
      <c r="F1274" s="50"/>
    </row>
    <row r="1275" spans="1:8" hidden="1" x14ac:dyDescent="0.2">
      <c r="F1275" s="50"/>
    </row>
    <row r="1276" spans="1:8" hidden="1" x14ac:dyDescent="0.2">
      <c r="F1276" s="50"/>
    </row>
    <row r="1277" spans="1:8" ht="15" hidden="1" x14ac:dyDescent="0.25">
      <c r="F1277" s="50"/>
      <c r="H1277" s="62"/>
    </row>
    <row r="1278" spans="1:8" ht="15" hidden="1" x14ac:dyDescent="0.25">
      <c r="F1278" s="50"/>
      <c r="H1278" s="62"/>
    </row>
    <row r="1279" spans="1:8" hidden="1" x14ac:dyDescent="0.2">
      <c r="F1279" s="50"/>
    </row>
    <row r="1280" spans="1:8" hidden="1" x14ac:dyDescent="0.2">
      <c r="F1280" s="50"/>
    </row>
    <row r="1281" spans="6:6" hidden="1" x14ac:dyDescent="0.2">
      <c r="F1281" s="50"/>
    </row>
    <row r="1282" spans="6:6" hidden="1" x14ac:dyDescent="0.2">
      <c r="F1282" s="50"/>
    </row>
    <row r="1283" spans="6:6" hidden="1" x14ac:dyDescent="0.2">
      <c r="F1283" s="50"/>
    </row>
    <row r="1284" spans="6:6" hidden="1" x14ac:dyDescent="0.2">
      <c r="F1284" s="50"/>
    </row>
    <row r="1285" spans="6:6" hidden="1" x14ac:dyDescent="0.2">
      <c r="F1285" s="50"/>
    </row>
    <row r="1286" spans="6:6" hidden="1" x14ac:dyDescent="0.2">
      <c r="F1286" s="50"/>
    </row>
    <row r="1287" spans="6:6" hidden="1" x14ac:dyDescent="0.2">
      <c r="F1287" s="50"/>
    </row>
    <row r="1288" spans="6:6" hidden="1" x14ac:dyDescent="0.2">
      <c r="F1288" s="50"/>
    </row>
    <row r="1289" spans="6:6" hidden="1" x14ac:dyDescent="0.2">
      <c r="F1289" s="50"/>
    </row>
    <row r="1290" spans="6:6" hidden="1" x14ac:dyDescent="0.2">
      <c r="F1290" s="50"/>
    </row>
    <row r="1291" spans="6:6" hidden="1" x14ac:dyDescent="0.2">
      <c r="F1291" s="50"/>
    </row>
    <row r="1292" spans="6:6" hidden="1" x14ac:dyDescent="0.2">
      <c r="F1292" s="50"/>
    </row>
    <row r="1293" spans="6:6" hidden="1" x14ac:dyDescent="0.2">
      <c r="F1293" s="50"/>
    </row>
    <row r="1294" spans="6:6" hidden="1" x14ac:dyDescent="0.2">
      <c r="F1294" s="50"/>
    </row>
    <row r="1295" spans="6:6" hidden="1" x14ac:dyDescent="0.2">
      <c r="F1295" s="50"/>
    </row>
    <row r="1296" spans="6:6" hidden="1" x14ac:dyDescent="0.2">
      <c r="F1296" s="50"/>
    </row>
    <row r="1297" spans="6:8" hidden="1" x14ac:dyDescent="0.2">
      <c r="F1297" s="50"/>
    </row>
    <row r="1298" spans="6:8" hidden="1" x14ac:dyDescent="0.2">
      <c r="F1298" s="50"/>
    </row>
    <row r="1299" spans="6:8" hidden="1" x14ac:dyDescent="0.2">
      <c r="F1299" s="50"/>
    </row>
    <row r="1300" spans="6:8" hidden="1" x14ac:dyDescent="0.2">
      <c r="F1300" s="50"/>
    </row>
    <row r="1301" spans="6:8" hidden="1" x14ac:dyDescent="0.2">
      <c r="F1301" s="50"/>
    </row>
    <row r="1302" spans="6:8" hidden="1" x14ac:dyDescent="0.2">
      <c r="F1302" s="50"/>
    </row>
    <row r="1303" spans="6:8" hidden="1" x14ac:dyDescent="0.2">
      <c r="F1303" s="50"/>
    </row>
    <row r="1304" spans="6:8" hidden="1" x14ac:dyDescent="0.2">
      <c r="F1304" s="50"/>
    </row>
    <row r="1305" spans="6:8" hidden="1" x14ac:dyDescent="0.2">
      <c r="F1305" s="50"/>
    </row>
    <row r="1306" spans="6:8" ht="15" hidden="1" x14ac:dyDescent="0.25">
      <c r="F1306" s="50"/>
      <c r="H1306" s="62"/>
    </row>
    <row r="1307" spans="6:8" hidden="1" x14ac:dyDescent="0.2">
      <c r="F1307" s="50"/>
    </row>
    <row r="1308" spans="6:8" hidden="1" x14ac:dyDescent="0.2">
      <c r="F1308" s="50"/>
    </row>
    <row r="1309" spans="6:8" hidden="1" x14ac:dyDescent="0.2">
      <c r="F1309" s="50"/>
    </row>
    <row r="1310" spans="6:8" hidden="1" x14ac:dyDescent="0.2">
      <c r="F1310" s="50"/>
    </row>
    <row r="1311" spans="6:8" hidden="1" x14ac:dyDescent="0.2">
      <c r="F1311" s="50"/>
    </row>
    <row r="1312" spans="6:8" hidden="1" x14ac:dyDescent="0.2">
      <c r="F1312" s="50"/>
    </row>
    <row r="1313" spans="6:6" hidden="1" x14ac:dyDescent="0.2">
      <c r="F1313" s="50"/>
    </row>
    <row r="1314" spans="6:6" hidden="1" x14ac:dyDescent="0.2">
      <c r="F1314" s="50"/>
    </row>
    <row r="1315" spans="6:6" hidden="1" x14ac:dyDescent="0.2">
      <c r="F1315" s="50"/>
    </row>
    <row r="1316" spans="6:6" hidden="1" x14ac:dyDescent="0.2">
      <c r="F1316" s="50"/>
    </row>
    <row r="1317" spans="6:6" hidden="1" x14ac:dyDescent="0.2">
      <c r="F1317" s="50"/>
    </row>
    <row r="1318" spans="6:6" hidden="1" x14ac:dyDescent="0.2">
      <c r="F1318" s="50"/>
    </row>
    <row r="1319" spans="6:6" hidden="1" x14ac:dyDescent="0.2">
      <c r="F1319" s="50"/>
    </row>
    <row r="1320" spans="6:6" hidden="1" x14ac:dyDescent="0.2">
      <c r="F1320" s="50"/>
    </row>
    <row r="1321" spans="6:6" hidden="1" x14ac:dyDescent="0.2">
      <c r="F1321" s="50"/>
    </row>
    <row r="1322" spans="6:6" hidden="1" x14ac:dyDescent="0.2">
      <c r="F1322" s="50"/>
    </row>
    <row r="1323" spans="6:6" hidden="1" x14ac:dyDescent="0.2">
      <c r="F1323" s="50"/>
    </row>
    <row r="1324" spans="6:6" hidden="1" x14ac:dyDescent="0.2">
      <c r="F1324" s="50"/>
    </row>
    <row r="1325" spans="6:6" hidden="1" x14ac:dyDescent="0.2">
      <c r="F1325" s="50"/>
    </row>
    <row r="1326" spans="6:6" hidden="1" x14ac:dyDescent="0.2">
      <c r="F1326" s="50"/>
    </row>
    <row r="1327" spans="6:6" hidden="1" x14ac:dyDescent="0.2">
      <c r="F1327" s="50"/>
    </row>
    <row r="1328" spans="6:6" hidden="1" x14ac:dyDescent="0.2">
      <c r="F1328" s="50"/>
    </row>
    <row r="1329" spans="6:6" hidden="1" x14ac:dyDescent="0.2">
      <c r="F1329" s="50"/>
    </row>
    <row r="1330" spans="6:6" hidden="1" x14ac:dyDescent="0.2">
      <c r="F1330" s="50"/>
    </row>
    <row r="1331" spans="6:6" hidden="1" x14ac:dyDescent="0.2">
      <c r="F1331" s="50"/>
    </row>
    <row r="1332" spans="6:6" hidden="1" x14ac:dyDescent="0.2">
      <c r="F1332" s="50"/>
    </row>
    <row r="1333" spans="6:6" hidden="1" x14ac:dyDescent="0.2">
      <c r="F1333" s="50"/>
    </row>
    <row r="1334" spans="6:6" hidden="1" x14ac:dyDescent="0.2">
      <c r="F1334" s="50"/>
    </row>
    <row r="1335" spans="6:6" hidden="1" x14ac:dyDescent="0.2">
      <c r="F1335" s="50"/>
    </row>
    <row r="1336" spans="6:6" hidden="1" x14ac:dyDescent="0.2">
      <c r="F1336" s="50"/>
    </row>
    <row r="1337" spans="6:6" hidden="1" x14ac:dyDescent="0.2">
      <c r="F1337" s="50"/>
    </row>
    <row r="1338" spans="6:6" hidden="1" x14ac:dyDescent="0.2">
      <c r="F1338" s="50"/>
    </row>
    <row r="1339" spans="6:6" hidden="1" x14ac:dyDescent="0.2">
      <c r="F1339" s="50"/>
    </row>
    <row r="1340" spans="6:6" hidden="1" x14ac:dyDescent="0.2">
      <c r="F1340" s="50"/>
    </row>
    <row r="1341" spans="6:6" hidden="1" x14ac:dyDescent="0.2">
      <c r="F1341" s="50"/>
    </row>
    <row r="1342" spans="6:6" hidden="1" x14ac:dyDescent="0.2">
      <c r="F1342" s="50"/>
    </row>
    <row r="1343" spans="6:6" hidden="1" x14ac:dyDescent="0.2">
      <c r="F1343" s="50"/>
    </row>
    <row r="1344" spans="6:6" hidden="1" x14ac:dyDescent="0.2">
      <c r="F1344" s="50"/>
    </row>
    <row r="1345" spans="6:6" hidden="1" x14ac:dyDescent="0.2">
      <c r="F1345" s="50"/>
    </row>
    <row r="1346" spans="6:6" hidden="1" x14ac:dyDescent="0.2">
      <c r="F1346" s="50"/>
    </row>
    <row r="1347" spans="6:6" hidden="1" x14ac:dyDescent="0.2">
      <c r="F1347" s="50"/>
    </row>
    <row r="1348" spans="6:6" hidden="1" x14ac:dyDescent="0.2">
      <c r="F1348" s="50"/>
    </row>
    <row r="1349" spans="6:6" hidden="1" x14ac:dyDescent="0.2">
      <c r="F1349" s="50"/>
    </row>
    <row r="1350" spans="6:6" hidden="1" x14ac:dyDescent="0.2">
      <c r="F1350" s="50"/>
    </row>
    <row r="1351" spans="6:6" hidden="1" x14ac:dyDescent="0.2">
      <c r="F1351" s="50"/>
    </row>
    <row r="1352" spans="6:6" hidden="1" x14ac:dyDescent="0.2">
      <c r="F1352" s="50"/>
    </row>
    <row r="1353" spans="6:6" hidden="1" x14ac:dyDescent="0.2">
      <c r="F1353" s="50"/>
    </row>
    <row r="1354" spans="6:6" hidden="1" x14ac:dyDescent="0.2">
      <c r="F1354" s="50"/>
    </row>
    <row r="1355" spans="6:6" hidden="1" x14ac:dyDescent="0.2">
      <c r="F1355" s="50"/>
    </row>
    <row r="1356" spans="6:6" hidden="1" x14ac:dyDescent="0.2">
      <c r="F1356" s="50"/>
    </row>
    <row r="1357" spans="6:6" hidden="1" x14ac:dyDescent="0.2">
      <c r="F1357" s="50"/>
    </row>
    <row r="1358" spans="6:6" hidden="1" x14ac:dyDescent="0.2">
      <c r="F1358" s="50"/>
    </row>
    <row r="1359" spans="6:6" hidden="1" x14ac:dyDescent="0.2">
      <c r="F1359" s="50"/>
    </row>
    <row r="1360" spans="6:6" hidden="1" x14ac:dyDescent="0.2">
      <c r="F1360" s="50"/>
    </row>
    <row r="1361" spans="6:8" hidden="1" x14ac:dyDescent="0.2">
      <c r="F1361" s="50"/>
    </row>
    <row r="1362" spans="6:8" hidden="1" x14ac:dyDescent="0.2">
      <c r="F1362" s="50"/>
    </row>
    <row r="1363" spans="6:8" hidden="1" x14ac:dyDescent="0.2">
      <c r="F1363" s="50"/>
    </row>
    <row r="1364" spans="6:8" hidden="1" x14ac:dyDescent="0.2">
      <c r="F1364" s="50"/>
    </row>
    <row r="1365" spans="6:8" hidden="1" x14ac:dyDescent="0.2">
      <c r="F1365" s="50"/>
    </row>
    <row r="1366" spans="6:8" hidden="1" x14ac:dyDescent="0.2">
      <c r="F1366" s="50"/>
    </row>
    <row r="1367" spans="6:8" hidden="1" x14ac:dyDescent="0.2">
      <c r="F1367" s="50"/>
    </row>
    <row r="1368" spans="6:8" hidden="1" x14ac:dyDescent="0.2">
      <c r="F1368" s="50"/>
    </row>
    <row r="1369" spans="6:8" hidden="1" x14ac:dyDescent="0.2">
      <c r="F1369" s="50"/>
    </row>
    <row r="1370" spans="6:8" hidden="1" x14ac:dyDescent="0.2">
      <c r="F1370" s="50"/>
    </row>
    <row r="1371" spans="6:8" hidden="1" x14ac:dyDescent="0.2">
      <c r="F1371" s="50"/>
    </row>
    <row r="1372" spans="6:8" hidden="1" x14ac:dyDescent="0.2">
      <c r="F1372" s="50"/>
    </row>
    <row r="1373" spans="6:8" hidden="1" x14ac:dyDescent="0.2">
      <c r="F1373" s="50"/>
    </row>
    <row r="1374" spans="6:8" hidden="1" x14ac:dyDescent="0.2">
      <c r="F1374" s="50"/>
    </row>
    <row r="1375" spans="6:8" hidden="1" x14ac:dyDescent="0.2">
      <c r="F1375" s="50"/>
      <c r="G1375" s="50"/>
      <c r="H1375" s="50"/>
    </row>
    <row r="1376" spans="6:8" hidden="1" x14ac:dyDescent="0.2">
      <c r="F1376" s="50"/>
    </row>
    <row r="1377" spans="6:6" hidden="1" x14ac:dyDescent="0.2">
      <c r="F1377" s="50"/>
    </row>
    <row r="1379" spans="6:6" hidden="1" x14ac:dyDescent="0.2">
      <c r="F1379" s="50"/>
    </row>
    <row r="1380" spans="6:6" hidden="1" x14ac:dyDescent="0.2">
      <c r="F1380" s="50"/>
    </row>
    <row r="1381" spans="6:6" hidden="1" x14ac:dyDescent="0.2">
      <c r="F1381" s="50"/>
    </row>
    <row r="1382" spans="6:6" hidden="1" x14ac:dyDescent="0.2">
      <c r="F1382" s="50"/>
    </row>
    <row r="1383" spans="6:6" hidden="1" x14ac:dyDescent="0.2">
      <c r="F1383" s="50"/>
    </row>
    <row r="1384" spans="6:6" hidden="1" x14ac:dyDescent="0.2">
      <c r="F1384" s="50"/>
    </row>
    <row r="1385" spans="6:6" hidden="1" x14ac:dyDescent="0.2">
      <c r="F1385" s="50"/>
    </row>
    <row r="1386" spans="6:6" hidden="1" x14ac:dyDescent="0.2">
      <c r="F1386" s="50"/>
    </row>
    <row r="1387" spans="6:6" hidden="1" x14ac:dyDescent="0.2">
      <c r="F1387" s="50"/>
    </row>
    <row r="1388" spans="6:6" hidden="1" x14ac:dyDescent="0.2">
      <c r="F1388" s="50"/>
    </row>
    <row r="1389" spans="6:6" hidden="1" x14ac:dyDescent="0.2">
      <c r="F1389" s="50"/>
    </row>
    <row r="1390" spans="6:6" hidden="1" x14ac:dyDescent="0.2">
      <c r="F1390" s="50"/>
    </row>
    <row r="1391" spans="6:6" hidden="1" x14ac:dyDescent="0.2">
      <c r="F1391" s="50"/>
    </row>
    <row r="1392" spans="6:6" hidden="1" x14ac:dyDescent="0.2">
      <c r="F1392" s="50"/>
    </row>
    <row r="1393" spans="1:6" hidden="1" x14ac:dyDescent="0.2">
      <c r="F1393" s="50"/>
    </row>
    <row r="1394" spans="1:6" ht="15" hidden="1" thickBot="1" x14ac:dyDescent="0.25">
      <c r="F1394" s="50"/>
    </row>
    <row r="1395" spans="1:6" ht="15.75" hidden="1" thickBot="1" x14ac:dyDescent="0.25">
      <c r="A1395" s="63"/>
      <c r="C1395" s="63"/>
    </row>
    <row r="1396" spans="1:6" ht="15.75" hidden="1" thickBot="1" x14ac:dyDescent="0.25">
      <c r="A1396" s="59"/>
      <c r="C1396" s="59"/>
    </row>
    <row r="1397" spans="1:6" ht="15.75" hidden="1" thickBot="1" x14ac:dyDescent="0.25">
      <c r="A1397" s="59"/>
      <c r="C1397" s="59"/>
    </row>
    <row r="1398" spans="1:6" ht="15.75" hidden="1" thickBot="1" x14ac:dyDescent="0.25">
      <c r="A1398" s="59"/>
      <c r="C1398" s="59"/>
    </row>
    <row r="1399" spans="1:6" ht="15.75" hidden="1" thickBot="1" x14ac:dyDescent="0.25">
      <c r="A1399" s="59"/>
      <c r="C1399" s="59"/>
    </row>
    <row r="1400" spans="1:6" ht="15.75" hidden="1" thickBot="1" x14ac:dyDescent="0.25">
      <c r="A1400" s="59"/>
      <c r="C1400" s="59"/>
    </row>
    <row r="1401" spans="1:6" ht="15.75" hidden="1" thickBot="1" x14ac:dyDescent="0.25">
      <c r="A1401" s="59"/>
      <c r="C1401" s="59"/>
    </row>
    <row r="1402" spans="1:6" ht="15.75" hidden="1" thickBot="1" x14ac:dyDescent="0.25">
      <c r="A1402" s="59"/>
      <c r="C1402" s="59"/>
    </row>
    <row r="1403" spans="1:6" ht="15.75" hidden="1" thickBot="1" x14ac:dyDescent="0.25">
      <c r="A1403" s="59"/>
      <c r="C1403" s="59"/>
    </row>
    <row r="1404" spans="1:6" ht="15.75" hidden="1" thickBot="1" x14ac:dyDescent="0.25">
      <c r="A1404" s="63"/>
      <c r="C1404" s="63"/>
    </row>
    <row r="1405" spans="1:6" ht="15" hidden="1" x14ac:dyDescent="0.2">
      <c r="A1405" s="64"/>
      <c r="C1405" s="64"/>
    </row>
    <row r="1406" spans="1:6" ht="15" hidden="1" x14ac:dyDescent="0.2">
      <c r="A1406" s="64"/>
    </row>
    <row r="1407" spans="1:6" ht="15" hidden="1" x14ac:dyDescent="0.2">
      <c r="A1407" s="64"/>
      <c r="C1407" s="64"/>
    </row>
    <row r="1408" spans="1:6" ht="15" hidden="1" x14ac:dyDescent="0.2">
      <c r="A1408" s="64"/>
      <c r="C1408" s="64"/>
    </row>
    <row r="1409" spans="1:3" ht="15" hidden="1" x14ac:dyDescent="0.2">
      <c r="A1409" s="64"/>
      <c r="C1409" s="64"/>
    </row>
    <row r="1410" spans="1:3" ht="15" hidden="1" x14ac:dyDescent="0.2">
      <c r="A1410" s="64"/>
      <c r="C1410" s="64"/>
    </row>
    <row r="1411" spans="1:3" ht="15" hidden="1" x14ac:dyDescent="0.2">
      <c r="A1411" s="64"/>
      <c r="C1411" s="64"/>
    </row>
    <row r="1412" spans="1:3" ht="15" hidden="1" x14ac:dyDescent="0.2">
      <c r="A1412" s="64"/>
      <c r="C1412" s="64"/>
    </row>
    <row r="1413" spans="1:3" ht="15" hidden="1" x14ac:dyDescent="0.2">
      <c r="A1413" s="64"/>
      <c r="C1413" s="64"/>
    </row>
    <row r="1414" spans="1:3" ht="15" hidden="1" x14ac:dyDescent="0.2">
      <c r="A1414" s="64"/>
      <c r="C1414" s="64"/>
    </row>
    <row r="1415" spans="1:3" ht="15" hidden="1" x14ac:dyDescent="0.2">
      <c r="A1415" s="64"/>
      <c r="C1415" s="64"/>
    </row>
    <row r="1416" spans="1:3" ht="15" hidden="1" x14ac:dyDescent="0.2">
      <c r="A1416" s="64"/>
      <c r="C1416" s="64"/>
    </row>
    <row r="1417" spans="1:3" ht="15" hidden="1" x14ac:dyDescent="0.2">
      <c r="A1417" s="64"/>
      <c r="C1417" s="64"/>
    </row>
    <row r="1418" spans="1:3" ht="15" hidden="1" x14ac:dyDescent="0.2">
      <c r="A1418" s="64"/>
      <c r="C1418" s="64"/>
    </row>
    <row r="1419" spans="1:3" ht="15" hidden="1" x14ac:dyDescent="0.2">
      <c r="A1419" s="64"/>
      <c r="C1419" s="64"/>
    </row>
    <row r="1420" spans="1:3" ht="15" hidden="1" x14ac:dyDescent="0.2">
      <c r="A1420" s="64"/>
      <c r="C1420" s="64"/>
    </row>
    <row r="1421" spans="1:3" ht="15" hidden="1" x14ac:dyDescent="0.2">
      <c r="A1421" s="64"/>
      <c r="C1421" s="64"/>
    </row>
    <row r="1422" spans="1:3" ht="15" hidden="1" x14ac:dyDescent="0.2">
      <c r="A1422" s="64"/>
      <c r="C1422" s="64"/>
    </row>
    <row r="1423" spans="1:3" ht="15" hidden="1" x14ac:dyDescent="0.2">
      <c r="A1423" s="64"/>
      <c r="C1423" s="64"/>
    </row>
    <row r="1424" spans="1:3" ht="15" hidden="1" x14ac:dyDescent="0.2">
      <c r="A1424" s="64"/>
      <c r="C1424" s="64"/>
    </row>
    <row r="1425" spans="1:3" ht="15" hidden="1" x14ac:dyDescent="0.2">
      <c r="A1425" s="64"/>
      <c r="C1425" s="64"/>
    </row>
    <row r="1426" spans="1:3" ht="15" hidden="1" x14ac:dyDescent="0.2">
      <c r="A1426" s="64"/>
      <c r="C1426" s="64"/>
    </row>
    <row r="1427" spans="1:3" ht="15" hidden="1" x14ac:dyDescent="0.2">
      <c r="A1427" s="64"/>
      <c r="C1427" s="64"/>
    </row>
    <row r="1428" spans="1:3" ht="15" hidden="1" x14ac:dyDescent="0.2">
      <c r="A1428" s="64"/>
      <c r="C1428" s="64"/>
    </row>
    <row r="1429" spans="1:3" ht="15" hidden="1" x14ac:dyDescent="0.2">
      <c r="A1429" s="64"/>
      <c r="C1429" s="64"/>
    </row>
    <row r="1430" spans="1:3" ht="15" hidden="1" x14ac:dyDescent="0.2">
      <c r="A1430" s="64"/>
      <c r="C1430" s="64"/>
    </row>
    <row r="1431" spans="1:3" ht="15" hidden="1" x14ac:dyDescent="0.2">
      <c r="A1431" s="64"/>
      <c r="C1431" s="64"/>
    </row>
    <row r="1432" spans="1:3" ht="15" hidden="1" x14ac:dyDescent="0.2">
      <c r="A1432" s="64"/>
      <c r="C1432" s="64"/>
    </row>
    <row r="1433" spans="1:3" ht="15" hidden="1" x14ac:dyDescent="0.2">
      <c r="A1433" s="64"/>
      <c r="C1433" s="64"/>
    </row>
    <row r="1434" spans="1:3" ht="15" hidden="1" x14ac:dyDescent="0.2">
      <c r="A1434" s="64"/>
      <c r="C1434" s="64"/>
    </row>
    <row r="1435" spans="1:3" ht="15" hidden="1" x14ac:dyDescent="0.2">
      <c r="A1435" s="64"/>
      <c r="C1435" s="64"/>
    </row>
    <row r="1436" spans="1:3" ht="15" hidden="1" x14ac:dyDescent="0.2">
      <c r="A1436" s="64"/>
      <c r="C1436" s="64"/>
    </row>
    <row r="1437" spans="1:3" ht="15" hidden="1" x14ac:dyDescent="0.2">
      <c r="A1437" s="64"/>
      <c r="C1437" s="64"/>
    </row>
    <row r="1438" spans="1:3" ht="15" hidden="1" x14ac:dyDescent="0.2">
      <c r="A1438" s="64"/>
      <c r="C1438" s="64"/>
    </row>
    <row r="1439" spans="1:3" ht="15" hidden="1" x14ac:dyDescent="0.2">
      <c r="A1439" s="64"/>
      <c r="C1439" s="64"/>
    </row>
    <row r="1440" spans="1:3" ht="15" hidden="1" x14ac:dyDescent="0.2">
      <c r="A1440" s="64"/>
      <c r="C1440" s="64"/>
    </row>
    <row r="1441" spans="1:6" ht="15" hidden="1" x14ac:dyDescent="0.2">
      <c r="A1441" s="64"/>
      <c r="C1441" s="64"/>
    </row>
    <row r="1442" spans="1:6" ht="15" hidden="1" x14ac:dyDescent="0.2">
      <c r="A1442" s="64"/>
      <c r="C1442" s="64"/>
    </row>
    <row r="1443" spans="1:6" ht="15" hidden="1" x14ac:dyDescent="0.2">
      <c r="A1443" s="64"/>
      <c r="C1443" s="64"/>
    </row>
    <row r="1444" spans="1:6" ht="15" hidden="1" x14ac:dyDescent="0.2">
      <c r="A1444" s="64"/>
      <c r="C1444" s="64"/>
    </row>
    <row r="1445" spans="1:6" ht="15" hidden="1" x14ac:dyDescent="0.2">
      <c r="A1445" s="64"/>
      <c r="C1445" s="64"/>
    </row>
    <row r="1446" spans="1:6" ht="15" hidden="1" x14ac:dyDescent="0.2">
      <c r="A1446" s="64"/>
      <c r="C1446" s="64"/>
    </row>
    <row r="1447" spans="1:6" ht="15" hidden="1" x14ac:dyDescent="0.2">
      <c r="A1447" s="64"/>
      <c r="C1447" s="64"/>
    </row>
    <row r="1448" spans="1:6" ht="15" hidden="1" x14ac:dyDescent="0.2">
      <c r="A1448" s="64"/>
      <c r="C1448" s="64"/>
    </row>
    <row r="1449" spans="1:6" ht="15" hidden="1" x14ac:dyDescent="0.2">
      <c r="A1449" s="64"/>
      <c r="C1449" s="64"/>
    </row>
    <row r="1450" spans="1:6" ht="15" hidden="1" x14ac:dyDescent="0.2">
      <c r="A1450" s="64"/>
      <c r="C1450" s="64"/>
    </row>
    <row r="1451" spans="1:6" ht="15" hidden="1" x14ac:dyDescent="0.2">
      <c r="A1451" s="64"/>
      <c r="C1451" s="64"/>
    </row>
    <row r="1452" spans="1:6" ht="15" hidden="1" x14ac:dyDescent="0.2">
      <c r="A1452" s="64"/>
      <c r="C1452" s="64"/>
    </row>
    <row r="1453" spans="1:6" ht="15" hidden="1" x14ac:dyDescent="0.2">
      <c r="A1453" s="64"/>
      <c r="C1453" s="64"/>
    </row>
    <row r="1454" spans="1:6" ht="15" hidden="1" x14ac:dyDescent="0.2">
      <c r="A1454" s="64"/>
      <c r="C1454" s="64"/>
    </row>
    <row r="1455" spans="1:6" ht="15" hidden="1" x14ac:dyDescent="0.2">
      <c r="A1455" s="64"/>
      <c r="C1455" s="64"/>
    </row>
    <row r="1456" spans="1:6" hidden="1" x14ac:dyDescent="0.2">
      <c r="F1456" s="50"/>
    </row>
    <row r="1457" spans="1:6" hidden="1" x14ac:dyDescent="0.2">
      <c r="F1457" s="50"/>
    </row>
    <row r="1458" spans="1:6" hidden="1" x14ac:dyDescent="0.2">
      <c r="F1458" s="50"/>
    </row>
    <row r="1459" spans="1:6" hidden="1" x14ac:dyDescent="0.2">
      <c r="F1459" s="50"/>
    </row>
    <row r="1460" spans="1:6" hidden="1" x14ac:dyDescent="0.2">
      <c r="F1460" s="50"/>
    </row>
    <row r="1461" spans="1:6" hidden="1" x14ac:dyDescent="0.2">
      <c r="F1461" s="50"/>
    </row>
    <row r="1462" spans="1:6" hidden="1" x14ac:dyDescent="0.2">
      <c r="F1462" s="50"/>
    </row>
    <row r="1463" spans="1:6" hidden="1" x14ac:dyDescent="0.2">
      <c r="F1463" s="50"/>
    </row>
    <row r="1464" spans="1:6" hidden="1" x14ac:dyDescent="0.2">
      <c r="F1464" s="50"/>
    </row>
    <row r="1465" spans="1:6" hidden="1" x14ac:dyDescent="0.2">
      <c r="F1465" s="50"/>
    </row>
    <row r="1466" spans="1:6" hidden="1" x14ac:dyDescent="0.2">
      <c r="F1466" s="50"/>
    </row>
    <row r="1467" spans="1:6" hidden="1" x14ac:dyDescent="0.2">
      <c r="F1467" s="50"/>
    </row>
    <row r="1468" spans="1:6" hidden="1" x14ac:dyDescent="0.2">
      <c r="F1468" s="50"/>
    </row>
    <row r="1469" spans="1:6" hidden="1" x14ac:dyDescent="0.2">
      <c r="A1469" s="65"/>
      <c r="C1469" s="65"/>
    </row>
    <row r="1470" spans="1:6" hidden="1" x14ac:dyDescent="0.2">
      <c r="F1470" s="50"/>
    </row>
    <row r="1471" spans="1:6" hidden="1" x14ac:dyDescent="0.2">
      <c r="F1471" s="50"/>
    </row>
    <row r="1472" spans="1:6" hidden="1" x14ac:dyDescent="0.2">
      <c r="F1472" s="50"/>
    </row>
    <row r="1473" spans="1:8" hidden="1" x14ac:dyDescent="0.2">
      <c r="F1473" s="50"/>
    </row>
    <row r="1474" spans="1:8" ht="15" hidden="1" x14ac:dyDescent="0.25">
      <c r="A1474" s="60"/>
      <c r="C1474" s="60"/>
      <c r="H1474" s="62"/>
    </row>
    <row r="1475" spans="1:8" hidden="1" x14ac:dyDescent="0.2">
      <c r="F1475" s="50"/>
    </row>
    <row r="1476" spans="1:8" hidden="1" x14ac:dyDescent="0.2">
      <c r="F1476" s="50"/>
    </row>
    <row r="1477" spans="1:8" hidden="1" x14ac:dyDescent="0.2">
      <c r="F1477" s="50"/>
    </row>
    <row r="1479" spans="1:8" hidden="1" x14ac:dyDescent="0.2">
      <c r="F1479" s="50"/>
    </row>
    <row r="1480" spans="1:8" hidden="1" x14ac:dyDescent="0.2">
      <c r="F1480" s="50"/>
    </row>
    <row r="1481" spans="1:8" hidden="1" x14ac:dyDescent="0.2">
      <c r="F1481" s="50"/>
    </row>
    <row r="1482" spans="1:8" hidden="1" x14ac:dyDescent="0.2">
      <c r="F1482" s="50"/>
    </row>
    <row r="1483" spans="1:8" hidden="1" x14ac:dyDescent="0.2">
      <c r="F1483" s="50"/>
    </row>
    <row r="1484" spans="1:8" hidden="1" x14ac:dyDescent="0.2">
      <c r="F1484" s="50"/>
    </row>
    <row r="1485" spans="1:8" hidden="1" x14ac:dyDescent="0.2">
      <c r="F1485" s="50"/>
    </row>
    <row r="1486" spans="1:8" hidden="1" x14ac:dyDescent="0.2">
      <c r="F1486" s="50"/>
    </row>
    <row r="1487" spans="1:8" hidden="1" x14ac:dyDescent="0.2">
      <c r="F1487" s="50"/>
    </row>
    <row r="1488" spans="1:8" ht="15" hidden="1" x14ac:dyDescent="0.25">
      <c r="F1488" s="50"/>
      <c r="H1488" s="62"/>
    </row>
    <row r="1489" spans="1:6" hidden="1" x14ac:dyDescent="0.2">
      <c r="F1489" s="50"/>
    </row>
    <row r="1490" spans="1:6" hidden="1" x14ac:dyDescent="0.2">
      <c r="F1490" s="50"/>
    </row>
    <row r="1491" spans="1:6" hidden="1" x14ac:dyDescent="0.2">
      <c r="F1491" s="50"/>
    </row>
    <row r="1492" spans="1:6" hidden="1" x14ac:dyDescent="0.2">
      <c r="F1492" s="50"/>
    </row>
    <row r="1493" spans="1:6" hidden="1" x14ac:dyDescent="0.2">
      <c r="F1493" s="50"/>
    </row>
    <row r="1494" spans="1:6" hidden="1" x14ac:dyDescent="0.2">
      <c r="F1494" s="50"/>
    </row>
    <row r="1495" spans="1:6" hidden="1" x14ac:dyDescent="0.2">
      <c r="F1495" s="50"/>
    </row>
    <row r="1496" spans="1:6" hidden="1" x14ac:dyDescent="0.2">
      <c r="A1496" s="55"/>
      <c r="C1496" s="55"/>
    </row>
    <row r="1497" spans="1:6" hidden="1" x14ac:dyDescent="0.2">
      <c r="F1497" s="50"/>
    </row>
    <row r="1498" spans="1:6" hidden="1" x14ac:dyDescent="0.2">
      <c r="F1498" s="50"/>
    </row>
    <row r="1499" spans="1:6" hidden="1" x14ac:dyDescent="0.2">
      <c r="F1499" s="50"/>
    </row>
    <row r="1500" spans="1:6" hidden="1" x14ac:dyDescent="0.2">
      <c r="F1500" s="50"/>
    </row>
    <row r="1502" spans="1:6" hidden="1" x14ac:dyDescent="0.2">
      <c r="F1502" s="50"/>
    </row>
    <row r="1503" spans="1:6" hidden="1" x14ac:dyDescent="0.2">
      <c r="F1503" s="50"/>
    </row>
    <row r="1504" spans="1:6" hidden="1" x14ac:dyDescent="0.2">
      <c r="F1504" s="50"/>
    </row>
    <row r="1505" spans="6:6" hidden="1" x14ac:dyDescent="0.2">
      <c r="F1505" s="50"/>
    </row>
    <row r="1506" spans="6:6" hidden="1" x14ac:dyDescent="0.2">
      <c r="F1506" s="50"/>
    </row>
    <row r="1507" spans="6:6" hidden="1" x14ac:dyDescent="0.2">
      <c r="F1507" s="50"/>
    </row>
    <row r="1508" spans="6:6" hidden="1" x14ac:dyDescent="0.2">
      <c r="F1508" s="50"/>
    </row>
    <row r="1509" spans="6:6" hidden="1" x14ac:dyDescent="0.2">
      <c r="F1509" s="50"/>
    </row>
    <row r="1510" spans="6:6" hidden="1" x14ac:dyDescent="0.2">
      <c r="F1510" s="50"/>
    </row>
    <row r="1511" spans="6:6" hidden="1" x14ac:dyDescent="0.2">
      <c r="F1511" s="50"/>
    </row>
    <row r="1512" spans="6:6" hidden="1" x14ac:dyDescent="0.2">
      <c r="F1512" s="50"/>
    </row>
    <row r="1516" spans="6:6" hidden="1" x14ac:dyDescent="0.2">
      <c r="F1516" s="50"/>
    </row>
    <row r="1517" spans="6:6" hidden="1" x14ac:dyDescent="0.2">
      <c r="F1517" s="50"/>
    </row>
    <row r="1518" spans="6:6" hidden="1" x14ac:dyDescent="0.2">
      <c r="F1518" s="50"/>
    </row>
    <row r="1519" spans="6:6" hidden="1" x14ac:dyDescent="0.2">
      <c r="F1519" s="50"/>
    </row>
    <row r="1520" spans="6:6" hidden="1" x14ac:dyDescent="0.2">
      <c r="F1520" s="50"/>
    </row>
    <row r="1521" spans="1:6" hidden="1" x14ac:dyDescent="0.2">
      <c r="F1521" s="50"/>
    </row>
    <row r="1522" spans="1:6" hidden="1" x14ac:dyDescent="0.2">
      <c r="F1522" s="50"/>
    </row>
    <row r="1523" spans="1:6" hidden="1" x14ac:dyDescent="0.2">
      <c r="F1523" s="50"/>
    </row>
    <row r="1524" spans="1:6" hidden="1" x14ac:dyDescent="0.2">
      <c r="F1524" s="50"/>
    </row>
    <row r="1525" spans="1:6" hidden="1" x14ac:dyDescent="0.2">
      <c r="F1525" s="50"/>
    </row>
    <row r="1526" spans="1:6" hidden="1" x14ac:dyDescent="0.2">
      <c r="A1526" s="91"/>
      <c r="C1526" s="91"/>
      <c r="F1526" s="50"/>
    </row>
    <row r="1527" spans="1:6" hidden="1" x14ac:dyDescent="0.2">
      <c r="A1527" s="91"/>
      <c r="C1527" s="91"/>
      <c r="F1527" s="50"/>
    </row>
    <row r="1528" spans="1:6" hidden="1" x14ac:dyDescent="0.2">
      <c r="A1528" s="91"/>
      <c r="C1528" s="91"/>
      <c r="F1528" s="50"/>
    </row>
    <row r="1529" spans="1:6" hidden="1" x14ac:dyDescent="0.2">
      <c r="A1529" s="91"/>
      <c r="C1529" s="91"/>
      <c r="F1529" s="50"/>
    </row>
    <row r="1530" spans="1:6" hidden="1" x14ac:dyDescent="0.2">
      <c r="A1530" s="91"/>
      <c r="C1530" s="91"/>
      <c r="F1530" s="50"/>
    </row>
    <row r="1531" spans="1:6" hidden="1" x14ac:dyDescent="0.2">
      <c r="A1531" s="91"/>
      <c r="C1531" s="91"/>
      <c r="F1531" s="50"/>
    </row>
    <row r="1532" spans="1:6" hidden="1" x14ac:dyDescent="0.2">
      <c r="A1532" s="91"/>
      <c r="C1532" s="91"/>
      <c r="F1532" s="50"/>
    </row>
    <row r="1533" spans="1:6" hidden="1" x14ac:dyDescent="0.2">
      <c r="A1533" s="91"/>
      <c r="C1533" s="91"/>
      <c r="F1533" s="50"/>
    </row>
    <row r="1534" spans="1:6" hidden="1" x14ac:dyDescent="0.2">
      <c r="A1534" s="91"/>
      <c r="C1534" s="91"/>
      <c r="F1534" s="50"/>
    </row>
    <row r="1535" spans="1:6" hidden="1" x14ac:dyDescent="0.2">
      <c r="A1535" s="91"/>
      <c r="C1535" s="91"/>
      <c r="F1535" s="50"/>
    </row>
    <row r="1536" spans="1:6" hidden="1" x14ac:dyDescent="0.2">
      <c r="A1536" s="91"/>
      <c r="C1536" s="91"/>
      <c r="F1536" s="50"/>
    </row>
    <row r="1537" spans="1:6" hidden="1" x14ac:dyDescent="0.2">
      <c r="A1537" s="91"/>
      <c r="C1537" s="91"/>
      <c r="F1537" s="50"/>
    </row>
    <row r="1538" spans="1:6" hidden="1" x14ac:dyDescent="0.2">
      <c r="A1538" s="91"/>
      <c r="C1538" s="91"/>
      <c r="F1538" s="50"/>
    </row>
    <row r="1539" spans="1:6" hidden="1" x14ac:dyDescent="0.2">
      <c r="A1539" s="91"/>
      <c r="C1539" s="91"/>
      <c r="F1539" s="50"/>
    </row>
    <row r="1540" spans="1:6" hidden="1" x14ac:dyDescent="0.2">
      <c r="A1540" s="91"/>
      <c r="C1540" s="91"/>
      <c r="F1540" s="50"/>
    </row>
    <row r="1541" spans="1:6" hidden="1" x14ac:dyDescent="0.2">
      <c r="A1541" s="91"/>
      <c r="F1541" s="50"/>
    </row>
    <row r="1542" spans="1:6" hidden="1" x14ac:dyDescent="0.2">
      <c r="A1542" s="91"/>
      <c r="F1542" s="50"/>
    </row>
    <row r="1543" spans="1:6" hidden="1" x14ac:dyDescent="0.2">
      <c r="A1543" s="91"/>
      <c r="F1543" s="50"/>
    </row>
    <row r="1544" spans="1:6" hidden="1" x14ac:dyDescent="0.2">
      <c r="F1544" s="50"/>
    </row>
    <row r="1545" spans="1:6" hidden="1" x14ac:dyDescent="0.2">
      <c r="F1545" s="50"/>
    </row>
    <row r="1546" spans="1:6" hidden="1" x14ac:dyDescent="0.2">
      <c r="F1546" s="50"/>
    </row>
    <row r="1547" spans="1:6" hidden="1" x14ac:dyDescent="0.2">
      <c r="F1547" s="50"/>
    </row>
    <row r="1548" spans="1:6" hidden="1" x14ac:dyDescent="0.2">
      <c r="F1548" s="50"/>
    </row>
    <row r="1549" spans="1:6" hidden="1" x14ac:dyDescent="0.2">
      <c r="F1549" s="50"/>
    </row>
    <row r="1550" spans="1:6" hidden="1" x14ac:dyDescent="0.2">
      <c r="F1550" s="50"/>
    </row>
    <row r="1551" spans="1:6" hidden="1" x14ac:dyDescent="0.2">
      <c r="F1551" s="50"/>
    </row>
    <row r="1552" spans="1:6" hidden="1" x14ac:dyDescent="0.2">
      <c r="F1552" s="50"/>
    </row>
    <row r="1553" spans="6:6" hidden="1" x14ac:dyDescent="0.2">
      <c r="F1553" s="50"/>
    </row>
    <row r="1554" spans="6:6" hidden="1" x14ac:dyDescent="0.2">
      <c r="F1554" s="50"/>
    </row>
    <row r="1555" spans="6:6" hidden="1" x14ac:dyDescent="0.2">
      <c r="F1555" s="50"/>
    </row>
    <row r="1556" spans="6:6" hidden="1" x14ac:dyDescent="0.2">
      <c r="F1556" s="50"/>
    </row>
    <row r="1557" spans="6:6" hidden="1" x14ac:dyDescent="0.2">
      <c r="F1557" s="50"/>
    </row>
    <row r="1558" spans="6:6" hidden="1" x14ac:dyDescent="0.2">
      <c r="F1558" s="50"/>
    </row>
    <row r="1559" spans="6:6" hidden="1" x14ac:dyDescent="0.2">
      <c r="F1559" s="50"/>
    </row>
    <row r="1560" spans="6:6" hidden="1" x14ac:dyDescent="0.2">
      <c r="F1560" s="50"/>
    </row>
    <row r="1561" spans="6:6" hidden="1" x14ac:dyDescent="0.2">
      <c r="F1561" s="50"/>
    </row>
    <row r="1562" spans="6:6" hidden="1" x14ac:dyDescent="0.2">
      <c r="F1562" s="50"/>
    </row>
    <row r="1563" spans="6:6" hidden="1" x14ac:dyDescent="0.2">
      <c r="F1563" s="50"/>
    </row>
    <row r="1564" spans="6:6" hidden="1" x14ac:dyDescent="0.2">
      <c r="F1564" s="50"/>
    </row>
    <row r="1565" spans="6:6" hidden="1" x14ac:dyDescent="0.2">
      <c r="F1565" s="50"/>
    </row>
    <row r="1566" spans="6:6" hidden="1" x14ac:dyDescent="0.2">
      <c r="F1566" s="50"/>
    </row>
    <row r="1567" spans="6:6" hidden="1" x14ac:dyDescent="0.2">
      <c r="F1567" s="50"/>
    </row>
    <row r="1568" spans="6:6" hidden="1" x14ac:dyDescent="0.2">
      <c r="F1568" s="50"/>
    </row>
    <row r="1569" spans="6:6" hidden="1" x14ac:dyDescent="0.2">
      <c r="F1569" s="50"/>
    </row>
    <row r="1570" spans="6:6" hidden="1" x14ac:dyDescent="0.2">
      <c r="F1570" s="50"/>
    </row>
    <row r="1571" spans="6:6" hidden="1" x14ac:dyDescent="0.2">
      <c r="F1571" s="50"/>
    </row>
    <row r="1572" spans="6:6" hidden="1" x14ac:dyDescent="0.2">
      <c r="F1572" s="50"/>
    </row>
    <row r="1573" spans="6:6" hidden="1" x14ac:dyDescent="0.2">
      <c r="F1573" s="50"/>
    </row>
    <row r="1574" spans="6:6" hidden="1" x14ac:dyDescent="0.2">
      <c r="F1574" s="50"/>
    </row>
    <row r="1575" spans="6:6" ht="11.25" hidden="1" customHeight="1" x14ac:dyDescent="0.2">
      <c r="F1575" s="50"/>
    </row>
    <row r="1576" spans="6:6" hidden="1" x14ac:dyDescent="0.2">
      <c r="F1576" s="50"/>
    </row>
    <row r="1577" spans="6:6" hidden="1" x14ac:dyDescent="0.2">
      <c r="F1577" s="50"/>
    </row>
    <row r="1578" spans="6:6" hidden="1" x14ac:dyDescent="0.2">
      <c r="F1578" s="50"/>
    </row>
    <row r="1579" spans="6:6" hidden="1" x14ac:dyDescent="0.2">
      <c r="F1579" s="50"/>
    </row>
    <row r="1580" spans="6:6" hidden="1" x14ac:dyDescent="0.2">
      <c r="F1580" s="50"/>
    </row>
    <row r="1581" spans="6:6" hidden="1" x14ac:dyDescent="0.2">
      <c r="F1581" s="50"/>
    </row>
    <row r="1582" spans="6:6" hidden="1" x14ac:dyDescent="0.2">
      <c r="F1582" s="50"/>
    </row>
    <row r="1583" spans="6:6" hidden="1" x14ac:dyDescent="0.2">
      <c r="F1583" s="50"/>
    </row>
    <row r="1584" spans="6:6" hidden="1" x14ac:dyDescent="0.2">
      <c r="F1584" s="50"/>
    </row>
    <row r="1585" spans="6:6" hidden="1" x14ac:dyDescent="0.2">
      <c r="F1585" s="50"/>
    </row>
    <row r="1586" spans="6:6" hidden="1" x14ac:dyDescent="0.2">
      <c r="F1586" s="50"/>
    </row>
    <row r="1587" spans="6:6" hidden="1" x14ac:dyDescent="0.2">
      <c r="F1587" s="50"/>
    </row>
    <row r="1588" spans="6:6" hidden="1" x14ac:dyDescent="0.2">
      <c r="F1588" s="50"/>
    </row>
    <row r="1589" spans="6:6" hidden="1" x14ac:dyDescent="0.2">
      <c r="F1589" s="50"/>
    </row>
    <row r="1590" spans="6:6" hidden="1" x14ac:dyDescent="0.2">
      <c r="F1590" s="50"/>
    </row>
    <row r="1591" spans="6:6" hidden="1" x14ac:dyDescent="0.2">
      <c r="F1591" s="50"/>
    </row>
    <row r="1592" spans="6:6" hidden="1" x14ac:dyDescent="0.2">
      <c r="F1592" s="50"/>
    </row>
    <row r="1593" spans="6:6" hidden="1" x14ac:dyDescent="0.2">
      <c r="F1593" s="50"/>
    </row>
    <row r="1594" spans="6:6" hidden="1" x14ac:dyDescent="0.2">
      <c r="F1594" s="50"/>
    </row>
    <row r="1595" spans="6:6" hidden="1" x14ac:dyDescent="0.2">
      <c r="F1595" s="50"/>
    </row>
    <row r="1596" spans="6:6" hidden="1" x14ac:dyDescent="0.2">
      <c r="F1596" s="50"/>
    </row>
    <row r="1597" spans="6:6" hidden="1" x14ac:dyDescent="0.2">
      <c r="F1597" s="50"/>
    </row>
    <row r="1598" spans="6:6" hidden="1" x14ac:dyDescent="0.2">
      <c r="F1598" s="50"/>
    </row>
    <row r="1599" spans="6:6" hidden="1" x14ac:dyDescent="0.2">
      <c r="F1599" s="50"/>
    </row>
    <row r="1600" spans="6:6" hidden="1" x14ac:dyDescent="0.2">
      <c r="F1600" s="50"/>
    </row>
    <row r="1601" spans="6:6" hidden="1" x14ac:dyDescent="0.2">
      <c r="F1601" s="50"/>
    </row>
    <row r="1602" spans="6:6" hidden="1" x14ac:dyDescent="0.2">
      <c r="F1602" s="50"/>
    </row>
    <row r="1603" spans="6:6" hidden="1" x14ac:dyDescent="0.2">
      <c r="F1603" s="50"/>
    </row>
    <row r="1604" spans="6:6" hidden="1" x14ac:dyDescent="0.2">
      <c r="F1604" s="50"/>
    </row>
    <row r="1605" spans="6:6" hidden="1" x14ac:dyDescent="0.2">
      <c r="F1605" s="50"/>
    </row>
    <row r="1606" spans="6:6" hidden="1" x14ac:dyDescent="0.2">
      <c r="F1606" s="50"/>
    </row>
    <row r="1607" spans="6:6" hidden="1" x14ac:dyDescent="0.2">
      <c r="F1607" s="50"/>
    </row>
    <row r="1608" spans="6:6" hidden="1" x14ac:dyDescent="0.2">
      <c r="F1608" s="50"/>
    </row>
    <row r="1609" spans="6:6" hidden="1" x14ac:dyDescent="0.2">
      <c r="F1609" s="50"/>
    </row>
    <row r="1610" spans="6:6" hidden="1" x14ac:dyDescent="0.2">
      <c r="F1610" s="50"/>
    </row>
    <row r="1611" spans="6:6" hidden="1" x14ac:dyDescent="0.2">
      <c r="F1611" s="50"/>
    </row>
    <row r="1612" spans="6:6" hidden="1" x14ac:dyDescent="0.2">
      <c r="F1612" s="50"/>
    </row>
    <row r="1613" spans="6:6" hidden="1" x14ac:dyDescent="0.2">
      <c r="F1613" s="50"/>
    </row>
    <row r="1614" spans="6:6" hidden="1" x14ac:dyDescent="0.2">
      <c r="F1614" s="50"/>
    </row>
    <row r="1615" spans="6:6" hidden="1" x14ac:dyDescent="0.2">
      <c r="F1615" s="50"/>
    </row>
    <row r="1616" spans="6:6" hidden="1" x14ac:dyDescent="0.2">
      <c r="F1616" s="50"/>
    </row>
    <row r="1617" spans="6:6" hidden="1" x14ac:dyDescent="0.2">
      <c r="F1617" s="50"/>
    </row>
    <row r="1618" spans="6:6" hidden="1" x14ac:dyDescent="0.2">
      <c r="F1618" s="50"/>
    </row>
    <row r="1619" spans="6:6" hidden="1" x14ac:dyDescent="0.2">
      <c r="F1619" s="50"/>
    </row>
    <row r="1620" spans="6:6" hidden="1" x14ac:dyDescent="0.2">
      <c r="F1620" s="50"/>
    </row>
    <row r="1621" spans="6:6" hidden="1" x14ac:dyDescent="0.2">
      <c r="F1621" s="50"/>
    </row>
    <row r="1622" spans="6:6" hidden="1" x14ac:dyDescent="0.2">
      <c r="F1622" s="50"/>
    </row>
    <row r="1624" spans="6:6" hidden="1" x14ac:dyDescent="0.2">
      <c r="F1624" s="50"/>
    </row>
    <row r="1625" spans="6:6" hidden="1" x14ac:dyDescent="0.2">
      <c r="F1625" s="50"/>
    </row>
    <row r="1626" spans="6:6" hidden="1" x14ac:dyDescent="0.2">
      <c r="F1626" s="50"/>
    </row>
    <row r="1627" spans="6:6" hidden="1" x14ac:dyDescent="0.2">
      <c r="F1627" s="50"/>
    </row>
    <row r="1628" spans="6:6" hidden="1" x14ac:dyDescent="0.2">
      <c r="F1628" s="50"/>
    </row>
    <row r="1629" spans="6:6" hidden="1" x14ac:dyDescent="0.2">
      <c r="F1629" s="50"/>
    </row>
    <row r="1630" spans="6:6" hidden="1" x14ac:dyDescent="0.2">
      <c r="F1630" s="50"/>
    </row>
    <row r="1631" spans="6:6" hidden="1" x14ac:dyDescent="0.2">
      <c r="F1631" s="50"/>
    </row>
    <row r="1632" spans="6:6" hidden="1" x14ac:dyDescent="0.2">
      <c r="F1632" s="50"/>
    </row>
    <row r="1633" spans="6:6" hidden="1" x14ac:dyDescent="0.2">
      <c r="F1633" s="50"/>
    </row>
    <row r="1634" spans="6:6" hidden="1" x14ac:dyDescent="0.2">
      <c r="F1634" s="50"/>
    </row>
    <row r="1635" spans="6:6" hidden="1" x14ac:dyDescent="0.2">
      <c r="F1635" s="50"/>
    </row>
    <row r="1636" spans="6:6" hidden="1" x14ac:dyDescent="0.2">
      <c r="F1636" s="50"/>
    </row>
    <row r="1637" spans="6:6" hidden="1" x14ac:dyDescent="0.2">
      <c r="F1637" s="50"/>
    </row>
    <row r="1638" spans="6:6" hidden="1" x14ac:dyDescent="0.2">
      <c r="F1638" s="50"/>
    </row>
    <row r="1639" spans="6:6" hidden="1" x14ac:dyDescent="0.2">
      <c r="F1639" s="50"/>
    </row>
    <row r="1640" spans="6:6" hidden="1" x14ac:dyDescent="0.2">
      <c r="F1640" s="50"/>
    </row>
    <row r="1641" spans="6:6" hidden="1" x14ac:dyDescent="0.2">
      <c r="F1641" s="50"/>
    </row>
    <row r="1642" spans="6:6" hidden="1" x14ac:dyDescent="0.2">
      <c r="F1642" s="50"/>
    </row>
    <row r="1643" spans="6:6" hidden="1" x14ac:dyDescent="0.2">
      <c r="F1643" s="50"/>
    </row>
    <row r="1644" spans="6:6" hidden="1" x14ac:dyDescent="0.2">
      <c r="F1644" s="50"/>
    </row>
    <row r="1645" spans="6:6" hidden="1" x14ac:dyDescent="0.2">
      <c r="F1645" s="50"/>
    </row>
    <row r="1646" spans="6:6" hidden="1" x14ac:dyDescent="0.2">
      <c r="F1646" s="50"/>
    </row>
    <row r="1647" spans="6:6" hidden="1" x14ac:dyDescent="0.2">
      <c r="F1647" s="50"/>
    </row>
    <row r="1648" spans="6:6" hidden="1" x14ac:dyDescent="0.2">
      <c r="F1648" s="50"/>
    </row>
    <row r="1649" spans="6:6" hidden="1" x14ac:dyDescent="0.2">
      <c r="F1649" s="50"/>
    </row>
    <row r="1650" spans="6:6" hidden="1" x14ac:dyDescent="0.2">
      <c r="F1650" s="50"/>
    </row>
    <row r="1651" spans="6:6" hidden="1" x14ac:dyDescent="0.2">
      <c r="F1651" s="50"/>
    </row>
    <row r="1652" spans="6:6" hidden="1" x14ac:dyDescent="0.2">
      <c r="F1652" s="50"/>
    </row>
    <row r="1653" spans="6:6" hidden="1" x14ac:dyDescent="0.2">
      <c r="F1653" s="50"/>
    </row>
    <row r="1654" spans="6:6" hidden="1" x14ac:dyDescent="0.2">
      <c r="F1654" s="50"/>
    </row>
    <row r="1655" spans="6:6" hidden="1" x14ac:dyDescent="0.2">
      <c r="F1655" s="50"/>
    </row>
    <row r="1656" spans="6:6" hidden="1" x14ac:dyDescent="0.2">
      <c r="F1656" s="50"/>
    </row>
    <row r="1657" spans="6:6" hidden="1" x14ac:dyDescent="0.2">
      <c r="F1657" s="50"/>
    </row>
    <row r="1658" spans="6:6" hidden="1" x14ac:dyDescent="0.2">
      <c r="F1658" s="50"/>
    </row>
    <row r="1659" spans="6:6" hidden="1" x14ac:dyDescent="0.2">
      <c r="F1659" s="50"/>
    </row>
    <row r="1660" spans="6:6" hidden="1" x14ac:dyDescent="0.2">
      <c r="F1660" s="50"/>
    </row>
    <row r="1661" spans="6:6" hidden="1" x14ac:dyDescent="0.2">
      <c r="F1661" s="50"/>
    </row>
    <row r="1662" spans="6:6" hidden="1" x14ac:dyDescent="0.2">
      <c r="F1662" s="50"/>
    </row>
    <row r="1663" spans="6:6" hidden="1" x14ac:dyDescent="0.2">
      <c r="F1663" s="50"/>
    </row>
    <row r="1664" spans="6:6" hidden="1" x14ac:dyDescent="0.2">
      <c r="F1664" s="50"/>
    </row>
    <row r="1665" spans="6:6" hidden="1" x14ac:dyDescent="0.2">
      <c r="F1665" s="50"/>
    </row>
    <row r="1666" spans="6:6" hidden="1" x14ac:dyDescent="0.2">
      <c r="F1666" s="50"/>
    </row>
    <row r="1667" spans="6:6" hidden="1" x14ac:dyDescent="0.2">
      <c r="F1667" s="50"/>
    </row>
    <row r="1668" spans="6:6" hidden="1" x14ac:dyDescent="0.2">
      <c r="F1668" s="50"/>
    </row>
    <row r="1669" spans="6:6" hidden="1" x14ac:dyDescent="0.2">
      <c r="F1669" s="50"/>
    </row>
    <row r="1670" spans="6:6" hidden="1" x14ac:dyDescent="0.2">
      <c r="F1670" s="50"/>
    </row>
    <row r="1671" spans="6:6" hidden="1" x14ac:dyDescent="0.2">
      <c r="F1671" s="50"/>
    </row>
    <row r="1672" spans="6:6" hidden="1" x14ac:dyDescent="0.2">
      <c r="F1672" s="50"/>
    </row>
    <row r="1673" spans="6:6" hidden="1" x14ac:dyDescent="0.2">
      <c r="F1673" s="50"/>
    </row>
    <row r="1674" spans="6:6" hidden="1" x14ac:dyDescent="0.2">
      <c r="F1674" s="50"/>
    </row>
    <row r="1675" spans="6:6" hidden="1" x14ac:dyDescent="0.2">
      <c r="F1675" s="50"/>
    </row>
    <row r="1676" spans="6:6" hidden="1" x14ac:dyDescent="0.2">
      <c r="F1676" s="50"/>
    </row>
    <row r="1677" spans="6:6" hidden="1" x14ac:dyDescent="0.2">
      <c r="F1677" s="50"/>
    </row>
    <row r="1678" spans="6:6" hidden="1" x14ac:dyDescent="0.2">
      <c r="F1678" s="50"/>
    </row>
    <row r="1679" spans="6:6" hidden="1" x14ac:dyDescent="0.2">
      <c r="F1679" s="50"/>
    </row>
    <row r="1680" spans="6:6" hidden="1" x14ac:dyDescent="0.2">
      <c r="F1680" s="50"/>
    </row>
    <row r="1681" spans="6:6" hidden="1" x14ac:dyDescent="0.2">
      <c r="F1681" s="50"/>
    </row>
    <row r="1682" spans="6:6" hidden="1" x14ac:dyDescent="0.2">
      <c r="F1682" s="50"/>
    </row>
    <row r="1683" spans="6:6" hidden="1" x14ac:dyDescent="0.2">
      <c r="F1683" s="50"/>
    </row>
    <row r="1684" spans="6:6" hidden="1" x14ac:dyDescent="0.2">
      <c r="F1684" s="50"/>
    </row>
    <row r="1685" spans="6:6" hidden="1" x14ac:dyDescent="0.2">
      <c r="F1685" s="50"/>
    </row>
    <row r="1686" spans="6:6" hidden="1" x14ac:dyDescent="0.2">
      <c r="F1686" s="50"/>
    </row>
    <row r="1687" spans="6:6" hidden="1" x14ac:dyDescent="0.2">
      <c r="F1687" s="50"/>
    </row>
    <row r="1688" spans="6:6" hidden="1" x14ac:dyDescent="0.2">
      <c r="F1688" s="50"/>
    </row>
    <row r="1689" spans="6:6" hidden="1" x14ac:dyDescent="0.2">
      <c r="F1689" s="50"/>
    </row>
    <row r="1690" spans="6:6" hidden="1" x14ac:dyDescent="0.2">
      <c r="F1690" s="50"/>
    </row>
    <row r="1691" spans="6:6" hidden="1" x14ac:dyDescent="0.2">
      <c r="F1691" s="50"/>
    </row>
    <row r="1692" spans="6:6" hidden="1" x14ac:dyDescent="0.2">
      <c r="F1692" s="50"/>
    </row>
    <row r="1693" spans="6:6" hidden="1" x14ac:dyDescent="0.2">
      <c r="F1693" s="50"/>
    </row>
    <row r="1694" spans="6:6" hidden="1" x14ac:dyDescent="0.2">
      <c r="F1694" s="50"/>
    </row>
    <row r="1695" spans="6:6" hidden="1" x14ac:dyDescent="0.2">
      <c r="F1695" s="50"/>
    </row>
    <row r="1696" spans="6:6" hidden="1" x14ac:dyDescent="0.2">
      <c r="F1696" s="50"/>
    </row>
    <row r="1697" spans="1:8" hidden="1" x14ac:dyDescent="0.2">
      <c r="F1697" s="50"/>
    </row>
    <row r="1698" spans="1:8" hidden="1" x14ac:dyDescent="0.2">
      <c r="A1698" s="78"/>
      <c r="C1698" s="78"/>
      <c r="F1698" s="51"/>
      <c r="H1698"/>
    </row>
    <row r="1699" spans="1:8" hidden="1" x14ac:dyDescent="0.2">
      <c r="A1699" s="78"/>
      <c r="C1699" s="78"/>
      <c r="F1699" s="51"/>
      <c r="H1699"/>
    </row>
    <row r="1700" spans="1:8" hidden="1" x14ac:dyDescent="0.2">
      <c r="A1700" s="78"/>
      <c r="C1700" s="78"/>
      <c r="F1700" s="51"/>
      <c r="H1700"/>
    </row>
    <row r="1701" spans="1:8" hidden="1" x14ac:dyDescent="0.2">
      <c r="A1701" s="78"/>
      <c r="C1701" s="78"/>
      <c r="F1701" s="51"/>
      <c r="H1701"/>
    </row>
    <row r="1702" spans="1:8" hidden="1" x14ac:dyDescent="0.2">
      <c r="A1702" s="78"/>
      <c r="C1702" s="78"/>
      <c r="F1702" s="51"/>
      <c r="H1702"/>
    </row>
    <row r="1703" spans="1:8" hidden="1" x14ac:dyDescent="0.2">
      <c r="A1703" s="78"/>
      <c r="C1703" s="78"/>
      <c r="F1703" s="51"/>
      <c r="H1703"/>
    </row>
    <row r="1704" spans="1:8" hidden="1" x14ac:dyDescent="0.2">
      <c r="A1704" s="78"/>
      <c r="C1704" s="78"/>
    </row>
    <row r="1705" spans="1:8" hidden="1" x14ac:dyDescent="0.2">
      <c r="A1705" s="78"/>
      <c r="C1705" s="78"/>
    </row>
    <row r="1706" spans="1:8" hidden="1" x14ac:dyDescent="0.2">
      <c r="A1706" s="78"/>
      <c r="C1706" s="78"/>
    </row>
    <row r="1707" spans="1:8" hidden="1" x14ac:dyDescent="0.2">
      <c r="A1707" s="78"/>
      <c r="C1707" s="78"/>
    </row>
    <row r="1708" spans="1:8" hidden="1" x14ac:dyDescent="0.2">
      <c r="A1708" s="78"/>
      <c r="C1708" s="78"/>
    </row>
    <row r="1709" spans="1:8" hidden="1" x14ac:dyDescent="0.2">
      <c r="A1709" s="78"/>
      <c r="C1709" s="78"/>
    </row>
    <row r="1710" spans="1:8" hidden="1" x14ac:dyDescent="0.2">
      <c r="A1710" s="78"/>
      <c r="C1710" s="78"/>
    </row>
    <row r="1711" spans="1:8" hidden="1" x14ac:dyDescent="0.2">
      <c r="A1711" s="78"/>
      <c r="C1711" s="78"/>
    </row>
    <row r="1712" spans="1:8" hidden="1" x14ac:dyDescent="0.2">
      <c r="A1712" s="78"/>
      <c r="C1712" s="78"/>
    </row>
    <row r="1713" spans="1:3" hidden="1" x14ac:dyDescent="0.2">
      <c r="A1713" s="66"/>
      <c r="C1713" s="66"/>
    </row>
    <row r="1714" spans="1:3" hidden="1" x14ac:dyDescent="0.2">
      <c r="A1714" s="66"/>
      <c r="C1714" s="66"/>
    </row>
    <row r="1715" spans="1:3" hidden="1" x14ac:dyDescent="0.2">
      <c r="A1715" s="66"/>
      <c r="C1715" s="66"/>
    </row>
    <row r="1716" spans="1:3" hidden="1" x14ac:dyDescent="0.2">
      <c r="A1716" s="66"/>
      <c r="C1716" s="66"/>
    </row>
    <row r="1717" spans="1:3" hidden="1" x14ac:dyDescent="0.2">
      <c r="A1717" s="66"/>
      <c r="C1717" s="66"/>
    </row>
    <row r="1718" spans="1:3" hidden="1" x14ac:dyDescent="0.2">
      <c r="A1718" s="66"/>
      <c r="C1718" s="66"/>
    </row>
    <row r="1719" spans="1:3" hidden="1" x14ac:dyDescent="0.2">
      <c r="A1719" s="66"/>
      <c r="C1719" s="66"/>
    </row>
    <row r="1720" spans="1:3" hidden="1" x14ac:dyDescent="0.2">
      <c r="A1720" s="66"/>
      <c r="C1720" s="66"/>
    </row>
    <row r="1721" spans="1:3" hidden="1" x14ac:dyDescent="0.2">
      <c r="A1721" s="66"/>
      <c r="C1721" s="66"/>
    </row>
    <row r="1722" spans="1:3" hidden="1" x14ac:dyDescent="0.2">
      <c r="A1722" s="66"/>
      <c r="C1722" s="66"/>
    </row>
    <row r="1723" spans="1:3" hidden="1" x14ac:dyDescent="0.2">
      <c r="A1723" s="66"/>
      <c r="C1723" s="66"/>
    </row>
    <row r="1724" spans="1:3" hidden="1" x14ac:dyDescent="0.2">
      <c r="A1724" s="66"/>
      <c r="C1724" s="66"/>
    </row>
    <row r="1725" spans="1:3" hidden="1" x14ac:dyDescent="0.2">
      <c r="A1725" s="66"/>
      <c r="C1725" s="66"/>
    </row>
    <row r="1726" spans="1:3" hidden="1" x14ac:dyDescent="0.2">
      <c r="A1726" s="66"/>
      <c r="C1726" s="66"/>
    </row>
    <row r="1727" spans="1:3" hidden="1" x14ac:dyDescent="0.2">
      <c r="A1727" s="66"/>
      <c r="C1727" s="66"/>
    </row>
    <row r="1728" spans="1:3" hidden="1" x14ac:dyDescent="0.2">
      <c r="A1728" s="66"/>
      <c r="C1728" s="66"/>
    </row>
    <row r="1729" spans="1:3" hidden="1" x14ac:dyDescent="0.2">
      <c r="A1729" s="66"/>
      <c r="C1729" s="66"/>
    </row>
    <row r="1730" spans="1:3" hidden="1" x14ac:dyDescent="0.2">
      <c r="A1730" s="66"/>
      <c r="C1730" s="66"/>
    </row>
    <row r="1731" spans="1:3" hidden="1" x14ac:dyDescent="0.2">
      <c r="A1731" s="66"/>
      <c r="C1731" s="66"/>
    </row>
    <row r="1732" spans="1:3" hidden="1" x14ac:dyDescent="0.2">
      <c r="A1732" s="66"/>
      <c r="C1732" s="66"/>
    </row>
    <row r="1733" spans="1:3" hidden="1" x14ac:dyDescent="0.2">
      <c r="A1733" s="66"/>
      <c r="C1733" s="66"/>
    </row>
    <row r="1734" spans="1:3" hidden="1" x14ac:dyDescent="0.2">
      <c r="A1734" s="66"/>
      <c r="C1734" s="66"/>
    </row>
    <row r="1735" spans="1:3" hidden="1" x14ac:dyDescent="0.2">
      <c r="A1735" s="66"/>
      <c r="C1735" s="66"/>
    </row>
    <row r="1736" spans="1:3" hidden="1" x14ac:dyDescent="0.2">
      <c r="A1736" s="66"/>
      <c r="C1736" s="66"/>
    </row>
    <row r="1737" spans="1:3" hidden="1" x14ac:dyDescent="0.2">
      <c r="A1737" s="66"/>
      <c r="C1737" s="66"/>
    </row>
    <row r="1738" spans="1:3" hidden="1" x14ac:dyDescent="0.2">
      <c r="A1738" s="66"/>
      <c r="C1738" s="66"/>
    </row>
    <row r="1739" spans="1:3" hidden="1" x14ac:dyDescent="0.2">
      <c r="A1739" s="66"/>
      <c r="C1739" s="66"/>
    </row>
    <row r="1740" spans="1:3" hidden="1" x14ac:dyDescent="0.2">
      <c r="A1740" s="66"/>
      <c r="C1740" s="66"/>
    </row>
    <row r="1741" spans="1:3" hidden="1" x14ac:dyDescent="0.2">
      <c r="A1741" s="66"/>
      <c r="C1741" s="66"/>
    </row>
    <row r="1742" spans="1:3" hidden="1" x14ac:dyDescent="0.2">
      <c r="A1742" s="66"/>
      <c r="C1742" s="66"/>
    </row>
    <row r="1743" spans="1:3" hidden="1" x14ac:dyDescent="0.2">
      <c r="A1743" s="66"/>
      <c r="C1743" s="66"/>
    </row>
    <row r="1744" spans="1:3" hidden="1" x14ac:dyDescent="0.2">
      <c r="A1744" s="66"/>
      <c r="C1744" s="66"/>
    </row>
    <row r="1745" spans="1:3" hidden="1" x14ac:dyDescent="0.2">
      <c r="A1745" s="66"/>
      <c r="C1745" s="66"/>
    </row>
    <row r="1746" spans="1:3" hidden="1" x14ac:dyDescent="0.2">
      <c r="A1746" s="66"/>
      <c r="C1746" s="66"/>
    </row>
    <row r="1747" spans="1:3" hidden="1" x14ac:dyDescent="0.2">
      <c r="A1747" s="66"/>
      <c r="C1747" s="66"/>
    </row>
    <row r="1748" spans="1:3" hidden="1" x14ac:dyDescent="0.2">
      <c r="A1748" s="66"/>
      <c r="C1748" s="66"/>
    </row>
    <row r="1749" spans="1:3" hidden="1" x14ac:dyDescent="0.2">
      <c r="A1749" s="66"/>
      <c r="C1749" s="66"/>
    </row>
    <row r="1750" spans="1:3" hidden="1" x14ac:dyDescent="0.2">
      <c r="A1750" s="66"/>
      <c r="C1750" s="66"/>
    </row>
    <row r="1751" spans="1:3" hidden="1" x14ac:dyDescent="0.2">
      <c r="A1751" s="66"/>
      <c r="C1751" s="66"/>
    </row>
    <row r="1752" spans="1:3" hidden="1" x14ac:dyDescent="0.2">
      <c r="A1752" s="66"/>
      <c r="C1752" s="66"/>
    </row>
    <row r="1753" spans="1:3" hidden="1" x14ac:dyDescent="0.2">
      <c r="A1753" s="66"/>
      <c r="C1753" s="66"/>
    </row>
    <row r="1754" spans="1:3" hidden="1" x14ac:dyDescent="0.2">
      <c r="A1754" s="66"/>
      <c r="C1754" s="66"/>
    </row>
    <row r="1755" spans="1:3" hidden="1" x14ac:dyDescent="0.2">
      <c r="A1755" s="66"/>
      <c r="C1755" s="66"/>
    </row>
    <row r="1756" spans="1:3" hidden="1" x14ac:dyDescent="0.2">
      <c r="A1756" s="66"/>
      <c r="C1756" s="66"/>
    </row>
    <row r="1757" spans="1:3" hidden="1" x14ac:dyDescent="0.2">
      <c r="A1757" s="66"/>
      <c r="C1757" s="66"/>
    </row>
    <row r="1758" spans="1:3" hidden="1" x14ac:dyDescent="0.2">
      <c r="A1758" s="66"/>
      <c r="C1758" s="66"/>
    </row>
    <row r="1759" spans="1:3" hidden="1" x14ac:dyDescent="0.2">
      <c r="A1759" s="66"/>
      <c r="C1759" s="66"/>
    </row>
    <row r="1760" spans="1:3" hidden="1" x14ac:dyDescent="0.2">
      <c r="A1760" s="66"/>
      <c r="C1760" s="66"/>
    </row>
    <row r="1761" spans="1:6" hidden="1" x14ac:dyDescent="0.2">
      <c r="A1761" s="66"/>
      <c r="C1761" s="66"/>
      <c r="F1761" s="51"/>
    </row>
    <row r="1762" spans="1:6" hidden="1" x14ac:dyDescent="0.2">
      <c r="A1762" s="66"/>
      <c r="C1762" s="66"/>
    </row>
    <row r="1763" spans="1:6" hidden="1" x14ac:dyDescent="0.2">
      <c r="A1763" s="66"/>
      <c r="C1763" s="66"/>
    </row>
    <row r="1764" spans="1:6" hidden="1" x14ac:dyDescent="0.2">
      <c r="A1764" s="66"/>
      <c r="C1764" s="66"/>
    </row>
    <row r="1765" spans="1:6" hidden="1" x14ac:dyDescent="0.2">
      <c r="A1765" s="66"/>
      <c r="C1765" s="66"/>
    </row>
    <row r="1766" spans="1:6" hidden="1" x14ac:dyDescent="0.2">
      <c r="A1766" s="78"/>
      <c r="C1766" s="78"/>
    </row>
    <row r="1767" spans="1:6" hidden="1" x14ac:dyDescent="0.2">
      <c r="A1767" s="78"/>
      <c r="C1767" s="78"/>
    </row>
    <row r="1768" spans="1:6" hidden="1" x14ac:dyDescent="0.2">
      <c r="A1768" s="78"/>
      <c r="C1768" s="78"/>
    </row>
    <row r="1769" spans="1:6" hidden="1" x14ac:dyDescent="0.2">
      <c r="A1769" s="78"/>
      <c r="C1769" s="78"/>
    </row>
    <row r="1770" spans="1:6" hidden="1" x14ac:dyDescent="0.2">
      <c r="A1770" s="78"/>
      <c r="C1770" s="78"/>
    </row>
    <row r="1771" spans="1:6" hidden="1" x14ac:dyDescent="0.2">
      <c r="A1771" s="78"/>
      <c r="C1771" s="78"/>
    </row>
    <row r="1772" spans="1:6" hidden="1" x14ac:dyDescent="0.2">
      <c r="A1772" s="78"/>
      <c r="C1772" s="78"/>
    </row>
    <row r="1773" spans="1:6" hidden="1" x14ac:dyDescent="0.2">
      <c r="A1773" s="78"/>
      <c r="C1773" s="78"/>
    </row>
    <row r="1774" spans="1:6" hidden="1" x14ac:dyDescent="0.2">
      <c r="A1774" s="78"/>
      <c r="C1774" s="78"/>
    </row>
    <row r="1775" spans="1:6" hidden="1" x14ac:dyDescent="0.2">
      <c r="A1775" s="78"/>
      <c r="C1775" s="78"/>
    </row>
    <row r="1776" spans="1:6" hidden="1" x14ac:dyDescent="0.2">
      <c r="A1776" s="78"/>
      <c r="C1776" s="78"/>
    </row>
    <row r="1777" spans="1:6" hidden="1" x14ac:dyDescent="0.2">
      <c r="A1777" s="78"/>
      <c r="C1777" s="78"/>
    </row>
    <row r="1778" spans="1:6" hidden="1" x14ac:dyDescent="0.2">
      <c r="A1778" s="78"/>
      <c r="C1778" s="78"/>
    </row>
    <row r="1779" spans="1:6" hidden="1" x14ac:dyDescent="0.2">
      <c r="A1779" s="78"/>
      <c r="C1779" s="78"/>
    </row>
    <row r="1780" spans="1:6" hidden="1" x14ac:dyDescent="0.2">
      <c r="A1780" s="78"/>
      <c r="C1780" s="78"/>
    </row>
    <row r="1781" spans="1:6" hidden="1" x14ac:dyDescent="0.2">
      <c r="A1781" s="78"/>
      <c r="C1781" s="78"/>
    </row>
    <row r="1782" spans="1:6" hidden="1" x14ac:dyDescent="0.2">
      <c r="A1782" s="78"/>
      <c r="C1782" s="78"/>
    </row>
    <row r="1783" spans="1:6" hidden="1" x14ac:dyDescent="0.2">
      <c r="A1783" s="78"/>
      <c r="C1783" s="78"/>
    </row>
    <row r="1784" spans="1:6" hidden="1" x14ac:dyDescent="0.2">
      <c r="A1784" s="78"/>
      <c r="C1784" s="78"/>
    </row>
    <row r="1785" spans="1:6" hidden="1" x14ac:dyDescent="0.2">
      <c r="A1785" s="78"/>
      <c r="C1785" s="78"/>
    </row>
    <row r="1786" spans="1:6" hidden="1" x14ac:dyDescent="0.2">
      <c r="A1786" s="78"/>
      <c r="C1786" s="78"/>
    </row>
    <row r="1787" spans="1:6" hidden="1" x14ac:dyDescent="0.2">
      <c r="A1787" s="78"/>
      <c r="C1787" s="78"/>
    </row>
    <row r="1788" spans="1:6" hidden="1" x14ac:dyDescent="0.2">
      <c r="A1788" s="78"/>
      <c r="C1788" s="78"/>
    </row>
    <row r="1791" spans="1:6" hidden="1" x14ac:dyDescent="0.2">
      <c r="F1791" s="50"/>
    </row>
    <row r="1792" spans="1:6" hidden="1" x14ac:dyDescent="0.2">
      <c r="F1792" s="50"/>
    </row>
    <row r="1793" spans="1:6" hidden="1" x14ac:dyDescent="0.2">
      <c r="F1793" s="50"/>
    </row>
    <row r="1794" spans="1:6" hidden="1" x14ac:dyDescent="0.2">
      <c r="F1794" s="50"/>
    </row>
    <row r="1795" spans="1:6" hidden="1" x14ac:dyDescent="0.2">
      <c r="F1795" s="50"/>
    </row>
    <row r="1796" spans="1:6" hidden="1" x14ac:dyDescent="0.2">
      <c r="F1796" s="50"/>
    </row>
    <row r="1797" spans="1:6" hidden="1" x14ac:dyDescent="0.2">
      <c r="F1797" s="50"/>
    </row>
    <row r="1798" spans="1:6" hidden="1" x14ac:dyDescent="0.2">
      <c r="A1798" s="66"/>
      <c r="C1798" s="66"/>
    </row>
    <row r="1799" spans="1:6" hidden="1" x14ac:dyDescent="0.2">
      <c r="A1799" s="66"/>
      <c r="C1799" s="66"/>
    </row>
    <row r="1800" spans="1:6" hidden="1" x14ac:dyDescent="0.2">
      <c r="F1800" s="50"/>
    </row>
    <row r="1801" spans="1:6" hidden="1" x14ac:dyDescent="0.2">
      <c r="F1801" s="50"/>
    </row>
    <row r="1802" spans="1:6" hidden="1" x14ac:dyDescent="0.2">
      <c r="F1802" s="50"/>
    </row>
    <row r="1803" spans="1:6" hidden="1" x14ac:dyDescent="0.2">
      <c r="F1803" s="50"/>
    </row>
    <row r="1804" spans="1:6" hidden="1" x14ac:dyDescent="0.2">
      <c r="F1804" s="50"/>
    </row>
    <row r="1805" spans="1:6" hidden="1" x14ac:dyDescent="0.2">
      <c r="F1805" s="50"/>
    </row>
    <row r="1806" spans="1:6" hidden="1" x14ac:dyDescent="0.2">
      <c r="F1806" s="50"/>
    </row>
    <row r="1807" spans="1:6" hidden="1" x14ac:dyDescent="0.2">
      <c r="F1807" s="50"/>
    </row>
    <row r="1808" spans="1:6" hidden="1" x14ac:dyDescent="0.2">
      <c r="F1808" s="50"/>
    </row>
    <row r="1809" spans="6:8" hidden="1" x14ac:dyDescent="0.2">
      <c r="F1809" s="50"/>
    </row>
    <row r="1810" spans="6:8" hidden="1" x14ac:dyDescent="0.2">
      <c r="F1810" s="50"/>
    </row>
    <row r="1811" spans="6:8" hidden="1" x14ac:dyDescent="0.2">
      <c r="F1811" s="50"/>
    </row>
    <row r="1812" spans="6:8" hidden="1" x14ac:dyDescent="0.2">
      <c r="F1812" s="50"/>
    </row>
    <row r="1813" spans="6:8" hidden="1" x14ac:dyDescent="0.2">
      <c r="F1813" s="50"/>
    </row>
    <row r="1814" spans="6:8" hidden="1" x14ac:dyDescent="0.2">
      <c r="F1814" s="50"/>
    </row>
    <row r="1815" spans="6:8" hidden="1" x14ac:dyDescent="0.2">
      <c r="F1815" s="50"/>
    </row>
    <row r="1816" spans="6:8" hidden="1" x14ac:dyDescent="0.2">
      <c r="F1816" s="50"/>
    </row>
    <row r="1817" spans="6:8" hidden="1" x14ac:dyDescent="0.2">
      <c r="F1817" s="50"/>
    </row>
    <row r="1818" spans="6:8" hidden="1" x14ac:dyDescent="0.2">
      <c r="F1818" s="50"/>
    </row>
    <row r="1819" spans="6:8" hidden="1" x14ac:dyDescent="0.2">
      <c r="F1819" s="50"/>
      <c r="H1819"/>
    </row>
    <row r="1820" spans="6:8" hidden="1" x14ac:dyDescent="0.2">
      <c r="F1820" s="50"/>
    </row>
    <row r="1821" spans="6:8" hidden="1" x14ac:dyDescent="0.2">
      <c r="F1821" s="50"/>
    </row>
    <row r="1822" spans="6:8" hidden="1" x14ac:dyDescent="0.2">
      <c r="F1822" s="50"/>
    </row>
    <row r="1823" spans="6:8" hidden="1" x14ac:dyDescent="0.2">
      <c r="F1823" s="50"/>
    </row>
    <row r="1824" spans="6:8" hidden="1" x14ac:dyDescent="0.2">
      <c r="F1824" s="50"/>
    </row>
    <row r="1825" spans="6:6" hidden="1" x14ac:dyDescent="0.2">
      <c r="F1825" s="50"/>
    </row>
    <row r="1826" spans="6:6" hidden="1" x14ac:dyDescent="0.2">
      <c r="F1826" s="50"/>
    </row>
    <row r="1827" spans="6:6" hidden="1" x14ac:dyDescent="0.2">
      <c r="F1827" s="50"/>
    </row>
    <row r="1828" spans="6:6" hidden="1" x14ac:dyDescent="0.2">
      <c r="F1828" s="50"/>
    </row>
    <row r="1829" spans="6:6" hidden="1" x14ac:dyDescent="0.2">
      <c r="F1829" s="50"/>
    </row>
    <row r="1830" spans="6:6" hidden="1" x14ac:dyDescent="0.2">
      <c r="F1830" s="50"/>
    </row>
    <row r="1831" spans="6:6" hidden="1" x14ac:dyDescent="0.2">
      <c r="F1831" s="50"/>
    </row>
    <row r="1832" spans="6:6" hidden="1" x14ac:dyDescent="0.2">
      <c r="F1832" s="50"/>
    </row>
    <row r="1833" spans="6:6" hidden="1" x14ac:dyDescent="0.2">
      <c r="F1833" s="50"/>
    </row>
    <row r="1834" spans="6:6" hidden="1" x14ac:dyDescent="0.2">
      <c r="F1834" s="50"/>
    </row>
    <row r="1835" spans="6:6" hidden="1" x14ac:dyDescent="0.2">
      <c r="F1835" s="50"/>
    </row>
    <row r="1838" spans="6:6" hidden="1" x14ac:dyDescent="0.2">
      <c r="F1838" s="50"/>
    </row>
    <row r="1839" spans="6:6" hidden="1" x14ac:dyDescent="0.2">
      <c r="F1839" s="50"/>
    </row>
    <row r="1840" spans="6:6" hidden="1" x14ac:dyDescent="0.2">
      <c r="F1840" s="50"/>
    </row>
    <row r="1841" spans="6:6" hidden="1" x14ac:dyDescent="0.2">
      <c r="F1841" s="50"/>
    </row>
    <row r="1842" spans="6:6" hidden="1" x14ac:dyDescent="0.2">
      <c r="F1842" s="50"/>
    </row>
    <row r="1843" spans="6:6" hidden="1" x14ac:dyDescent="0.2">
      <c r="F1843" s="50"/>
    </row>
    <row r="1844" spans="6:6" hidden="1" x14ac:dyDescent="0.2">
      <c r="F1844" s="50"/>
    </row>
    <row r="1845" spans="6:6" hidden="1" x14ac:dyDescent="0.2">
      <c r="F1845" s="50"/>
    </row>
    <row r="1846" spans="6:6" hidden="1" x14ac:dyDescent="0.2">
      <c r="F1846" s="50"/>
    </row>
    <row r="1847" spans="6:6" hidden="1" x14ac:dyDescent="0.2">
      <c r="F1847" s="50"/>
    </row>
    <row r="1848" spans="6:6" hidden="1" x14ac:dyDescent="0.2">
      <c r="F1848" s="50"/>
    </row>
    <row r="1849" spans="6:6" hidden="1" x14ac:dyDescent="0.2">
      <c r="F1849" s="50"/>
    </row>
    <row r="1850" spans="6:6" hidden="1" x14ac:dyDescent="0.2">
      <c r="F1850" s="50"/>
    </row>
    <row r="1851" spans="6:6" hidden="1" x14ac:dyDescent="0.2">
      <c r="F1851" s="50"/>
    </row>
    <row r="1852" spans="6:6" hidden="1" x14ac:dyDescent="0.2">
      <c r="F1852" s="50"/>
    </row>
    <row r="1853" spans="6:6" hidden="1" x14ac:dyDescent="0.2">
      <c r="F1853" s="50"/>
    </row>
    <row r="1854" spans="6:6" hidden="1" x14ac:dyDescent="0.2">
      <c r="F1854" s="50"/>
    </row>
    <row r="1855" spans="6:6" hidden="1" x14ac:dyDescent="0.2">
      <c r="F1855" s="50"/>
    </row>
    <row r="1856" spans="6:6" hidden="1" x14ac:dyDescent="0.2">
      <c r="F1856" s="50"/>
    </row>
    <row r="1857" spans="6:6" hidden="1" x14ac:dyDescent="0.2">
      <c r="F1857" s="50"/>
    </row>
    <row r="1858" spans="6:6" hidden="1" x14ac:dyDescent="0.2">
      <c r="F1858" s="50"/>
    </row>
    <row r="1859" spans="6:6" hidden="1" x14ac:dyDescent="0.2">
      <c r="F1859" s="50"/>
    </row>
    <row r="1860" spans="6:6" hidden="1" x14ac:dyDescent="0.2">
      <c r="F1860" s="50"/>
    </row>
    <row r="1861" spans="6:6" hidden="1" x14ac:dyDescent="0.2">
      <c r="F1861" s="50"/>
    </row>
    <row r="1862" spans="6:6" hidden="1" x14ac:dyDescent="0.2">
      <c r="F1862" s="50"/>
    </row>
    <row r="1863" spans="6:6" hidden="1" x14ac:dyDescent="0.2">
      <c r="F1863" s="50"/>
    </row>
    <row r="1864" spans="6:6" hidden="1" x14ac:dyDescent="0.2">
      <c r="F1864" s="50"/>
    </row>
    <row r="1865" spans="6:6" hidden="1" x14ac:dyDescent="0.2">
      <c r="F1865" s="50"/>
    </row>
    <row r="1866" spans="6:6" hidden="1" x14ac:dyDescent="0.2">
      <c r="F1866" s="50"/>
    </row>
    <row r="1867" spans="6:6" hidden="1" x14ac:dyDescent="0.2">
      <c r="F1867" s="50"/>
    </row>
    <row r="1868" spans="6:6" hidden="1" x14ac:dyDescent="0.2">
      <c r="F1868" s="50"/>
    </row>
    <row r="1869" spans="6:6" hidden="1" x14ac:dyDescent="0.2">
      <c r="F1869" s="50"/>
    </row>
    <row r="1870" spans="6:6" hidden="1" x14ac:dyDescent="0.2">
      <c r="F1870" s="50"/>
    </row>
    <row r="1871" spans="6:6" hidden="1" x14ac:dyDescent="0.2">
      <c r="F1871" s="50"/>
    </row>
    <row r="1872" spans="6:6" hidden="1" x14ac:dyDescent="0.2">
      <c r="F1872" s="50"/>
    </row>
    <row r="1873" spans="6:6" hidden="1" x14ac:dyDescent="0.2">
      <c r="F1873" s="50"/>
    </row>
    <row r="1874" spans="6:6" hidden="1" x14ac:dyDescent="0.2">
      <c r="F1874" s="50"/>
    </row>
    <row r="1875" spans="6:6" hidden="1" x14ac:dyDescent="0.2">
      <c r="F1875" s="50"/>
    </row>
    <row r="1876" spans="6:6" hidden="1" x14ac:dyDescent="0.2">
      <c r="F1876" s="50"/>
    </row>
    <row r="1877" spans="6:6" hidden="1" x14ac:dyDescent="0.2">
      <c r="F1877" s="50"/>
    </row>
    <row r="1878" spans="6:6" hidden="1" x14ac:dyDescent="0.2">
      <c r="F1878" s="50"/>
    </row>
    <row r="1879" spans="6:6" hidden="1" x14ac:dyDescent="0.2">
      <c r="F1879" s="50"/>
    </row>
    <row r="1880" spans="6:6" hidden="1" x14ac:dyDescent="0.2">
      <c r="F1880" s="50"/>
    </row>
    <row r="1881" spans="6:6" hidden="1" x14ac:dyDescent="0.2">
      <c r="F1881" s="50"/>
    </row>
    <row r="1882" spans="6:6" hidden="1" x14ac:dyDescent="0.2">
      <c r="F1882" s="50"/>
    </row>
    <row r="1883" spans="6:6" hidden="1" x14ac:dyDescent="0.2">
      <c r="F1883" s="50"/>
    </row>
    <row r="1884" spans="6:6" hidden="1" x14ac:dyDescent="0.2">
      <c r="F1884" s="50"/>
    </row>
    <row r="1885" spans="6:6" hidden="1" x14ac:dyDescent="0.2">
      <c r="F1885" s="50"/>
    </row>
    <row r="1886" spans="6:6" hidden="1" x14ac:dyDescent="0.2">
      <c r="F1886" s="50"/>
    </row>
    <row r="1887" spans="6:6" hidden="1" x14ac:dyDescent="0.2">
      <c r="F1887" s="50"/>
    </row>
    <row r="1888" spans="6:6" hidden="1" x14ac:dyDescent="0.2">
      <c r="F1888" s="50"/>
    </row>
    <row r="1889" spans="6:6" hidden="1" x14ac:dyDescent="0.2">
      <c r="F1889" s="50"/>
    </row>
    <row r="1890" spans="6:6" hidden="1" x14ac:dyDescent="0.2">
      <c r="F1890" s="50"/>
    </row>
    <row r="1891" spans="6:6" hidden="1" x14ac:dyDescent="0.2">
      <c r="F1891" s="50"/>
    </row>
    <row r="1892" spans="6:6" hidden="1" x14ac:dyDescent="0.2">
      <c r="F1892" s="50"/>
    </row>
    <row r="1893" spans="6:6" hidden="1" x14ac:dyDescent="0.2">
      <c r="F1893" s="50"/>
    </row>
    <row r="1894" spans="6:6" hidden="1" x14ac:dyDescent="0.2">
      <c r="F1894" s="50"/>
    </row>
    <row r="1895" spans="6:6" hidden="1" x14ac:dyDescent="0.2">
      <c r="F1895" s="50"/>
    </row>
    <row r="1896" spans="6:6" hidden="1" x14ac:dyDescent="0.2">
      <c r="F1896" s="50"/>
    </row>
    <row r="1897" spans="6:6" hidden="1" x14ac:dyDescent="0.2">
      <c r="F1897" s="50"/>
    </row>
    <row r="1898" spans="6:6" hidden="1" x14ac:dyDescent="0.2">
      <c r="F1898" s="50"/>
    </row>
    <row r="1899" spans="6:6" hidden="1" x14ac:dyDescent="0.2">
      <c r="F1899" s="50"/>
    </row>
    <row r="1900" spans="6:6" hidden="1" x14ac:dyDescent="0.2">
      <c r="F1900" s="50"/>
    </row>
    <row r="1901" spans="6:6" hidden="1" x14ac:dyDescent="0.2">
      <c r="F1901" s="50"/>
    </row>
    <row r="1902" spans="6:6" hidden="1" x14ac:dyDescent="0.2">
      <c r="F1902" s="50"/>
    </row>
    <row r="1903" spans="6:6" hidden="1" x14ac:dyDescent="0.2">
      <c r="F1903" s="50"/>
    </row>
    <row r="1904" spans="6:6" hidden="1" x14ac:dyDescent="0.2">
      <c r="F1904" s="50"/>
    </row>
    <row r="1905" spans="6:6" hidden="1" x14ac:dyDescent="0.2">
      <c r="F1905" s="50"/>
    </row>
    <row r="1906" spans="6:6" hidden="1" x14ac:dyDescent="0.2">
      <c r="F1906" s="50"/>
    </row>
    <row r="1907" spans="6:6" hidden="1" x14ac:dyDescent="0.2">
      <c r="F1907" s="50"/>
    </row>
    <row r="1908" spans="6:6" hidden="1" x14ac:dyDescent="0.2">
      <c r="F1908" s="50"/>
    </row>
    <row r="1909" spans="6:6" hidden="1" x14ac:dyDescent="0.2">
      <c r="F1909" s="50"/>
    </row>
    <row r="1910" spans="6:6" hidden="1" x14ac:dyDescent="0.2">
      <c r="F1910" s="50"/>
    </row>
    <row r="1911" spans="6:6" hidden="1" x14ac:dyDescent="0.2">
      <c r="F1911" s="50"/>
    </row>
    <row r="1912" spans="6:6" hidden="1" x14ac:dyDescent="0.2">
      <c r="F1912" s="50"/>
    </row>
    <row r="1913" spans="6:6" hidden="1" x14ac:dyDescent="0.2">
      <c r="F1913" s="50"/>
    </row>
    <row r="1914" spans="6:6" hidden="1" x14ac:dyDescent="0.2">
      <c r="F1914" s="50"/>
    </row>
    <row r="1915" spans="6:6" hidden="1" x14ac:dyDescent="0.2">
      <c r="F1915" s="50"/>
    </row>
    <row r="1916" spans="6:6" hidden="1" x14ac:dyDescent="0.2">
      <c r="F1916" s="50"/>
    </row>
    <row r="1917" spans="6:6" hidden="1" x14ac:dyDescent="0.2">
      <c r="F1917" s="50"/>
    </row>
    <row r="1918" spans="6:6" hidden="1" x14ac:dyDescent="0.2">
      <c r="F1918" s="50"/>
    </row>
    <row r="1919" spans="6:6" hidden="1" x14ac:dyDescent="0.2">
      <c r="F1919" s="50"/>
    </row>
    <row r="1920" spans="6:6" hidden="1" x14ac:dyDescent="0.2">
      <c r="F1920" s="50"/>
    </row>
    <row r="1921" spans="6:8" hidden="1" x14ac:dyDescent="0.2">
      <c r="F1921" s="50"/>
    </row>
    <row r="1922" spans="6:8" hidden="1" x14ac:dyDescent="0.2">
      <c r="F1922" s="50"/>
    </row>
    <row r="1923" spans="6:8" hidden="1" x14ac:dyDescent="0.2">
      <c r="F1923" s="50"/>
    </row>
    <row r="1924" spans="6:8" hidden="1" x14ac:dyDescent="0.2">
      <c r="F1924" s="50"/>
    </row>
    <row r="1925" spans="6:8" hidden="1" x14ac:dyDescent="0.2">
      <c r="F1925" s="50"/>
    </row>
    <row r="1926" spans="6:8" hidden="1" x14ac:dyDescent="0.2">
      <c r="F1926" s="50"/>
    </row>
    <row r="1927" spans="6:8" hidden="1" x14ac:dyDescent="0.2">
      <c r="F1927" s="50"/>
    </row>
    <row r="1928" spans="6:8" hidden="1" x14ac:dyDescent="0.2">
      <c r="F1928" s="50"/>
    </row>
    <row r="1929" spans="6:8" hidden="1" x14ac:dyDescent="0.2">
      <c r="F1929" s="50"/>
    </row>
    <row r="1930" spans="6:8" hidden="1" x14ac:dyDescent="0.2">
      <c r="F1930" s="50"/>
    </row>
    <row r="1931" spans="6:8" hidden="1" x14ac:dyDescent="0.2">
      <c r="F1931" s="50"/>
    </row>
    <row r="1932" spans="6:8" hidden="1" x14ac:dyDescent="0.2">
      <c r="F1932" s="50"/>
    </row>
    <row r="1933" spans="6:8" ht="15" hidden="1" x14ac:dyDescent="0.25">
      <c r="F1933" s="50"/>
      <c r="H1933" s="62"/>
    </row>
    <row r="1934" spans="6:8" hidden="1" x14ac:dyDescent="0.2">
      <c r="F1934" s="50"/>
    </row>
    <row r="1935" spans="6:8" hidden="1" x14ac:dyDescent="0.2">
      <c r="F1935" s="50"/>
    </row>
    <row r="1936" spans="6:8" hidden="1" x14ac:dyDescent="0.2">
      <c r="F1936" s="50"/>
    </row>
    <row r="1937" spans="6:8" hidden="1" x14ac:dyDescent="0.2">
      <c r="F1937" s="50"/>
    </row>
    <row r="1938" spans="6:8" hidden="1" x14ac:dyDescent="0.2">
      <c r="F1938" s="50"/>
    </row>
    <row r="1939" spans="6:8" hidden="1" x14ac:dyDescent="0.2">
      <c r="F1939" s="50"/>
    </row>
    <row r="1940" spans="6:8" hidden="1" x14ac:dyDescent="0.2">
      <c r="F1940" s="50"/>
    </row>
    <row r="1941" spans="6:8" hidden="1" x14ac:dyDescent="0.2">
      <c r="F1941" s="50"/>
    </row>
    <row r="1942" spans="6:8" hidden="1" x14ac:dyDescent="0.2">
      <c r="F1942" s="50"/>
    </row>
    <row r="1943" spans="6:8" hidden="1" x14ac:dyDescent="0.2">
      <c r="F1943" s="50"/>
    </row>
    <row r="1944" spans="6:8" hidden="1" x14ac:dyDescent="0.2">
      <c r="F1944" s="50"/>
    </row>
    <row r="1945" spans="6:8" hidden="1" x14ac:dyDescent="0.2">
      <c r="F1945" s="50"/>
    </row>
    <row r="1946" spans="6:8" hidden="1" x14ac:dyDescent="0.2">
      <c r="F1946" s="50"/>
    </row>
    <row r="1947" spans="6:8" hidden="1" x14ac:dyDescent="0.2">
      <c r="F1947" s="50"/>
    </row>
    <row r="1948" spans="6:8" hidden="1" x14ac:dyDescent="0.2">
      <c r="F1948" s="50"/>
    </row>
    <row r="1949" spans="6:8" hidden="1" x14ac:dyDescent="0.2">
      <c r="F1949" s="50"/>
    </row>
    <row r="1950" spans="6:8" ht="15" hidden="1" x14ac:dyDescent="0.25">
      <c r="F1950" s="50"/>
      <c r="H1950" s="69"/>
    </row>
    <row r="1951" spans="6:8" hidden="1" x14ac:dyDescent="0.2">
      <c r="F1951" s="50"/>
    </row>
    <row r="1952" spans="6:8" hidden="1" x14ac:dyDescent="0.2">
      <c r="F1952" s="50"/>
    </row>
    <row r="1953" spans="1:6" hidden="1" x14ac:dyDescent="0.2">
      <c r="F1953" s="50"/>
    </row>
    <row r="1954" spans="1:6" hidden="1" x14ac:dyDescent="0.2">
      <c r="F1954" s="50"/>
    </row>
    <row r="1955" spans="1:6" hidden="1" x14ac:dyDescent="0.2">
      <c r="F1955" s="50"/>
    </row>
    <row r="1956" spans="1:6" hidden="1" x14ac:dyDescent="0.2">
      <c r="F1956" s="50"/>
    </row>
    <row r="1957" spans="1:6" hidden="1" x14ac:dyDescent="0.2">
      <c r="F1957" s="50"/>
    </row>
    <row r="1958" spans="1:6" hidden="1" x14ac:dyDescent="0.2">
      <c r="F1958" s="50"/>
    </row>
    <row r="1959" spans="1:6" hidden="1" x14ac:dyDescent="0.2">
      <c r="F1959" s="50"/>
    </row>
    <row r="1960" spans="1:6" hidden="1" x14ac:dyDescent="0.2">
      <c r="F1960" s="50"/>
    </row>
    <row r="1961" spans="1:6" hidden="1" x14ac:dyDescent="0.2">
      <c r="F1961" s="50"/>
    </row>
    <row r="1962" spans="1:6" hidden="1" x14ac:dyDescent="0.2">
      <c r="F1962" s="50"/>
    </row>
    <row r="1963" spans="1:6" hidden="1" x14ac:dyDescent="0.2">
      <c r="F1963" s="50"/>
    </row>
    <row r="1964" spans="1:6" hidden="1" x14ac:dyDescent="0.2">
      <c r="F1964" s="50"/>
    </row>
    <row r="1965" spans="1:6" hidden="1" x14ac:dyDescent="0.2">
      <c r="A1965" s="55"/>
      <c r="C1965" s="55"/>
    </row>
    <row r="1966" spans="1:6" hidden="1" x14ac:dyDescent="0.2">
      <c r="F1966" s="50"/>
    </row>
    <row r="1967" spans="1:6" hidden="1" x14ac:dyDescent="0.2">
      <c r="F1967" s="50"/>
    </row>
    <row r="1968" spans="1:6" hidden="1" x14ac:dyDescent="0.2">
      <c r="F1968" s="50"/>
    </row>
    <row r="1969" spans="6:8" hidden="1" x14ac:dyDescent="0.2">
      <c r="F1969" s="50"/>
    </row>
    <row r="1970" spans="6:8" hidden="1" x14ac:dyDescent="0.2">
      <c r="F1970" s="50"/>
      <c r="H1970"/>
    </row>
    <row r="1971" spans="6:8" hidden="1" x14ac:dyDescent="0.2">
      <c r="F1971" s="50"/>
    </row>
    <row r="1972" spans="6:8" hidden="1" x14ac:dyDescent="0.2">
      <c r="F1972" s="50"/>
    </row>
    <row r="1973" spans="6:8" hidden="1" x14ac:dyDescent="0.2">
      <c r="F1973" s="50"/>
    </row>
    <row r="1974" spans="6:8" hidden="1" x14ac:dyDescent="0.2">
      <c r="F1974" s="50"/>
    </row>
    <row r="1975" spans="6:8" hidden="1" x14ac:dyDescent="0.2">
      <c r="F1975" s="50"/>
    </row>
    <row r="1976" spans="6:8" hidden="1" x14ac:dyDescent="0.2">
      <c r="F1976" s="50"/>
    </row>
    <row r="1977" spans="6:8" hidden="1" x14ac:dyDescent="0.2">
      <c r="F1977" s="50"/>
    </row>
    <row r="1978" spans="6:8" hidden="1" x14ac:dyDescent="0.2">
      <c r="F1978" s="50"/>
    </row>
    <row r="1979" spans="6:8" hidden="1" x14ac:dyDescent="0.2">
      <c r="F1979" s="50"/>
    </row>
    <row r="1980" spans="6:8" hidden="1" x14ac:dyDescent="0.2">
      <c r="F1980" s="50"/>
    </row>
    <row r="1981" spans="6:8" hidden="1" x14ac:dyDescent="0.2">
      <c r="F1981" s="50"/>
    </row>
    <row r="1982" spans="6:8" hidden="1" x14ac:dyDescent="0.2">
      <c r="F1982" s="50"/>
    </row>
    <row r="1983" spans="6:8" hidden="1" x14ac:dyDescent="0.2">
      <c r="F1983" s="50"/>
    </row>
    <row r="1984" spans="6:8" hidden="1" x14ac:dyDescent="0.2">
      <c r="F1984" s="50"/>
    </row>
    <row r="1985" spans="6:9" hidden="1" x14ac:dyDescent="0.2">
      <c r="I1985" s="97"/>
    </row>
    <row r="1989" spans="6:9" hidden="1" x14ac:dyDescent="0.2">
      <c r="F1989" s="50"/>
    </row>
    <row r="2002" spans="6:6" hidden="1" x14ac:dyDescent="0.2">
      <c r="F2002" s="50"/>
    </row>
    <row r="2003" spans="6:6" hidden="1" x14ac:dyDescent="0.2">
      <c r="F2003" s="50"/>
    </row>
    <row r="2004" spans="6:6" hidden="1" x14ac:dyDescent="0.2">
      <c r="F2004" s="50"/>
    </row>
    <row r="2005" spans="6:6" hidden="1" x14ac:dyDescent="0.2">
      <c r="F2005" s="50"/>
    </row>
    <row r="2006" spans="6:6" hidden="1" x14ac:dyDescent="0.2">
      <c r="F2006" s="50"/>
    </row>
    <row r="2007" spans="6:6" hidden="1" x14ac:dyDescent="0.2">
      <c r="F2007" s="50"/>
    </row>
    <row r="2008" spans="6:6" hidden="1" x14ac:dyDescent="0.2">
      <c r="F2008" s="50"/>
    </row>
    <row r="2009" spans="6:6" hidden="1" x14ac:dyDescent="0.2">
      <c r="F2009" s="50"/>
    </row>
    <row r="2010" spans="6:6" hidden="1" x14ac:dyDescent="0.2">
      <c r="F2010" s="50"/>
    </row>
    <row r="2011" spans="6:6" hidden="1" x14ac:dyDescent="0.2">
      <c r="F2011" s="50"/>
    </row>
    <row r="2012" spans="6:6" hidden="1" x14ac:dyDescent="0.2">
      <c r="F2012" s="50"/>
    </row>
    <row r="2013" spans="6:6" hidden="1" x14ac:dyDescent="0.2">
      <c r="F2013" s="50"/>
    </row>
    <row r="2014" spans="6:6" hidden="1" x14ac:dyDescent="0.2">
      <c r="F2014" s="50"/>
    </row>
    <row r="2015" spans="6:6" hidden="1" x14ac:dyDescent="0.2">
      <c r="F2015" s="50"/>
    </row>
    <row r="2016" spans="6:6" hidden="1" x14ac:dyDescent="0.2">
      <c r="F2016" s="50"/>
    </row>
    <row r="2017" spans="6:6" hidden="1" x14ac:dyDescent="0.2">
      <c r="F2017" s="50"/>
    </row>
    <row r="2018" spans="6:6" hidden="1" x14ac:dyDescent="0.2">
      <c r="F2018" s="50"/>
    </row>
    <row r="2022" spans="6:6" hidden="1" x14ac:dyDescent="0.2">
      <c r="F2022" s="50"/>
    </row>
    <row r="2023" spans="6:6" hidden="1" x14ac:dyDescent="0.2">
      <c r="F2023" s="50"/>
    </row>
    <row r="2024" spans="6:6" hidden="1" x14ac:dyDescent="0.2">
      <c r="F2024" s="50"/>
    </row>
    <row r="2025" spans="6:6" hidden="1" x14ac:dyDescent="0.2">
      <c r="F2025" s="50"/>
    </row>
    <row r="2026" spans="6:6" hidden="1" x14ac:dyDescent="0.2">
      <c r="F2026" s="50"/>
    </row>
    <row r="2027" spans="6:6" hidden="1" x14ac:dyDescent="0.2">
      <c r="F2027" s="50"/>
    </row>
    <row r="2028" spans="6:6" hidden="1" x14ac:dyDescent="0.2">
      <c r="F2028" s="50"/>
    </row>
    <row r="2029" spans="6:6" hidden="1" x14ac:dyDescent="0.2">
      <c r="F2029" s="50"/>
    </row>
    <row r="2030" spans="6:6" hidden="1" x14ac:dyDescent="0.2">
      <c r="F2030" s="50"/>
    </row>
    <row r="2032" spans="6:6" hidden="1" x14ac:dyDescent="0.2">
      <c r="F2032" s="50"/>
    </row>
    <row r="2033" spans="6:6" hidden="1" x14ac:dyDescent="0.2">
      <c r="F2033" s="50"/>
    </row>
    <row r="2034" spans="6:6" hidden="1" x14ac:dyDescent="0.2">
      <c r="F2034" s="50"/>
    </row>
    <row r="2035" spans="6:6" hidden="1" x14ac:dyDescent="0.2">
      <c r="F2035" s="50"/>
    </row>
    <row r="2036" spans="6:6" hidden="1" x14ac:dyDescent="0.2">
      <c r="F2036" s="50"/>
    </row>
    <row r="2037" spans="6:6" hidden="1" x14ac:dyDescent="0.2">
      <c r="F2037" s="50"/>
    </row>
    <row r="2038" spans="6:6" hidden="1" x14ac:dyDescent="0.2">
      <c r="F2038" s="50"/>
    </row>
    <row r="2039" spans="6:6" hidden="1" x14ac:dyDescent="0.2">
      <c r="F2039" s="50"/>
    </row>
    <row r="2040" spans="6:6" hidden="1" x14ac:dyDescent="0.2">
      <c r="F2040" s="50"/>
    </row>
    <row r="2041" spans="6:6" hidden="1" x14ac:dyDescent="0.2">
      <c r="F2041" s="50"/>
    </row>
    <row r="2042" spans="6:6" hidden="1" x14ac:dyDescent="0.2">
      <c r="F2042" s="50"/>
    </row>
    <row r="2043" spans="6:6" hidden="1" x14ac:dyDescent="0.2">
      <c r="F2043" s="50"/>
    </row>
    <row r="2044" spans="6:6" hidden="1" x14ac:dyDescent="0.2">
      <c r="F2044" s="50"/>
    </row>
    <row r="2045" spans="6:6" hidden="1" x14ac:dyDescent="0.2">
      <c r="F2045" s="50"/>
    </row>
    <row r="2046" spans="6:6" hidden="1" x14ac:dyDescent="0.2">
      <c r="F2046" s="50"/>
    </row>
    <row r="2047" spans="6:6" hidden="1" x14ac:dyDescent="0.2">
      <c r="F2047" s="50"/>
    </row>
    <row r="2048" spans="6:6" hidden="1" x14ac:dyDescent="0.2">
      <c r="F2048" s="50"/>
    </row>
    <row r="2049" spans="6:6" hidden="1" x14ac:dyDescent="0.2">
      <c r="F2049" s="50"/>
    </row>
    <row r="2050" spans="6:6" hidden="1" x14ac:dyDescent="0.2">
      <c r="F2050" s="50"/>
    </row>
    <row r="2051" spans="6:6" hidden="1" x14ac:dyDescent="0.2">
      <c r="F2051" s="50"/>
    </row>
    <row r="2052" spans="6:6" hidden="1" x14ac:dyDescent="0.2">
      <c r="F2052" s="50"/>
    </row>
    <row r="2053" spans="6:6" hidden="1" x14ac:dyDescent="0.2">
      <c r="F2053" s="50"/>
    </row>
    <row r="2054" spans="6:6" hidden="1" x14ac:dyDescent="0.2">
      <c r="F2054" s="50"/>
    </row>
    <row r="2055" spans="6:6" hidden="1" x14ac:dyDescent="0.2">
      <c r="F2055" s="50"/>
    </row>
    <row r="2056" spans="6:6" hidden="1" x14ac:dyDescent="0.2">
      <c r="F2056" s="50"/>
    </row>
    <row r="2057" spans="6:6" hidden="1" x14ac:dyDescent="0.2">
      <c r="F2057" s="50"/>
    </row>
    <row r="2058" spans="6:6" hidden="1" x14ac:dyDescent="0.2">
      <c r="F2058" s="50"/>
    </row>
    <row r="2059" spans="6:6" hidden="1" x14ac:dyDescent="0.2">
      <c r="F2059" s="50"/>
    </row>
    <row r="2060" spans="6:6" hidden="1" x14ac:dyDescent="0.2">
      <c r="F2060" s="50"/>
    </row>
    <row r="2061" spans="6:6" hidden="1" x14ac:dyDescent="0.2">
      <c r="F2061" s="50"/>
    </row>
    <row r="2062" spans="6:6" hidden="1" x14ac:dyDescent="0.2">
      <c r="F2062" s="50"/>
    </row>
    <row r="2063" spans="6:6" hidden="1" x14ac:dyDescent="0.2">
      <c r="F2063" s="50"/>
    </row>
    <row r="2064" spans="6:6" hidden="1" x14ac:dyDescent="0.2">
      <c r="F2064" s="50"/>
    </row>
    <row r="2065" spans="6:6" hidden="1" x14ac:dyDescent="0.2">
      <c r="F2065" s="50"/>
    </row>
    <row r="2066" spans="6:6" hidden="1" x14ac:dyDescent="0.2">
      <c r="F2066" s="50"/>
    </row>
    <row r="2067" spans="6:6" hidden="1" x14ac:dyDescent="0.2">
      <c r="F2067" s="50"/>
    </row>
    <row r="2068" spans="6:6" hidden="1" x14ac:dyDescent="0.2">
      <c r="F2068" s="50"/>
    </row>
    <row r="2069" spans="6:6" hidden="1" x14ac:dyDescent="0.2">
      <c r="F2069" s="50"/>
    </row>
    <row r="2070" spans="6:6" hidden="1" x14ac:dyDescent="0.2">
      <c r="F2070" s="50"/>
    </row>
    <row r="2071" spans="6:6" hidden="1" x14ac:dyDescent="0.2">
      <c r="F2071" s="50"/>
    </row>
    <row r="2072" spans="6:6" hidden="1" x14ac:dyDescent="0.2">
      <c r="F2072" s="50"/>
    </row>
    <row r="2075" spans="6:6" hidden="1" x14ac:dyDescent="0.2">
      <c r="F2075" s="50"/>
    </row>
    <row r="2076" spans="6:6" hidden="1" x14ac:dyDescent="0.2">
      <c r="F2076" s="50"/>
    </row>
    <row r="2077" spans="6:6" hidden="1" x14ac:dyDescent="0.2">
      <c r="F2077" s="50"/>
    </row>
    <row r="2078" spans="6:6" hidden="1" x14ac:dyDescent="0.2">
      <c r="F2078" s="50"/>
    </row>
    <row r="2079" spans="6:6" hidden="1" x14ac:dyDescent="0.2">
      <c r="F2079" s="50"/>
    </row>
    <row r="2080" spans="6:6" hidden="1" x14ac:dyDescent="0.2">
      <c r="F2080" s="50"/>
    </row>
    <row r="2081" spans="6:6" hidden="1" x14ac:dyDescent="0.2">
      <c r="F2081" s="50"/>
    </row>
    <row r="2082" spans="6:6" hidden="1" x14ac:dyDescent="0.2">
      <c r="F2082" s="50"/>
    </row>
    <row r="2083" spans="6:6" hidden="1" x14ac:dyDescent="0.2">
      <c r="F2083" s="50"/>
    </row>
    <row r="2084" spans="6:6" hidden="1" x14ac:dyDescent="0.2">
      <c r="F2084" s="50"/>
    </row>
    <row r="2085" spans="6:6" hidden="1" x14ac:dyDescent="0.2">
      <c r="F2085" s="50"/>
    </row>
    <row r="2086" spans="6:6" hidden="1" x14ac:dyDescent="0.2">
      <c r="F2086" s="50"/>
    </row>
    <row r="2087" spans="6:6" hidden="1" x14ac:dyDescent="0.2">
      <c r="F2087" s="50"/>
    </row>
    <row r="2088" spans="6:6" hidden="1" x14ac:dyDescent="0.2">
      <c r="F2088" s="50"/>
    </row>
    <row r="2089" spans="6:6" hidden="1" x14ac:dyDescent="0.2">
      <c r="F2089" s="50"/>
    </row>
    <row r="2090" spans="6:6" hidden="1" x14ac:dyDescent="0.2">
      <c r="F2090" s="50"/>
    </row>
    <row r="2091" spans="6:6" hidden="1" x14ac:dyDescent="0.2">
      <c r="F2091" s="50"/>
    </row>
    <row r="2092" spans="6:6" hidden="1" x14ac:dyDescent="0.2">
      <c r="F2092" s="50"/>
    </row>
    <row r="2093" spans="6:6" hidden="1" x14ac:dyDescent="0.2">
      <c r="F2093" s="50"/>
    </row>
    <row r="2094" spans="6:6" hidden="1" x14ac:dyDescent="0.2">
      <c r="F2094" s="50"/>
    </row>
    <row r="2095" spans="6:6" hidden="1" x14ac:dyDescent="0.2">
      <c r="F2095" s="50"/>
    </row>
    <row r="2096" spans="6:6" hidden="1" x14ac:dyDescent="0.2">
      <c r="F2096" s="50"/>
    </row>
    <row r="2097" spans="6:6" hidden="1" x14ac:dyDescent="0.2">
      <c r="F2097" s="50"/>
    </row>
    <row r="2098" spans="6:6" hidden="1" x14ac:dyDescent="0.2">
      <c r="F2098" s="50"/>
    </row>
    <row r="2099" spans="6:6" hidden="1" x14ac:dyDescent="0.2">
      <c r="F2099" s="50"/>
    </row>
    <row r="2100" spans="6:6" hidden="1" x14ac:dyDescent="0.2">
      <c r="F2100" s="50"/>
    </row>
    <row r="2101" spans="6:6" hidden="1" x14ac:dyDescent="0.2">
      <c r="F2101" s="50"/>
    </row>
    <row r="2102" spans="6:6" hidden="1" x14ac:dyDescent="0.2">
      <c r="F2102" s="50"/>
    </row>
    <row r="2103" spans="6:6" hidden="1" x14ac:dyDescent="0.2">
      <c r="F2103" s="50"/>
    </row>
    <row r="2104" spans="6:6" hidden="1" x14ac:dyDescent="0.2">
      <c r="F2104" s="50"/>
    </row>
    <row r="2105" spans="6:6" hidden="1" x14ac:dyDescent="0.2">
      <c r="F2105" s="50"/>
    </row>
    <row r="2106" spans="6:6" hidden="1" x14ac:dyDescent="0.2">
      <c r="F2106" s="50"/>
    </row>
    <row r="2107" spans="6:6" hidden="1" x14ac:dyDescent="0.2">
      <c r="F2107" s="50"/>
    </row>
    <row r="2108" spans="6:6" hidden="1" x14ac:dyDescent="0.2">
      <c r="F2108" s="50"/>
    </row>
    <row r="2109" spans="6:6" hidden="1" x14ac:dyDescent="0.2">
      <c r="F2109" s="50"/>
    </row>
    <row r="2110" spans="6:6" hidden="1" x14ac:dyDescent="0.2">
      <c r="F2110" s="50"/>
    </row>
    <row r="2111" spans="6:6" hidden="1" x14ac:dyDescent="0.2">
      <c r="F2111" s="50"/>
    </row>
    <row r="2112" spans="6:6" hidden="1" x14ac:dyDescent="0.2">
      <c r="F2112" s="50"/>
    </row>
    <row r="2113" spans="6:6" hidden="1" x14ac:dyDescent="0.2">
      <c r="F2113" s="50"/>
    </row>
    <row r="2114" spans="6:6" hidden="1" x14ac:dyDescent="0.2">
      <c r="F2114" s="50"/>
    </row>
    <row r="2115" spans="6:6" hidden="1" x14ac:dyDescent="0.2">
      <c r="F2115" s="50"/>
    </row>
    <row r="2116" spans="6:6" hidden="1" x14ac:dyDescent="0.2">
      <c r="F2116" s="50"/>
    </row>
    <row r="2118" spans="6:6" hidden="1" x14ac:dyDescent="0.2">
      <c r="F2118" s="50"/>
    </row>
    <row r="2119" spans="6:6" hidden="1" x14ac:dyDescent="0.2">
      <c r="F2119" s="50"/>
    </row>
    <row r="2120" spans="6:6" hidden="1" x14ac:dyDescent="0.2">
      <c r="F2120" s="50"/>
    </row>
    <row r="2121" spans="6:6" hidden="1" x14ac:dyDescent="0.2">
      <c r="F2121" s="50"/>
    </row>
    <row r="2122" spans="6:6" hidden="1" x14ac:dyDescent="0.2">
      <c r="F2122" s="50"/>
    </row>
    <row r="2123" spans="6:6" hidden="1" x14ac:dyDescent="0.2">
      <c r="F2123" s="50"/>
    </row>
    <row r="2124" spans="6:6" hidden="1" x14ac:dyDescent="0.2">
      <c r="F2124" s="50"/>
    </row>
    <row r="2125" spans="6:6" hidden="1" x14ac:dyDescent="0.2">
      <c r="F2125" s="50"/>
    </row>
    <row r="2126" spans="6:6" hidden="1" x14ac:dyDescent="0.2">
      <c r="F2126" s="50"/>
    </row>
    <row r="2127" spans="6:6" hidden="1" x14ac:dyDescent="0.2">
      <c r="F2127" s="50"/>
    </row>
    <row r="2128" spans="6:6" hidden="1" x14ac:dyDescent="0.2">
      <c r="F2128" s="50"/>
    </row>
    <row r="2129" spans="6:6" hidden="1" x14ac:dyDescent="0.2">
      <c r="F2129" s="50"/>
    </row>
    <row r="2130" spans="6:6" hidden="1" x14ac:dyDescent="0.2">
      <c r="F2130" s="50"/>
    </row>
    <row r="2131" spans="6:6" hidden="1" x14ac:dyDescent="0.2">
      <c r="F2131" s="50"/>
    </row>
    <row r="2132" spans="6:6" hidden="1" x14ac:dyDescent="0.2">
      <c r="F2132" s="50"/>
    </row>
    <row r="2133" spans="6:6" hidden="1" x14ac:dyDescent="0.2">
      <c r="F2133" s="50"/>
    </row>
    <row r="2134" spans="6:6" hidden="1" x14ac:dyDescent="0.2">
      <c r="F2134" s="50"/>
    </row>
    <row r="2135" spans="6:6" hidden="1" x14ac:dyDescent="0.2">
      <c r="F2135" s="50"/>
    </row>
    <row r="2136" spans="6:6" hidden="1" x14ac:dyDescent="0.2">
      <c r="F2136" s="50"/>
    </row>
    <row r="2137" spans="6:6" hidden="1" x14ac:dyDescent="0.2">
      <c r="F2137" s="50"/>
    </row>
    <row r="2138" spans="6:6" hidden="1" x14ac:dyDescent="0.2">
      <c r="F2138" s="50"/>
    </row>
    <row r="2139" spans="6:6" hidden="1" x14ac:dyDescent="0.2">
      <c r="F2139" s="50"/>
    </row>
    <row r="2140" spans="6:6" hidden="1" x14ac:dyDescent="0.2">
      <c r="F2140" s="50"/>
    </row>
    <row r="2141" spans="6:6" hidden="1" x14ac:dyDescent="0.2">
      <c r="F2141" s="50"/>
    </row>
    <row r="2142" spans="6:6" hidden="1" x14ac:dyDescent="0.2">
      <c r="F2142" s="50"/>
    </row>
    <row r="2143" spans="6:6" hidden="1" x14ac:dyDescent="0.2">
      <c r="F2143" s="50"/>
    </row>
    <row r="2144" spans="6:6" hidden="1" x14ac:dyDescent="0.2">
      <c r="F2144" s="50"/>
    </row>
    <row r="2145" spans="6:6" hidden="1" x14ac:dyDescent="0.2">
      <c r="F2145" s="50"/>
    </row>
    <row r="2146" spans="6:6" hidden="1" x14ac:dyDescent="0.2">
      <c r="F2146" s="50"/>
    </row>
    <row r="2147" spans="6:6" hidden="1" x14ac:dyDescent="0.2">
      <c r="F2147" s="50"/>
    </row>
    <row r="2148" spans="6:6" hidden="1" x14ac:dyDescent="0.2">
      <c r="F2148" s="50"/>
    </row>
    <row r="2149" spans="6:6" hidden="1" x14ac:dyDescent="0.2">
      <c r="F2149" s="50"/>
    </row>
    <row r="2150" spans="6:6" hidden="1" x14ac:dyDescent="0.2">
      <c r="F2150" s="50"/>
    </row>
    <row r="2151" spans="6:6" hidden="1" x14ac:dyDescent="0.2">
      <c r="F2151" s="50"/>
    </row>
    <row r="2152" spans="6:6" hidden="1" x14ac:dyDescent="0.2">
      <c r="F2152" s="50"/>
    </row>
    <row r="2153" spans="6:6" hidden="1" x14ac:dyDescent="0.2">
      <c r="F2153" s="50"/>
    </row>
    <row r="2154" spans="6:6" hidden="1" x14ac:dyDescent="0.2">
      <c r="F2154" s="50"/>
    </row>
    <row r="2155" spans="6:6" hidden="1" x14ac:dyDescent="0.2">
      <c r="F2155" s="50"/>
    </row>
    <row r="2156" spans="6:6" hidden="1" x14ac:dyDescent="0.2">
      <c r="F2156" s="50"/>
    </row>
    <row r="2157" spans="6:6" hidden="1" x14ac:dyDescent="0.2">
      <c r="F2157" s="50"/>
    </row>
    <row r="2158" spans="6:6" hidden="1" x14ac:dyDescent="0.2">
      <c r="F2158" s="50"/>
    </row>
    <row r="2159" spans="6:6" hidden="1" x14ac:dyDescent="0.2">
      <c r="F2159" s="50"/>
    </row>
    <row r="2160" spans="6:6" hidden="1" x14ac:dyDescent="0.2">
      <c r="F2160" s="50"/>
    </row>
    <row r="2161" spans="6:6" hidden="1" x14ac:dyDescent="0.2">
      <c r="F2161" s="50"/>
    </row>
    <row r="2162" spans="6:6" hidden="1" x14ac:dyDescent="0.2">
      <c r="F2162" s="50"/>
    </row>
    <row r="2163" spans="6:6" hidden="1" x14ac:dyDescent="0.2">
      <c r="F2163" s="50"/>
    </row>
    <row r="2164" spans="6:6" hidden="1" x14ac:dyDescent="0.2">
      <c r="F2164" s="50"/>
    </row>
    <row r="2165" spans="6:6" hidden="1" x14ac:dyDescent="0.2">
      <c r="F2165" s="50"/>
    </row>
    <row r="2166" spans="6:6" hidden="1" x14ac:dyDescent="0.2">
      <c r="F2166" s="50"/>
    </row>
    <row r="2167" spans="6:6" hidden="1" x14ac:dyDescent="0.2">
      <c r="F2167" s="50"/>
    </row>
    <row r="2168" spans="6:6" hidden="1" x14ac:dyDescent="0.2">
      <c r="F2168" s="50"/>
    </row>
    <row r="2169" spans="6:6" hidden="1" x14ac:dyDescent="0.2">
      <c r="F2169" s="50"/>
    </row>
    <row r="2170" spans="6:6" hidden="1" x14ac:dyDescent="0.2">
      <c r="F2170" s="50"/>
    </row>
    <row r="2171" spans="6:6" hidden="1" x14ac:dyDescent="0.2">
      <c r="F2171" s="50"/>
    </row>
    <row r="2172" spans="6:6" hidden="1" x14ac:dyDescent="0.2">
      <c r="F2172" s="50"/>
    </row>
    <row r="2173" spans="6:6" hidden="1" x14ac:dyDescent="0.2">
      <c r="F2173" s="50"/>
    </row>
    <row r="2174" spans="6:6" hidden="1" x14ac:dyDescent="0.2">
      <c r="F2174" s="50"/>
    </row>
    <row r="2175" spans="6:6" hidden="1" x14ac:dyDescent="0.2">
      <c r="F2175" s="50"/>
    </row>
    <row r="2176" spans="6:6" hidden="1" x14ac:dyDescent="0.2">
      <c r="F2176" s="50"/>
    </row>
    <row r="2177" spans="6:6" hidden="1" x14ac:dyDescent="0.2">
      <c r="F2177" s="50"/>
    </row>
    <row r="2178" spans="6:6" hidden="1" x14ac:dyDescent="0.2">
      <c r="F2178" s="50"/>
    </row>
    <row r="2179" spans="6:6" hidden="1" x14ac:dyDescent="0.2">
      <c r="F2179" s="50"/>
    </row>
    <row r="2180" spans="6:6" hidden="1" x14ac:dyDescent="0.2">
      <c r="F2180" s="50"/>
    </row>
    <row r="2181" spans="6:6" hidden="1" x14ac:dyDescent="0.2">
      <c r="F2181" s="50"/>
    </row>
    <row r="2182" spans="6:6" hidden="1" x14ac:dyDescent="0.2">
      <c r="F2182" s="50"/>
    </row>
    <row r="2183" spans="6:6" hidden="1" x14ac:dyDescent="0.2">
      <c r="F2183" s="50"/>
    </row>
    <row r="2184" spans="6:6" hidden="1" x14ac:dyDescent="0.2">
      <c r="F2184" s="50"/>
    </row>
    <row r="2185" spans="6:6" hidden="1" x14ac:dyDescent="0.2">
      <c r="F2185" s="50"/>
    </row>
    <row r="2186" spans="6:6" hidden="1" x14ac:dyDescent="0.2">
      <c r="F2186" s="50"/>
    </row>
    <row r="2187" spans="6:6" hidden="1" x14ac:dyDescent="0.2">
      <c r="F2187" s="50"/>
    </row>
    <row r="2188" spans="6:6" hidden="1" x14ac:dyDescent="0.2">
      <c r="F2188" s="50"/>
    </row>
    <row r="2189" spans="6:6" hidden="1" x14ac:dyDescent="0.2">
      <c r="F2189" s="50"/>
    </row>
    <row r="2190" spans="6:6" hidden="1" x14ac:dyDescent="0.2">
      <c r="F2190" s="50"/>
    </row>
    <row r="2191" spans="6:6" hidden="1" x14ac:dyDescent="0.2">
      <c r="F2191" s="50"/>
    </row>
    <row r="2192" spans="6:6" hidden="1" x14ac:dyDescent="0.2">
      <c r="F2192" s="50"/>
    </row>
    <row r="2193" spans="6:6" hidden="1" x14ac:dyDescent="0.2">
      <c r="F2193" s="50"/>
    </row>
    <row r="2194" spans="6:6" hidden="1" x14ac:dyDescent="0.2">
      <c r="F2194" s="50"/>
    </row>
    <row r="2195" spans="6:6" hidden="1" x14ac:dyDescent="0.2">
      <c r="F2195" s="50"/>
    </row>
    <row r="2196" spans="6:6" hidden="1" x14ac:dyDescent="0.2">
      <c r="F2196" s="50"/>
    </row>
    <row r="2197" spans="6:6" hidden="1" x14ac:dyDescent="0.2">
      <c r="F2197" s="50"/>
    </row>
    <row r="2198" spans="6:6" hidden="1" x14ac:dyDescent="0.2">
      <c r="F2198" s="50"/>
    </row>
    <row r="2199" spans="6:6" hidden="1" x14ac:dyDescent="0.2">
      <c r="F2199" s="50"/>
    </row>
    <row r="2200" spans="6:6" hidden="1" x14ac:dyDescent="0.2">
      <c r="F2200" s="50"/>
    </row>
    <row r="2201" spans="6:6" hidden="1" x14ac:dyDescent="0.2">
      <c r="F2201" s="50"/>
    </row>
    <row r="2202" spans="6:6" hidden="1" x14ac:dyDescent="0.2">
      <c r="F2202" s="50"/>
    </row>
    <row r="2203" spans="6:6" hidden="1" x14ac:dyDescent="0.2">
      <c r="F2203" s="50"/>
    </row>
    <row r="2204" spans="6:6" hidden="1" x14ac:dyDescent="0.2">
      <c r="F2204" s="50"/>
    </row>
    <row r="2205" spans="6:6" hidden="1" x14ac:dyDescent="0.2">
      <c r="F2205" s="50"/>
    </row>
    <row r="2206" spans="6:6" hidden="1" x14ac:dyDescent="0.2">
      <c r="F2206" s="50"/>
    </row>
    <row r="2207" spans="6:6" hidden="1" x14ac:dyDescent="0.2">
      <c r="F2207" s="50"/>
    </row>
    <row r="2208" spans="6:6" hidden="1" x14ac:dyDescent="0.2">
      <c r="F2208" s="50"/>
    </row>
    <row r="2209" spans="6:6" hidden="1" x14ac:dyDescent="0.2">
      <c r="F2209" s="50"/>
    </row>
    <row r="2210" spans="6:6" hidden="1" x14ac:dyDescent="0.2">
      <c r="F2210" s="50"/>
    </row>
    <row r="2211" spans="6:6" hidden="1" x14ac:dyDescent="0.2">
      <c r="F2211" s="50"/>
    </row>
    <row r="2212" spans="6:6" hidden="1" x14ac:dyDescent="0.2">
      <c r="F2212" s="50"/>
    </row>
    <row r="2213" spans="6:6" hidden="1" x14ac:dyDescent="0.2">
      <c r="F2213" s="50"/>
    </row>
    <row r="2214" spans="6:6" hidden="1" x14ac:dyDescent="0.2">
      <c r="F2214" s="50"/>
    </row>
    <row r="2215" spans="6:6" hidden="1" x14ac:dyDescent="0.2">
      <c r="F2215" s="50"/>
    </row>
    <row r="2216" spans="6:6" hidden="1" x14ac:dyDescent="0.2">
      <c r="F2216" s="50"/>
    </row>
    <row r="2217" spans="6:6" hidden="1" x14ac:dyDescent="0.2">
      <c r="F2217" s="50"/>
    </row>
    <row r="2218" spans="6:6" hidden="1" x14ac:dyDescent="0.2">
      <c r="F2218" s="50"/>
    </row>
    <row r="2219" spans="6:6" hidden="1" x14ac:dyDescent="0.2">
      <c r="F2219" s="50"/>
    </row>
    <row r="2220" spans="6:6" hidden="1" x14ac:dyDescent="0.2">
      <c r="F2220" s="50"/>
    </row>
    <row r="2221" spans="6:6" hidden="1" x14ac:dyDescent="0.2">
      <c r="F2221" s="50"/>
    </row>
    <row r="2222" spans="6:6" hidden="1" x14ac:dyDescent="0.2">
      <c r="F2222" s="50"/>
    </row>
    <row r="2223" spans="6:6" hidden="1" x14ac:dyDescent="0.2">
      <c r="F2223" s="50"/>
    </row>
    <row r="2224" spans="6:6" hidden="1" x14ac:dyDescent="0.2">
      <c r="F2224" s="50"/>
    </row>
    <row r="2225" spans="6:8" hidden="1" x14ac:dyDescent="0.2">
      <c r="F2225" s="50"/>
    </row>
    <row r="2226" spans="6:8" hidden="1" x14ac:dyDescent="0.2">
      <c r="F2226" s="50"/>
    </row>
    <row r="2227" spans="6:8" hidden="1" x14ac:dyDescent="0.2">
      <c r="F2227" s="50"/>
    </row>
    <row r="2228" spans="6:8" hidden="1" x14ac:dyDescent="0.2">
      <c r="F2228" s="50"/>
    </row>
    <row r="2232" spans="6:8" hidden="1" x14ac:dyDescent="0.2">
      <c r="F2232" s="50"/>
    </row>
    <row r="2233" spans="6:8" hidden="1" x14ac:dyDescent="0.2">
      <c r="F2233" s="50"/>
    </row>
    <row r="2234" spans="6:8" hidden="1" x14ac:dyDescent="0.2">
      <c r="F2234" s="50"/>
    </row>
    <row r="2235" spans="6:8" hidden="1" x14ac:dyDescent="0.2">
      <c r="F2235" s="50"/>
    </row>
    <row r="2236" spans="6:8" ht="15" hidden="1" x14ac:dyDescent="0.25">
      <c r="F2236" s="50"/>
      <c r="H2236" s="62"/>
    </row>
    <row r="2237" spans="6:8" hidden="1" x14ac:dyDescent="0.2">
      <c r="F2237" s="50"/>
    </row>
    <row r="2238" spans="6:8" hidden="1" x14ac:dyDescent="0.2">
      <c r="F2238" s="50"/>
    </row>
    <row r="2239" spans="6:8" hidden="1" x14ac:dyDescent="0.2">
      <c r="F2239" s="50"/>
    </row>
    <row r="2240" spans="6:8" hidden="1" x14ac:dyDescent="0.2">
      <c r="F2240" s="50"/>
    </row>
    <row r="2241" spans="6:6" hidden="1" x14ac:dyDescent="0.2">
      <c r="F2241" s="50"/>
    </row>
    <row r="2242" spans="6:6" hidden="1" x14ac:dyDescent="0.2">
      <c r="F2242" s="50"/>
    </row>
    <row r="2243" spans="6:6" hidden="1" x14ac:dyDescent="0.2">
      <c r="F2243" s="50"/>
    </row>
    <row r="2244" spans="6:6" hidden="1" x14ac:dyDescent="0.2">
      <c r="F2244" s="50"/>
    </row>
    <row r="2246" spans="6:6" hidden="1" x14ac:dyDescent="0.2">
      <c r="F2246" s="50"/>
    </row>
    <row r="2247" spans="6:6" hidden="1" x14ac:dyDescent="0.2">
      <c r="F2247" s="50"/>
    </row>
    <row r="2248" spans="6:6" hidden="1" x14ac:dyDescent="0.2">
      <c r="F2248" s="50"/>
    </row>
    <row r="2249" spans="6:6" hidden="1" x14ac:dyDescent="0.2">
      <c r="F2249" s="50"/>
    </row>
    <row r="2250" spans="6:6" hidden="1" x14ac:dyDescent="0.2">
      <c r="F2250" s="50"/>
    </row>
    <row r="2251" spans="6:6" hidden="1" x14ac:dyDescent="0.2">
      <c r="F2251" s="50"/>
    </row>
    <row r="2252" spans="6:6" hidden="1" x14ac:dyDescent="0.2">
      <c r="F2252" s="50"/>
    </row>
    <row r="2253" spans="6:6" hidden="1" x14ac:dyDescent="0.2">
      <c r="F2253" s="50"/>
    </row>
    <row r="2254" spans="6:6" hidden="1" x14ac:dyDescent="0.2">
      <c r="F2254" s="50"/>
    </row>
    <row r="2255" spans="6:6" hidden="1" x14ac:dyDescent="0.2">
      <c r="F2255" s="50"/>
    </row>
    <row r="2256" spans="6:6" hidden="1" x14ac:dyDescent="0.2">
      <c r="F2256" s="50"/>
    </row>
    <row r="2257" spans="6:6" hidden="1" x14ac:dyDescent="0.2">
      <c r="F2257" s="50"/>
    </row>
    <row r="2258" spans="6:6" hidden="1" x14ac:dyDescent="0.2">
      <c r="F2258" s="50"/>
    </row>
    <row r="2259" spans="6:6" hidden="1" x14ac:dyDescent="0.2">
      <c r="F2259" s="50"/>
    </row>
    <row r="2260" spans="6:6" hidden="1" x14ac:dyDescent="0.2">
      <c r="F2260" s="50"/>
    </row>
    <row r="2261" spans="6:6" hidden="1" x14ac:dyDescent="0.2">
      <c r="F2261" s="50"/>
    </row>
    <row r="2262" spans="6:6" hidden="1" x14ac:dyDescent="0.2">
      <c r="F2262" s="50"/>
    </row>
    <row r="2263" spans="6:6" hidden="1" x14ac:dyDescent="0.2">
      <c r="F2263" s="50"/>
    </row>
    <row r="2264" spans="6:6" hidden="1" x14ac:dyDescent="0.2">
      <c r="F2264" s="50"/>
    </row>
    <row r="2265" spans="6:6" hidden="1" x14ac:dyDescent="0.2">
      <c r="F2265" s="50"/>
    </row>
    <row r="2266" spans="6:6" hidden="1" x14ac:dyDescent="0.2">
      <c r="F2266" s="50"/>
    </row>
    <row r="2267" spans="6:6" hidden="1" x14ac:dyDescent="0.2">
      <c r="F2267" s="50"/>
    </row>
    <row r="2268" spans="6:6" hidden="1" x14ac:dyDescent="0.2">
      <c r="F2268" s="50"/>
    </row>
    <row r="2269" spans="6:6" hidden="1" x14ac:dyDescent="0.2">
      <c r="F2269" s="50"/>
    </row>
    <row r="2270" spans="6:6" hidden="1" x14ac:dyDescent="0.2">
      <c r="F2270" s="50"/>
    </row>
    <row r="2271" spans="6:6" hidden="1" x14ac:dyDescent="0.2">
      <c r="F2271" s="50"/>
    </row>
    <row r="2272" spans="6:6" hidden="1" x14ac:dyDescent="0.2">
      <c r="F2272" s="50"/>
    </row>
    <row r="2273" spans="6:8" hidden="1" x14ac:dyDescent="0.2">
      <c r="F2273" s="50"/>
    </row>
    <row r="2274" spans="6:8" hidden="1" x14ac:dyDescent="0.2">
      <c r="F2274" s="50"/>
    </row>
    <row r="2275" spans="6:8" hidden="1" x14ac:dyDescent="0.2">
      <c r="F2275" s="50"/>
    </row>
    <row r="2276" spans="6:8" ht="15" hidden="1" x14ac:dyDescent="0.25">
      <c r="F2276" s="50"/>
      <c r="H2276" s="62"/>
    </row>
    <row r="2277" spans="6:8" hidden="1" x14ac:dyDescent="0.2">
      <c r="F2277" s="50"/>
    </row>
    <row r="2278" spans="6:8" hidden="1" x14ac:dyDescent="0.2">
      <c r="F2278" s="50"/>
    </row>
    <row r="2279" spans="6:8" hidden="1" x14ac:dyDescent="0.2">
      <c r="F2279" s="50"/>
    </row>
    <row r="2280" spans="6:8" hidden="1" x14ac:dyDescent="0.2">
      <c r="F2280" s="50"/>
    </row>
    <row r="2281" spans="6:8" hidden="1" x14ac:dyDescent="0.2">
      <c r="F2281" s="50"/>
    </row>
    <row r="2282" spans="6:8" hidden="1" x14ac:dyDescent="0.2">
      <c r="F2282" s="50"/>
    </row>
    <row r="2283" spans="6:8" hidden="1" x14ac:dyDescent="0.2">
      <c r="F2283" s="50"/>
    </row>
    <row r="2284" spans="6:8" hidden="1" x14ac:dyDescent="0.2">
      <c r="F2284" s="50"/>
    </row>
    <row r="2285" spans="6:8" hidden="1" x14ac:dyDescent="0.2">
      <c r="F2285" s="50"/>
    </row>
    <row r="2286" spans="6:8" hidden="1" x14ac:dyDescent="0.2">
      <c r="F2286" s="50"/>
    </row>
    <row r="2287" spans="6:8" hidden="1" x14ac:dyDescent="0.2">
      <c r="F2287" s="50"/>
    </row>
    <row r="2288" spans="6:8" hidden="1" x14ac:dyDescent="0.2">
      <c r="F2288" s="50"/>
    </row>
    <row r="2289" spans="6:6" hidden="1" x14ac:dyDescent="0.2">
      <c r="F2289" s="50"/>
    </row>
    <row r="2290" spans="6:6" hidden="1" x14ac:dyDescent="0.2">
      <c r="F2290" s="50"/>
    </row>
    <row r="2291" spans="6:6" hidden="1" x14ac:dyDescent="0.2">
      <c r="F2291" s="50"/>
    </row>
    <row r="2292" spans="6:6" hidden="1" x14ac:dyDescent="0.2">
      <c r="F2292" s="50"/>
    </row>
    <row r="2293" spans="6:6" hidden="1" x14ac:dyDescent="0.2">
      <c r="F2293" s="50"/>
    </row>
    <row r="2294" spans="6:6" hidden="1" x14ac:dyDescent="0.2">
      <c r="F2294" s="50"/>
    </row>
    <row r="2295" spans="6:6" hidden="1" x14ac:dyDescent="0.2">
      <c r="F2295" s="50"/>
    </row>
    <row r="2296" spans="6:6" hidden="1" x14ac:dyDescent="0.2">
      <c r="F2296" s="50"/>
    </row>
    <row r="2297" spans="6:6" hidden="1" x14ac:dyDescent="0.2">
      <c r="F2297" s="50"/>
    </row>
    <row r="2298" spans="6:6" hidden="1" x14ac:dyDescent="0.2">
      <c r="F2298" s="50"/>
    </row>
    <row r="2299" spans="6:6" hidden="1" x14ac:dyDescent="0.2">
      <c r="F2299" s="50"/>
    </row>
    <row r="2300" spans="6:6" hidden="1" x14ac:dyDescent="0.2">
      <c r="F2300" s="50"/>
    </row>
    <row r="2301" spans="6:6" hidden="1" x14ac:dyDescent="0.2">
      <c r="F2301" s="50"/>
    </row>
    <row r="2302" spans="6:6" hidden="1" x14ac:dyDescent="0.2">
      <c r="F2302" s="50"/>
    </row>
    <row r="2303" spans="6:6" hidden="1" x14ac:dyDescent="0.2">
      <c r="F2303" s="50"/>
    </row>
    <row r="2304" spans="6:6" hidden="1" x14ac:dyDescent="0.2">
      <c r="F2304" s="50"/>
    </row>
    <row r="2305" spans="6:6" hidden="1" x14ac:dyDescent="0.2">
      <c r="F2305" s="50"/>
    </row>
    <row r="2306" spans="6:6" hidden="1" x14ac:dyDescent="0.2">
      <c r="F2306" s="50"/>
    </row>
    <row r="2307" spans="6:6" hidden="1" x14ac:dyDescent="0.2">
      <c r="F2307" s="50"/>
    </row>
    <row r="2308" spans="6:6" hidden="1" x14ac:dyDescent="0.2">
      <c r="F2308" s="50"/>
    </row>
    <row r="2309" spans="6:6" hidden="1" x14ac:dyDescent="0.2">
      <c r="F2309" s="50"/>
    </row>
    <row r="2310" spans="6:6" hidden="1" x14ac:dyDescent="0.2">
      <c r="F2310" s="50"/>
    </row>
    <row r="2311" spans="6:6" hidden="1" x14ac:dyDescent="0.2">
      <c r="F2311" s="50"/>
    </row>
    <row r="2312" spans="6:6" hidden="1" x14ac:dyDescent="0.2">
      <c r="F2312" s="50"/>
    </row>
    <row r="2313" spans="6:6" hidden="1" x14ac:dyDescent="0.2">
      <c r="F2313" s="50"/>
    </row>
    <row r="2314" spans="6:6" hidden="1" x14ac:dyDescent="0.2">
      <c r="F2314" s="50"/>
    </row>
    <row r="2315" spans="6:6" hidden="1" x14ac:dyDescent="0.2">
      <c r="F2315" s="50"/>
    </row>
    <row r="2316" spans="6:6" hidden="1" x14ac:dyDescent="0.2">
      <c r="F2316" s="50"/>
    </row>
    <row r="2317" spans="6:6" hidden="1" x14ac:dyDescent="0.2">
      <c r="F2317" s="50"/>
    </row>
    <row r="2318" spans="6:6" hidden="1" x14ac:dyDescent="0.2">
      <c r="F2318" s="50"/>
    </row>
    <row r="2319" spans="6:6" hidden="1" x14ac:dyDescent="0.2">
      <c r="F2319" s="50"/>
    </row>
    <row r="2320" spans="6:6" hidden="1" x14ac:dyDescent="0.2">
      <c r="F2320" s="50"/>
    </row>
    <row r="2321" spans="6:6" hidden="1" x14ac:dyDescent="0.2">
      <c r="F2321" s="50"/>
    </row>
    <row r="2322" spans="6:6" hidden="1" x14ac:dyDescent="0.2">
      <c r="F2322" s="50"/>
    </row>
    <row r="2323" spans="6:6" hidden="1" x14ac:dyDescent="0.2">
      <c r="F2323" s="50"/>
    </row>
    <row r="2324" spans="6:6" hidden="1" x14ac:dyDescent="0.2">
      <c r="F2324" s="50"/>
    </row>
    <row r="2325" spans="6:6" hidden="1" x14ac:dyDescent="0.2">
      <c r="F2325" s="50"/>
    </row>
    <row r="2326" spans="6:6" hidden="1" x14ac:dyDescent="0.2">
      <c r="F2326" s="50"/>
    </row>
    <row r="2327" spans="6:6" hidden="1" x14ac:dyDescent="0.2">
      <c r="F2327" s="50"/>
    </row>
    <row r="2328" spans="6:6" hidden="1" x14ac:dyDescent="0.2">
      <c r="F2328" s="50"/>
    </row>
    <row r="2329" spans="6:6" hidden="1" x14ac:dyDescent="0.2">
      <c r="F2329" s="50"/>
    </row>
    <row r="2330" spans="6:6" hidden="1" x14ac:dyDescent="0.2">
      <c r="F2330" s="50"/>
    </row>
    <row r="2331" spans="6:6" hidden="1" x14ac:dyDescent="0.2">
      <c r="F2331" s="50"/>
    </row>
    <row r="2332" spans="6:6" hidden="1" x14ac:dyDescent="0.2">
      <c r="F2332" s="50"/>
    </row>
    <row r="2333" spans="6:6" hidden="1" x14ac:dyDescent="0.2">
      <c r="F2333" s="50"/>
    </row>
    <row r="2334" spans="6:6" hidden="1" x14ac:dyDescent="0.2">
      <c r="F2334" s="50"/>
    </row>
    <row r="2335" spans="6:6" hidden="1" x14ac:dyDescent="0.2">
      <c r="F2335" s="50"/>
    </row>
    <row r="2336" spans="6:6" hidden="1" x14ac:dyDescent="0.2">
      <c r="F2336" s="50"/>
    </row>
    <row r="2337" spans="1:8" hidden="1" x14ac:dyDescent="0.2">
      <c r="F2337" s="50"/>
    </row>
    <row r="2338" spans="1:8" hidden="1" x14ac:dyDescent="0.2">
      <c r="F2338" s="50"/>
    </row>
    <row r="2339" spans="1:8" hidden="1" x14ac:dyDescent="0.2">
      <c r="F2339" s="50"/>
    </row>
    <row r="2340" spans="1:8" hidden="1" x14ac:dyDescent="0.2">
      <c r="F2340" s="50"/>
    </row>
    <row r="2341" spans="1:8" hidden="1" x14ac:dyDescent="0.2">
      <c r="F2341" s="50"/>
    </row>
    <row r="2342" spans="1:8" hidden="1" x14ac:dyDescent="0.2">
      <c r="F2342" s="50"/>
    </row>
    <row r="2343" spans="1:8" hidden="1" x14ac:dyDescent="0.2">
      <c r="F2343" s="50"/>
    </row>
    <row r="2344" spans="1:8" hidden="1" x14ac:dyDescent="0.2">
      <c r="F2344" s="50"/>
    </row>
    <row r="2345" spans="1:8" hidden="1" x14ac:dyDescent="0.2">
      <c r="F2345" s="50"/>
    </row>
    <row r="2346" spans="1:8" hidden="1" x14ac:dyDescent="0.2">
      <c r="A2346" s="55"/>
      <c r="C2346" s="55"/>
    </row>
    <row r="2347" spans="1:8" hidden="1" x14ac:dyDescent="0.2">
      <c r="F2347" s="50"/>
    </row>
    <row r="2348" spans="1:8" hidden="1" x14ac:dyDescent="0.2">
      <c r="F2348" s="50"/>
    </row>
    <row r="2349" spans="1:8" hidden="1" x14ac:dyDescent="0.2">
      <c r="F2349" s="50"/>
    </row>
    <row r="2350" spans="1:8" hidden="1" x14ac:dyDescent="0.2">
      <c r="F2350" s="50"/>
    </row>
    <row r="2351" spans="1:8" hidden="1" x14ac:dyDescent="0.2">
      <c r="F2351" s="50"/>
    </row>
    <row r="2352" spans="1:8" ht="15" hidden="1" x14ac:dyDescent="0.25">
      <c r="F2352" s="50"/>
      <c r="H2352" s="62"/>
    </row>
    <row r="2353" spans="6:6" hidden="1" x14ac:dyDescent="0.2">
      <c r="F2353" s="50"/>
    </row>
    <row r="2354" spans="6:6" hidden="1" x14ac:dyDescent="0.2">
      <c r="F2354" s="50"/>
    </row>
    <row r="2355" spans="6:6" hidden="1" x14ac:dyDescent="0.2">
      <c r="F2355" s="50"/>
    </row>
    <row r="2356" spans="6:6" hidden="1" x14ac:dyDescent="0.2">
      <c r="F2356" s="50"/>
    </row>
    <row r="2357" spans="6:6" hidden="1" x14ac:dyDescent="0.2">
      <c r="F2357" s="50"/>
    </row>
    <row r="2358" spans="6:6" hidden="1" x14ac:dyDescent="0.2">
      <c r="F2358" s="50"/>
    </row>
    <row r="2359" spans="6:6" hidden="1" x14ac:dyDescent="0.2">
      <c r="F2359" s="50"/>
    </row>
    <row r="2360" spans="6:6" hidden="1" x14ac:dyDescent="0.2">
      <c r="F2360" s="50"/>
    </row>
    <row r="2361" spans="6:6" hidden="1" x14ac:dyDescent="0.2">
      <c r="F2361" s="50"/>
    </row>
    <row r="2362" spans="6:6" hidden="1" x14ac:dyDescent="0.2">
      <c r="F2362" s="50"/>
    </row>
    <row r="2363" spans="6:6" hidden="1" x14ac:dyDescent="0.2">
      <c r="F2363" s="50"/>
    </row>
    <row r="2364" spans="6:6" hidden="1" x14ac:dyDescent="0.2">
      <c r="F2364" s="50"/>
    </row>
    <row r="2365" spans="6:6" hidden="1" x14ac:dyDescent="0.2">
      <c r="F2365" s="50"/>
    </row>
    <row r="2366" spans="6:6" hidden="1" x14ac:dyDescent="0.2">
      <c r="F2366" s="50"/>
    </row>
    <row r="2367" spans="6:6" hidden="1" x14ac:dyDescent="0.2">
      <c r="F2367" s="50"/>
    </row>
    <row r="2368" spans="6:6" hidden="1" x14ac:dyDescent="0.2">
      <c r="F2368" s="50"/>
    </row>
    <row r="2371" spans="2:6" hidden="1" x14ac:dyDescent="0.2">
      <c r="F2371" s="50"/>
    </row>
    <row r="2373" spans="2:6" hidden="1" x14ac:dyDescent="0.2">
      <c r="F2373" s="50"/>
    </row>
    <row r="2374" spans="2:6" ht="12" hidden="1" customHeight="1" x14ac:dyDescent="0.2">
      <c r="B2374" s="74"/>
    </row>
    <row r="2375" spans="2:6" hidden="1" x14ac:dyDescent="0.2">
      <c r="F2375" s="50"/>
    </row>
    <row r="2376" spans="2:6" hidden="1" x14ac:dyDescent="0.2">
      <c r="F2376" s="50"/>
    </row>
    <row r="2383" spans="2:6" hidden="1" x14ac:dyDescent="0.2">
      <c r="F2383" s="50"/>
    </row>
    <row r="2384" spans="2:6" hidden="1" x14ac:dyDescent="0.2">
      <c r="F2384" s="50"/>
    </row>
    <row r="2389" spans="6:8" hidden="1" x14ac:dyDescent="0.2">
      <c r="F2389" s="50"/>
    </row>
    <row r="2390" spans="6:8" hidden="1" x14ac:dyDescent="0.2">
      <c r="F2390" s="50"/>
    </row>
    <row r="2391" spans="6:8" hidden="1" x14ac:dyDescent="0.2">
      <c r="F2391" s="50"/>
    </row>
    <row r="2392" spans="6:8" hidden="1" x14ac:dyDescent="0.2">
      <c r="F2392" s="50"/>
    </row>
    <row r="2393" spans="6:8" ht="15" hidden="1" x14ac:dyDescent="0.25">
      <c r="F2393" s="50"/>
      <c r="H2393" s="62"/>
    </row>
    <row r="2394" spans="6:8" hidden="1" x14ac:dyDescent="0.2">
      <c r="F2394" s="50"/>
    </row>
    <row r="2395" spans="6:8" hidden="1" x14ac:dyDescent="0.2">
      <c r="F2395" s="50"/>
    </row>
    <row r="2396" spans="6:8" hidden="1" x14ac:dyDescent="0.2">
      <c r="F2396" s="50"/>
    </row>
    <row r="2397" spans="6:8" hidden="1" x14ac:dyDescent="0.2">
      <c r="F2397" s="50"/>
    </row>
    <row r="2398" spans="6:8" hidden="1" x14ac:dyDescent="0.2">
      <c r="F2398" s="50"/>
    </row>
    <row r="2399" spans="6:8" hidden="1" x14ac:dyDescent="0.2">
      <c r="F2399" s="50"/>
    </row>
    <row r="2400" spans="6:8" hidden="1" x14ac:dyDescent="0.2">
      <c r="F2400" s="50"/>
    </row>
    <row r="2401" spans="6:6" hidden="1" x14ac:dyDescent="0.2">
      <c r="F2401" s="50"/>
    </row>
    <row r="2402" spans="6:6" hidden="1" x14ac:dyDescent="0.2">
      <c r="F2402" s="50"/>
    </row>
    <row r="2403" spans="6:6" hidden="1" x14ac:dyDescent="0.2">
      <c r="F2403" s="50"/>
    </row>
    <row r="2404" spans="6:6" hidden="1" x14ac:dyDescent="0.2">
      <c r="F2404" s="50"/>
    </row>
    <row r="2405" spans="6:6" hidden="1" x14ac:dyDescent="0.2">
      <c r="F2405" s="50"/>
    </row>
    <row r="2406" spans="6:6" hidden="1" x14ac:dyDescent="0.2">
      <c r="F2406" s="50"/>
    </row>
    <row r="2407" spans="6:6" hidden="1" x14ac:dyDescent="0.2">
      <c r="F2407" s="50"/>
    </row>
    <row r="2408" spans="6:6" hidden="1" x14ac:dyDescent="0.2">
      <c r="F2408" s="50"/>
    </row>
    <row r="2409" spans="6:6" hidden="1" x14ac:dyDescent="0.2">
      <c r="F2409" s="50"/>
    </row>
    <row r="2410" spans="6:6" hidden="1" x14ac:dyDescent="0.2">
      <c r="F2410" s="50"/>
    </row>
    <row r="2411" spans="6:6" hidden="1" x14ac:dyDescent="0.2">
      <c r="F2411" s="50"/>
    </row>
    <row r="2412" spans="6:6" hidden="1" x14ac:dyDescent="0.2">
      <c r="F2412" s="50"/>
    </row>
    <row r="2413" spans="6:6" hidden="1" x14ac:dyDescent="0.2">
      <c r="F2413" s="50"/>
    </row>
    <row r="2414" spans="6:6" hidden="1" x14ac:dyDescent="0.2">
      <c r="F2414" s="50"/>
    </row>
    <row r="2415" spans="6:6" hidden="1" x14ac:dyDescent="0.2">
      <c r="F2415" s="50"/>
    </row>
    <row r="2416" spans="6:6" hidden="1" x14ac:dyDescent="0.2">
      <c r="F2416" s="50"/>
    </row>
    <row r="2417" spans="6:6" hidden="1" x14ac:dyDescent="0.2">
      <c r="F2417" s="50"/>
    </row>
    <row r="2418" spans="6:6" hidden="1" x14ac:dyDescent="0.2">
      <c r="F2418" s="50"/>
    </row>
    <row r="2419" spans="6:6" hidden="1" x14ac:dyDescent="0.2">
      <c r="F2419" s="50"/>
    </row>
    <row r="2420" spans="6:6" hidden="1" x14ac:dyDescent="0.2">
      <c r="F2420" s="50"/>
    </row>
    <row r="2421" spans="6:6" hidden="1" x14ac:dyDescent="0.2">
      <c r="F2421" s="50"/>
    </row>
    <row r="2422" spans="6:6" hidden="1" x14ac:dyDescent="0.2">
      <c r="F2422" s="50"/>
    </row>
    <row r="2424" spans="6:6" hidden="1" x14ac:dyDescent="0.2">
      <c r="F2424" s="50"/>
    </row>
    <row r="2425" spans="6:6" hidden="1" x14ac:dyDescent="0.2">
      <c r="F2425" s="50"/>
    </row>
    <row r="2426" spans="6:6" hidden="1" x14ac:dyDescent="0.2">
      <c r="F2426" s="50"/>
    </row>
    <row r="2427" spans="6:6" hidden="1" x14ac:dyDescent="0.2">
      <c r="F2427" s="50"/>
    </row>
    <row r="2428" spans="6:6" hidden="1" x14ac:dyDescent="0.2">
      <c r="F2428" s="50"/>
    </row>
    <row r="2429" spans="6:6" hidden="1" x14ac:dyDescent="0.2">
      <c r="F2429" s="50"/>
    </row>
    <row r="2430" spans="6:6" hidden="1" x14ac:dyDescent="0.2">
      <c r="F2430" s="50"/>
    </row>
    <row r="2431" spans="6:6" hidden="1" x14ac:dyDescent="0.2">
      <c r="F2431" s="50"/>
    </row>
    <row r="2432" spans="6:6" hidden="1" x14ac:dyDescent="0.2">
      <c r="F2432" s="50"/>
    </row>
    <row r="2433" spans="6:6" hidden="1" x14ac:dyDescent="0.2">
      <c r="F2433" s="50"/>
    </row>
    <row r="2434" spans="6:6" hidden="1" x14ac:dyDescent="0.2">
      <c r="F2434" s="50"/>
    </row>
    <row r="2435" spans="6:6" hidden="1" x14ac:dyDescent="0.2">
      <c r="F2435" s="50"/>
    </row>
    <row r="2436" spans="6:6" hidden="1" x14ac:dyDescent="0.2">
      <c r="F2436" s="50"/>
    </row>
    <row r="2437" spans="6:6" hidden="1" x14ac:dyDescent="0.2">
      <c r="F2437" s="50"/>
    </row>
    <row r="2438" spans="6:6" hidden="1" x14ac:dyDescent="0.2">
      <c r="F2438" s="50"/>
    </row>
    <row r="2439" spans="6:6" hidden="1" x14ac:dyDescent="0.2">
      <c r="F2439" s="50"/>
    </row>
    <row r="2440" spans="6:6" hidden="1" x14ac:dyDescent="0.2">
      <c r="F2440" s="50"/>
    </row>
    <row r="2441" spans="6:6" hidden="1" x14ac:dyDescent="0.2">
      <c r="F2441" s="50"/>
    </row>
    <row r="2442" spans="6:6" hidden="1" x14ac:dyDescent="0.2">
      <c r="F2442" s="50"/>
    </row>
    <row r="2443" spans="6:6" hidden="1" x14ac:dyDescent="0.2">
      <c r="F2443" s="50"/>
    </row>
    <row r="2444" spans="6:6" hidden="1" x14ac:dyDescent="0.2">
      <c r="F2444" s="50"/>
    </row>
    <row r="2445" spans="6:6" hidden="1" x14ac:dyDescent="0.2">
      <c r="F2445" s="50"/>
    </row>
    <row r="2446" spans="6:6" hidden="1" x14ac:dyDescent="0.2">
      <c r="F2446" s="50"/>
    </row>
    <row r="2447" spans="6:6" hidden="1" x14ac:dyDescent="0.2">
      <c r="F2447" s="50"/>
    </row>
    <row r="2448" spans="6:6" hidden="1" x14ac:dyDescent="0.2">
      <c r="F2448" s="50"/>
    </row>
    <row r="2449" spans="6:6" hidden="1" x14ac:dyDescent="0.2">
      <c r="F2449" s="50"/>
    </row>
    <row r="2450" spans="6:6" hidden="1" x14ac:dyDescent="0.2">
      <c r="F2450" s="50"/>
    </row>
    <row r="2451" spans="6:6" hidden="1" x14ac:dyDescent="0.2">
      <c r="F2451" s="50"/>
    </row>
    <row r="2452" spans="6:6" hidden="1" x14ac:dyDescent="0.2">
      <c r="F2452" s="50"/>
    </row>
    <row r="2453" spans="6:6" hidden="1" x14ac:dyDescent="0.2">
      <c r="F2453" s="50"/>
    </row>
    <row r="2454" spans="6:6" hidden="1" x14ac:dyDescent="0.2">
      <c r="F2454" s="50"/>
    </row>
    <row r="2456" spans="6:6" hidden="1" x14ac:dyDescent="0.2">
      <c r="F2456" s="50"/>
    </row>
    <row r="2457" spans="6:6" hidden="1" x14ac:dyDescent="0.2">
      <c r="F2457" s="50"/>
    </row>
    <row r="2458" spans="6:6" hidden="1" x14ac:dyDescent="0.2">
      <c r="F2458" s="50"/>
    </row>
    <row r="2459" spans="6:6" hidden="1" x14ac:dyDescent="0.2">
      <c r="F2459" s="50"/>
    </row>
    <row r="2460" spans="6:6" hidden="1" x14ac:dyDescent="0.2">
      <c r="F2460" s="50"/>
    </row>
    <row r="2461" spans="6:6" hidden="1" x14ac:dyDescent="0.2">
      <c r="F2461" s="50"/>
    </row>
    <row r="2462" spans="6:6" hidden="1" x14ac:dyDescent="0.2">
      <c r="F2462" s="50"/>
    </row>
    <row r="2463" spans="6:6" hidden="1" x14ac:dyDescent="0.2">
      <c r="F2463" s="50"/>
    </row>
    <row r="2464" spans="6:6" hidden="1" x14ac:dyDescent="0.2">
      <c r="F2464" s="50"/>
    </row>
    <row r="2465" spans="6:6" hidden="1" x14ac:dyDescent="0.2">
      <c r="F2465" s="50"/>
    </row>
    <row r="2466" spans="6:6" hidden="1" x14ac:dyDescent="0.2">
      <c r="F2466" s="50"/>
    </row>
    <row r="2467" spans="6:6" hidden="1" x14ac:dyDescent="0.2">
      <c r="F2467" s="50"/>
    </row>
    <row r="2468" spans="6:6" hidden="1" x14ac:dyDescent="0.2">
      <c r="F2468" s="50"/>
    </row>
    <row r="2469" spans="6:6" hidden="1" x14ac:dyDescent="0.2">
      <c r="F2469" s="50"/>
    </row>
    <row r="2470" spans="6:6" hidden="1" x14ac:dyDescent="0.2">
      <c r="F2470" s="50"/>
    </row>
    <row r="2471" spans="6:6" hidden="1" x14ac:dyDescent="0.2">
      <c r="F2471" s="50"/>
    </row>
    <row r="2472" spans="6:6" hidden="1" x14ac:dyDescent="0.2">
      <c r="F2472" s="50"/>
    </row>
    <row r="2473" spans="6:6" hidden="1" x14ac:dyDescent="0.2">
      <c r="F2473" s="50"/>
    </row>
    <row r="2474" spans="6:6" hidden="1" x14ac:dyDescent="0.2">
      <c r="F2474" s="50"/>
    </row>
    <row r="2475" spans="6:6" hidden="1" x14ac:dyDescent="0.2">
      <c r="F2475" s="50"/>
    </row>
    <row r="2476" spans="6:6" hidden="1" x14ac:dyDescent="0.2">
      <c r="F2476" s="50"/>
    </row>
    <row r="2477" spans="6:6" hidden="1" x14ac:dyDescent="0.2">
      <c r="F2477" s="50"/>
    </row>
    <row r="2478" spans="6:6" hidden="1" x14ac:dyDescent="0.2">
      <c r="F2478" s="50"/>
    </row>
    <row r="2479" spans="6:6" hidden="1" x14ac:dyDescent="0.2">
      <c r="F2479" s="50"/>
    </row>
    <row r="2480" spans="6:6" hidden="1" x14ac:dyDescent="0.2">
      <c r="F2480" s="50"/>
    </row>
    <row r="2481" spans="6:6" hidden="1" x14ac:dyDescent="0.2">
      <c r="F2481" s="50"/>
    </row>
    <row r="2482" spans="6:6" hidden="1" x14ac:dyDescent="0.2">
      <c r="F2482" s="50"/>
    </row>
    <row r="2483" spans="6:6" hidden="1" x14ac:dyDescent="0.2">
      <c r="F2483" s="50"/>
    </row>
    <row r="2484" spans="6:6" hidden="1" x14ac:dyDescent="0.2">
      <c r="F2484" s="50"/>
    </row>
    <row r="2485" spans="6:6" hidden="1" x14ac:dyDescent="0.2">
      <c r="F2485" s="50"/>
    </row>
    <row r="2486" spans="6:6" hidden="1" x14ac:dyDescent="0.2">
      <c r="F2486" s="50"/>
    </row>
    <row r="2487" spans="6:6" hidden="1" x14ac:dyDescent="0.2">
      <c r="F2487" s="50"/>
    </row>
    <row r="2488" spans="6:6" hidden="1" x14ac:dyDescent="0.2">
      <c r="F2488" s="50"/>
    </row>
    <row r="2489" spans="6:6" hidden="1" x14ac:dyDescent="0.2">
      <c r="F2489" s="50"/>
    </row>
    <row r="2490" spans="6:6" hidden="1" x14ac:dyDescent="0.2">
      <c r="F2490" s="50"/>
    </row>
    <row r="2491" spans="6:6" hidden="1" x14ac:dyDescent="0.2">
      <c r="F2491" s="50"/>
    </row>
    <row r="2492" spans="6:6" hidden="1" x14ac:dyDescent="0.2">
      <c r="F2492" s="50"/>
    </row>
    <row r="2493" spans="6:6" hidden="1" x14ac:dyDescent="0.2">
      <c r="F2493" s="50"/>
    </row>
    <row r="2494" spans="6:6" hidden="1" x14ac:dyDescent="0.2">
      <c r="F2494" s="50"/>
    </row>
    <row r="2495" spans="6:6" hidden="1" x14ac:dyDescent="0.2">
      <c r="F2495" s="50"/>
    </row>
    <row r="2496" spans="6:6" hidden="1" x14ac:dyDescent="0.2">
      <c r="F2496" s="50"/>
    </row>
    <row r="2497" spans="6:6" hidden="1" x14ac:dyDescent="0.2">
      <c r="F2497" s="50"/>
    </row>
    <row r="2498" spans="6:6" hidden="1" x14ac:dyDescent="0.2">
      <c r="F2498" s="50"/>
    </row>
    <row r="2499" spans="6:6" hidden="1" x14ac:dyDescent="0.2">
      <c r="F2499" s="50"/>
    </row>
    <row r="2500" spans="6:6" hidden="1" x14ac:dyDescent="0.2">
      <c r="F2500" s="50"/>
    </row>
    <row r="2501" spans="6:6" hidden="1" x14ac:dyDescent="0.2">
      <c r="F2501" s="50"/>
    </row>
    <row r="2502" spans="6:6" hidden="1" x14ac:dyDescent="0.2">
      <c r="F2502" s="50"/>
    </row>
    <row r="2503" spans="6:6" hidden="1" x14ac:dyDescent="0.2">
      <c r="F2503" s="50"/>
    </row>
    <row r="2504" spans="6:6" hidden="1" x14ac:dyDescent="0.2">
      <c r="F2504" s="50"/>
    </row>
    <row r="2505" spans="6:6" hidden="1" x14ac:dyDescent="0.2">
      <c r="F2505" s="50"/>
    </row>
    <row r="2506" spans="6:6" hidden="1" x14ac:dyDescent="0.2">
      <c r="F2506" s="50"/>
    </row>
    <row r="2507" spans="6:6" hidden="1" x14ac:dyDescent="0.2">
      <c r="F2507" s="50"/>
    </row>
    <row r="2508" spans="6:6" hidden="1" x14ac:dyDescent="0.2">
      <c r="F2508" s="50"/>
    </row>
    <row r="2509" spans="6:6" hidden="1" x14ac:dyDescent="0.2">
      <c r="F2509" s="50"/>
    </row>
    <row r="2510" spans="6:6" hidden="1" x14ac:dyDescent="0.2">
      <c r="F2510" s="50"/>
    </row>
    <row r="2511" spans="6:6" hidden="1" x14ac:dyDescent="0.2">
      <c r="F2511" s="50"/>
    </row>
    <row r="2512" spans="6:6" hidden="1" x14ac:dyDescent="0.2">
      <c r="F2512" s="50"/>
    </row>
    <row r="2513" spans="1:6" hidden="1" x14ac:dyDescent="0.2">
      <c r="F2513" s="50"/>
    </row>
    <row r="2514" spans="1:6" hidden="1" x14ac:dyDescent="0.2">
      <c r="F2514" s="50"/>
    </row>
    <row r="2515" spans="1:6" hidden="1" x14ac:dyDescent="0.2">
      <c r="F2515" s="50"/>
    </row>
    <row r="2516" spans="1:6" hidden="1" x14ac:dyDescent="0.2">
      <c r="F2516" s="50"/>
    </row>
    <row r="2517" spans="1:6" hidden="1" x14ac:dyDescent="0.2">
      <c r="F2517" s="50"/>
    </row>
    <row r="2518" spans="1:6" hidden="1" x14ac:dyDescent="0.2">
      <c r="F2518" s="50"/>
    </row>
    <row r="2519" spans="1:6" hidden="1" x14ac:dyDescent="0.2">
      <c r="A2519" s="66"/>
      <c r="C2519" s="66"/>
    </row>
    <row r="2520" spans="1:6" hidden="1" x14ac:dyDescent="0.2">
      <c r="A2520" s="66"/>
      <c r="C2520" s="66"/>
    </row>
    <row r="2521" spans="1:6" hidden="1" x14ac:dyDescent="0.2">
      <c r="A2521" s="66"/>
      <c r="C2521" s="66"/>
    </row>
    <row r="2522" spans="1:6" hidden="1" x14ac:dyDescent="0.2">
      <c r="A2522" s="66"/>
      <c r="C2522" s="66"/>
    </row>
    <row r="2523" spans="1:6" hidden="1" x14ac:dyDescent="0.2">
      <c r="A2523" s="66"/>
      <c r="C2523" s="66"/>
    </row>
    <row r="2524" spans="1:6" hidden="1" x14ac:dyDescent="0.2">
      <c r="A2524" s="66"/>
      <c r="C2524" s="66"/>
    </row>
    <row r="2525" spans="1:6" hidden="1" x14ac:dyDescent="0.2">
      <c r="A2525" s="66"/>
      <c r="C2525" s="66"/>
    </row>
    <row r="2526" spans="1:6" hidden="1" x14ac:dyDescent="0.2">
      <c r="A2526" s="66"/>
      <c r="C2526" s="66"/>
    </row>
    <row r="2527" spans="1:6" hidden="1" x14ac:dyDescent="0.2">
      <c r="A2527" s="66"/>
      <c r="C2527" s="66"/>
    </row>
    <row r="2528" spans="1:6" hidden="1" x14ac:dyDescent="0.2">
      <c r="A2528" s="66"/>
      <c r="C2528" s="66"/>
    </row>
    <row r="2529" spans="1:7" hidden="1" x14ac:dyDescent="0.2">
      <c r="A2529" s="66"/>
      <c r="C2529" s="66"/>
    </row>
    <row r="2530" spans="1:7" hidden="1" x14ac:dyDescent="0.2">
      <c r="A2530" s="66"/>
      <c r="C2530" s="66"/>
    </row>
    <row r="2531" spans="1:7" hidden="1" x14ac:dyDescent="0.2">
      <c r="A2531" s="66"/>
      <c r="C2531" s="66"/>
    </row>
    <row r="2532" spans="1:7" hidden="1" x14ac:dyDescent="0.2">
      <c r="A2532" s="66"/>
      <c r="C2532" s="66"/>
      <c r="F2532" s="50"/>
      <c r="G2532" s="50"/>
    </row>
    <row r="2533" spans="1:7" hidden="1" x14ac:dyDescent="0.2">
      <c r="A2533" s="66"/>
      <c r="C2533" s="66"/>
      <c r="F2533" s="50"/>
      <c r="G2533" s="50"/>
    </row>
    <row r="2534" spans="1:7" hidden="1" x14ac:dyDescent="0.2">
      <c r="A2534" s="66"/>
      <c r="C2534" s="66"/>
    </row>
    <row r="2535" spans="1:7" hidden="1" x14ac:dyDescent="0.2">
      <c r="A2535" s="66"/>
      <c r="C2535" s="66"/>
    </row>
    <row r="2536" spans="1:7" hidden="1" x14ac:dyDescent="0.2">
      <c r="A2536" s="66"/>
      <c r="C2536" s="66"/>
    </row>
    <row r="2537" spans="1:7" hidden="1" x14ac:dyDescent="0.2">
      <c r="A2537" s="66"/>
      <c r="C2537" s="66"/>
    </row>
    <row r="2538" spans="1:7" hidden="1" x14ac:dyDescent="0.2">
      <c r="A2538" s="66"/>
      <c r="C2538" s="66"/>
    </row>
    <row r="2539" spans="1:7" hidden="1" x14ac:dyDescent="0.2">
      <c r="A2539" s="66"/>
      <c r="C2539" s="66"/>
    </row>
    <row r="2540" spans="1:7" hidden="1" x14ac:dyDescent="0.2">
      <c r="A2540" s="66"/>
      <c r="C2540" s="66"/>
    </row>
    <row r="2541" spans="1:7" hidden="1" x14ac:dyDescent="0.2">
      <c r="A2541" s="66"/>
      <c r="C2541" s="66"/>
    </row>
    <row r="2542" spans="1:7" hidden="1" x14ac:dyDescent="0.2">
      <c r="A2542" s="66"/>
      <c r="C2542" s="66"/>
    </row>
    <row r="2543" spans="1:7" hidden="1" x14ac:dyDescent="0.2">
      <c r="A2543" s="66"/>
      <c r="C2543" s="66"/>
    </row>
    <row r="2544" spans="1:7" hidden="1" x14ac:dyDescent="0.2">
      <c r="A2544" s="66"/>
      <c r="C2544" s="66"/>
    </row>
    <row r="2545" spans="1:3" hidden="1" x14ac:dyDescent="0.2">
      <c r="A2545" s="66"/>
      <c r="C2545" s="66"/>
    </row>
    <row r="2546" spans="1:3" hidden="1" x14ac:dyDescent="0.2">
      <c r="A2546" s="66"/>
      <c r="C2546" s="66"/>
    </row>
    <row r="2547" spans="1:3" hidden="1" x14ac:dyDescent="0.2">
      <c r="A2547" s="66"/>
      <c r="C2547" s="66"/>
    </row>
    <row r="2548" spans="1:3" hidden="1" x14ac:dyDescent="0.2">
      <c r="A2548" s="66"/>
      <c r="C2548" s="66"/>
    </row>
    <row r="2549" spans="1:3" hidden="1" x14ac:dyDescent="0.2">
      <c r="A2549" s="66"/>
      <c r="C2549" s="66"/>
    </row>
    <row r="2550" spans="1:3" hidden="1" x14ac:dyDescent="0.2">
      <c r="A2550" s="66"/>
      <c r="C2550" s="66"/>
    </row>
    <row r="2551" spans="1:3" hidden="1" x14ac:dyDescent="0.2">
      <c r="A2551" s="66"/>
      <c r="C2551" s="66"/>
    </row>
    <row r="2552" spans="1:3" hidden="1" x14ac:dyDescent="0.2">
      <c r="A2552" s="66"/>
      <c r="C2552" s="66"/>
    </row>
    <row r="2553" spans="1:3" hidden="1" x14ac:dyDescent="0.2">
      <c r="A2553" s="66"/>
      <c r="C2553" s="66"/>
    </row>
    <row r="2554" spans="1:3" hidden="1" x14ac:dyDescent="0.2">
      <c r="A2554" s="66"/>
      <c r="C2554" s="66"/>
    </row>
    <row r="2555" spans="1:3" hidden="1" x14ac:dyDescent="0.2">
      <c r="A2555" s="66"/>
      <c r="C2555" s="66"/>
    </row>
    <row r="2556" spans="1:3" hidden="1" x14ac:dyDescent="0.2">
      <c r="A2556" s="66"/>
      <c r="C2556" s="66"/>
    </row>
    <row r="2557" spans="1:3" hidden="1" x14ac:dyDescent="0.2">
      <c r="A2557" s="66"/>
      <c r="C2557" s="66"/>
    </row>
    <row r="2558" spans="1:3" hidden="1" x14ac:dyDescent="0.2">
      <c r="A2558" s="66"/>
      <c r="C2558" s="66"/>
    </row>
    <row r="2559" spans="1:3" hidden="1" x14ac:dyDescent="0.2">
      <c r="A2559" s="66"/>
      <c r="C2559" s="66"/>
    </row>
    <row r="2560" spans="1:3" hidden="1" x14ac:dyDescent="0.2">
      <c r="A2560" s="66"/>
      <c r="C2560" s="66"/>
    </row>
    <row r="2561" spans="1:6" hidden="1" x14ac:dyDescent="0.2">
      <c r="A2561" s="66"/>
      <c r="C2561" s="66"/>
    </row>
    <row r="2562" spans="1:6" hidden="1" x14ac:dyDescent="0.2">
      <c r="F2562" s="50"/>
    </row>
    <row r="2563" spans="1:6" hidden="1" x14ac:dyDescent="0.2">
      <c r="F2563" s="50"/>
    </row>
    <row r="2564" spans="1:6" hidden="1" x14ac:dyDescent="0.2">
      <c r="F2564" s="50"/>
    </row>
    <row r="2565" spans="1:6" hidden="1" x14ac:dyDescent="0.2">
      <c r="F2565" s="50"/>
    </row>
    <row r="2566" spans="1:6" hidden="1" x14ac:dyDescent="0.2">
      <c r="F2566" s="50"/>
    </row>
    <row r="2567" spans="1:6" hidden="1" x14ac:dyDescent="0.2">
      <c r="F2567" s="50"/>
    </row>
    <row r="2568" spans="1:6" hidden="1" x14ac:dyDescent="0.2">
      <c r="F2568" s="50"/>
    </row>
    <row r="2569" spans="1:6" hidden="1" x14ac:dyDescent="0.2">
      <c r="F2569" s="50"/>
    </row>
    <row r="2570" spans="1:6" hidden="1" x14ac:dyDescent="0.2">
      <c r="F2570" s="50"/>
    </row>
    <row r="2571" spans="1:6" hidden="1" x14ac:dyDescent="0.2">
      <c r="F2571" s="50"/>
    </row>
    <row r="2572" spans="1:6" hidden="1" x14ac:dyDescent="0.2">
      <c r="F2572" s="50"/>
    </row>
    <row r="2573" spans="1:6" hidden="1" x14ac:dyDescent="0.2">
      <c r="F2573" s="50"/>
    </row>
    <row r="2574" spans="1:6" hidden="1" x14ac:dyDescent="0.2">
      <c r="F2574" s="50"/>
    </row>
    <row r="2575" spans="1:6" hidden="1" x14ac:dyDescent="0.2">
      <c r="F2575" s="50"/>
    </row>
    <row r="2576" spans="1:6" hidden="1" x14ac:dyDescent="0.2">
      <c r="F2576" s="50"/>
    </row>
    <row r="2577" spans="1:6" hidden="1" x14ac:dyDescent="0.2">
      <c r="F2577" s="50"/>
    </row>
    <row r="2578" spans="1:6" hidden="1" x14ac:dyDescent="0.2">
      <c r="F2578" s="50"/>
    </row>
    <row r="2579" spans="1:6" hidden="1" x14ac:dyDescent="0.2">
      <c r="F2579" s="50"/>
    </row>
    <row r="2580" spans="1:6" hidden="1" x14ac:dyDescent="0.2">
      <c r="F2580" s="50"/>
    </row>
    <row r="2581" spans="1:6" hidden="1" x14ac:dyDescent="0.2">
      <c r="F2581" s="50"/>
    </row>
    <row r="2582" spans="1:6" hidden="1" x14ac:dyDescent="0.2">
      <c r="F2582" s="50"/>
    </row>
    <row r="2583" spans="1:6" hidden="1" x14ac:dyDescent="0.2">
      <c r="F2583" s="50"/>
    </row>
    <row r="2584" spans="1:6" hidden="1" x14ac:dyDescent="0.2">
      <c r="F2584" s="50"/>
    </row>
    <row r="2585" spans="1:6" hidden="1" x14ac:dyDescent="0.2">
      <c r="F2585" s="50"/>
    </row>
    <row r="2586" spans="1:6" hidden="1" x14ac:dyDescent="0.2">
      <c r="F2586" s="50"/>
    </row>
    <row r="2587" spans="1:6" hidden="1" x14ac:dyDescent="0.2">
      <c r="F2587" s="50"/>
    </row>
    <row r="2588" spans="1:6" hidden="1" x14ac:dyDescent="0.2">
      <c r="F2588" s="50"/>
    </row>
    <row r="2589" spans="1:6" hidden="1" x14ac:dyDescent="0.2">
      <c r="F2589" s="50"/>
    </row>
    <row r="2590" spans="1:6" hidden="1" x14ac:dyDescent="0.2">
      <c r="F2590" s="50"/>
    </row>
    <row r="2591" spans="1:6" hidden="1" x14ac:dyDescent="0.2">
      <c r="F2591" s="50"/>
    </row>
    <row r="2592" spans="1:6" hidden="1" x14ac:dyDescent="0.2">
      <c r="A2592" s="66"/>
      <c r="C2592" s="66"/>
    </row>
    <row r="2593" spans="6:6" hidden="1" x14ac:dyDescent="0.2">
      <c r="F2593" s="50"/>
    </row>
    <row r="2594" spans="6:6" hidden="1" x14ac:dyDescent="0.2">
      <c r="F2594" s="50"/>
    </row>
    <row r="2595" spans="6:6" hidden="1" x14ac:dyDescent="0.2">
      <c r="F2595" s="50"/>
    </row>
    <row r="2596" spans="6:6" hidden="1" x14ac:dyDescent="0.2">
      <c r="F2596" s="50"/>
    </row>
    <row r="2597" spans="6:6" hidden="1" x14ac:dyDescent="0.2">
      <c r="F2597" s="50"/>
    </row>
    <row r="2598" spans="6:6" hidden="1" x14ac:dyDescent="0.2">
      <c r="F2598" s="50"/>
    </row>
    <row r="2599" spans="6:6" hidden="1" x14ac:dyDescent="0.2">
      <c r="F2599" s="50"/>
    </row>
    <row r="2600" spans="6:6" hidden="1" x14ac:dyDescent="0.2">
      <c r="F2600" s="50"/>
    </row>
    <row r="2601" spans="6:6" hidden="1" x14ac:dyDescent="0.2">
      <c r="F2601" s="50"/>
    </row>
    <row r="2602" spans="6:6" hidden="1" x14ac:dyDescent="0.2">
      <c r="F2602" s="50"/>
    </row>
    <row r="2603" spans="6:6" hidden="1" x14ac:dyDescent="0.2">
      <c r="F2603" s="50"/>
    </row>
    <row r="2604" spans="6:6" hidden="1" x14ac:dyDescent="0.2">
      <c r="F2604" s="50"/>
    </row>
    <row r="2605" spans="6:6" hidden="1" x14ac:dyDescent="0.2">
      <c r="F2605" s="50"/>
    </row>
    <row r="2606" spans="6:6" hidden="1" x14ac:dyDescent="0.2">
      <c r="F2606" s="50"/>
    </row>
    <row r="2607" spans="6:6" hidden="1" x14ac:dyDescent="0.2">
      <c r="F2607" s="50"/>
    </row>
    <row r="2608" spans="6:6" hidden="1" x14ac:dyDescent="0.2">
      <c r="F2608" s="50"/>
    </row>
    <row r="2609" spans="6:8" hidden="1" x14ac:dyDescent="0.2">
      <c r="F2609" s="50"/>
    </row>
    <row r="2610" spans="6:8" hidden="1" x14ac:dyDescent="0.2">
      <c r="F2610" s="50"/>
    </row>
    <row r="2611" spans="6:8" hidden="1" x14ac:dyDescent="0.2">
      <c r="F2611" s="50"/>
    </row>
    <row r="2612" spans="6:8" ht="15" hidden="1" x14ac:dyDescent="0.25">
      <c r="F2612" s="50"/>
      <c r="H2612" s="62"/>
    </row>
    <row r="2613" spans="6:8" hidden="1" x14ac:dyDescent="0.2">
      <c r="F2613" s="50"/>
    </row>
    <row r="2614" spans="6:8" hidden="1" x14ac:dyDescent="0.2">
      <c r="F2614" s="50"/>
    </row>
    <row r="2615" spans="6:8" hidden="1" x14ac:dyDescent="0.2">
      <c r="F2615" s="50"/>
    </row>
    <row r="2616" spans="6:8" hidden="1" x14ac:dyDescent="0.2">
      <c r="F2616" s="50"/>
    </row>
    <row r="2617" spans="6:8" hidden="1" x14ac:dyDescent="0.2">
      <c r="F2617" s="50"/>
    </row>
    <row r="2618" spans="6:8" hidden="1" x14ac:dyDescent="0.2">
      <c r="F2618" s="50"/>
    </row>
    <row r="2619" spans="6:8" hidden="1" x14ac:dyDescent="0.2">
      <c r="F2619" s="50"/>
    </row>
    <row r="2620" spans="6:8" hidden="1" x14ac:dyDescent="0.2">
      <c r="F2620" s="50"/>
    </row>
    <row r="2621" spans="6:8" hidden="1" x14ac:dyDescent="0.2">
      <c r="F2621" s="50"/>
    </row>
    <row r="2622" spans="6:8" hidden="1" x14ac:dyDescent="0.2">
      <c r="F2622" s="50"/>
    </row>
    <row r="2623" spans="6:8" hidden="1" x14ac:dyDescent="0.2">
      <c r="F2623" s="50"/>
    </row>
    <row r="2625" spans="6:6" hidden="1" x14ac:dyDescent="0.2">
      <c r="F2625" s="50"/>
    </row>
    <row r="2626" spans="6:6" hidden="1" x14ac:dyDescent="0.2">
      <c r="F2626" s="50"/>
    </row>
    <row r="2627" spans="6:6" hidden="1" x14ac:dyDescent="0.2">
      <c r="F2627" s="50"/>
    </row>
    <row r="2628" spans="6:6" hidden="1" x14ac:dyDescent="0.2">
      <c r="F2628" s="50"/>
    </row>
    <row r="2629" spans="6:6" hidden="1" x14ac:dyDescent="0.2">
      <c r="F2629" s="50"/>
    </row>
    <row r="2630" spans="6:6" hidden="1" x14ac:dyDescent="0.2">
      <c r="F2630" s="50"/>
    </row>
    <row r="2631" spans="6:6" hidden="1" x14ac:dyDescent="0.2">
      <c r="F2631" s="50"/>
    </row>
    <row r="2632" spans="6:6" hidden="1" x14ac:dyDescent="0.2">
      <c r="F2632" s="50"/>
    </row>
    <row r="2633" spans="6:6" hidden="1" x14ac:dyDescent="0.2">
      <c r="F2633" s="50"/>
    </row>
    <row r="2634" spans="6:6" hidden="1" x14ac:dyDescent="0.2">
      <c r="F2634" s="50"/>
    </row>
    <row r="2635" spans="6:6" hidden="1" x14ac:dyDescent="0.2">
      <c r="F2635" s="50"/>
    </row>
    <row r="2636" spans="6:6" hidden="1" x14ac:dyDescent="0.2">
      <c r="F2636" s="50"/>
    </row>
    <row r="2637" spans="6:6" hidden="1" x14ac:dyDescent="0.2">
      <c r="F2637" s="50"/>
    </row>
    <row r="2638" spans="6:6" hidden="1" x14ac:dyDescent="0.2">
      <c r="F2638" s="50"/>
    </row>
    <row r="2639" spans="6:6" hidden="1" x14ac:dyDescent="0.2">
      <c r="F2639" s="50"/>
    </row>
    <row r="2640" spans="6:6" hidden="1" x14ac:dyDescent="0.2">
      <c r="F2640" s="50"/>
    </row>
    <row r="2641" spans="6:6" hidden="1" x14ac:dyDescent="0.2">
      <c r="F2641" s="50"/>
    </row>
    <row r="2642" spans="6:6" hidden="1" x14ac:dyDescent="0.2">
      <c r="F2642" s="50"/>
    </row>
    <row r="2643" spans="6:6" hidden="1" x14ac:dyDescent="0.2">
      <c r="F2643" s="50"/>
    </row>
    <row r="2644" spans="6:6" hidden="1" x14ac:dyDescent="0.2">
      <c r="F2644" s="50"/>
    </row>
    <row r="2645" spans="6:6" hidden="1" x14ac:dyDescent="0.2">
      <c r="F2645" s="50"/>
    </row>
    <row r="2646" spans="6:6" hidden="1" x14ac:dyDescent="0.2">
      <c r="F2646" s="50"/>
    </row>
    <row r="2647" spans="6:6" hidden="1" x14ac:dyDescent="0.2">
      <c r="F2647" s="50"/>
    </row>
    <row r="2648" spans="6:6" hidden="1" x14ac:dyDescent="0.2">
      <c r="F2648" s="50"/>
    </row>
    <row r="2649" spans="6:6" hidden="1" x14ac:dyDescent="0.2">
      <c r="F2649" s="50"/>
    </row>
    <row r="2650" spans="6:6" hidden="1" x14ac:dyDescent="0.2">
      <c r="F2650" s="50"/>
    </row>
    <row r="2651" spans="6:6" hidden="1" x14ac:dyDescent="0.2">
      <c r="F2651" s="50"/>
    </row>
    <row r="2652" spans="6:6" hidden="1" x14ac:dyDescent="0.2">
      <c r="F2652" s="50"/>
    </row>
    <row r="2653" spans="6:6" hidden="1" x14ac:dyDescent="0.2">
      <c r="F2653" s="50"/>
    </row>
    <row r="2654" spans="6:6" hidden="1" x14ac:dyDescent="0.2">
      <c r="F2654" s="50"/>
    </row>
    <row r="2655" spans="6:6" hidden="1" x14ac:dyDescent="0.2">
      <c r="F2655" s="50"/>
    </row>
    <row r="2656" spans="6:6" hidden="1" x14ac:dyDescent="0.2">
      <c r="F2656" s="50"/>
    </row>
    <row r="2657" spans="1:6" hidden="1" x14ac:dyDescent="0.2">
      <c r="F2657" s="50"/>
    </row>
    <row r="2658" spans="1:6" hidden="1" x14ac:dyDescent="0.2">
      <c r="F2658" s="50"/>
    </row>
    <row r="2659" spans="1:6" hidden="1" x14ac:dyDescent="0.2">
      <c r="F2659" s="50"/>
    </row>
    <row r="2660" spans="1:6" hidden="1" x14ac:dyDescent="0.2">
      <c r="F2660" s="50"/>
    </row>
    <row r="2661" spans="1:6" hidden="1" x14ac:dyDescent="0.2">
      <c r="F2661" s="50"/>
    </row>
    <row r="2662" spans="1:6" hidden="1" x14ac:dyDescent="0.2">
      <c r="F2662" s="50"/>
    </row>
    <row r="2663" spans="1:6" hidden="1" x14ac:dyDescent="0.2">
      <c r="F2663" s="50"/>
    </row>
    <row r="2664" spans="1:6" hidden="1" x14ac:dyDescent="0.2">
      <c r="F2664" s="50"/>
    </row>
    <row r="2665" spans="1:6" hidden="1" x14ac:dyDescent="0.2">
      <c r="A2665" s="60"/>
      <c r="C2665" s="60"/>
    </row>
    <row r="2666" spans="1:6" hidden="1" x14ac:dyDescent="0.2">
      <c r="A2666" s="60"/>
      <c r="C2666" s="60"/>
    </row>
    <row r="2667" spans="1:6" hidden="1" x14ac:dyDescent="0.2">
      <c r="F2667" s="50"/>
    </row>
    <row r="2668" spans="1:6" hidden="1" x14ac:dyDescent="0.2">
      <c r="F2668" s="50"/>
    </row>
    <row r="2669" spans="1:6" hidden="1" x14ac:dyDescent="0.2">
      <c r="F2669" s="50"/>
    </row>
    <row r="2670" spans="1:6" hidden="1" x14ac:dyDescent="0.2">
      <c r="F2670" s="50"/>
    </row>
    <row r="2671" spans="1:6" hidden="1" x14ac:dyDescent="0.2">
      <c r="F2671" s="50"/>
    </row>
    <row r="2672" spans="1:6" hidden="1" x14ac:dyDescent="0.2">
      <c r="F2672" s="50"/>
    </row>
    <row r="2673" spans="6:6" hidden="1" x14ac:dyDescent="0.2">
      <c r="F2673" s="50"/>
    </row>
    <row r="2674" spans="6:6" hidden="1" x14ac:dyDescent="0.2">
      <c r="F2674" s="50"/>
    </row>
    <row r="2675" spans="6:6" hidden="1" x14ac:dyDescent="0.2">
      <c r="F2675" s="50"/>
    </row>
    <row r="2676" spans="6:6" hidden="1" x14ac:dyDescent="0.2">
      <c r="F2676" s="50"/>
    </row>
    <row r="2677" spans="6:6" hidden="1" x14ac:dyDescent="0.2">
      <c r="F2677" s="50"/>
    </row>
    <row r="2678" spans="6:6" hidden="1" x14ac:dyDescent="0.2">
      <c r="F2678" s="50"/>
    </row>
    <row r="2679" spans="6:6" hidden="1" x14ac:dyDescent="0.2">
      <c r="F2679" s="50"/>
    </row>
    <row r="2680" spans="6:6" hidden="1" x14ac:dyDescent="0.2">
      <c r="F2680" s="50"/>
    </row>
    <row r="2681" spans="6:6" hidden="1" x14ac:dyDescent="0.2">
      <c r="F2681" s="50"/>
    </row>
    <row r="2682" spans="6:6" hidden="1" x14ac:dyDescent="0.2">
      <c r="F2682" s="50"/>
    </row>
    <row r="2683" spans="6:6" hidden="1" x14ac:dyDescent="0.2">
      <c r="F2683" s="50"/>
    </row>
    <row r="2684" spans="6:6" hidden="1" x14ac:dyDescent="0.2">
      <c r="F2684" s="50"/>
    </row>
    <row r="2685" spans="6:6" hidden="1" x14ac:dyDescent="0.2">
      <c r="F2685" s="50"/>
    </row>
    <row r="2687" spans="6:6" hidden="1" x14ac:dyDescent="0.2">
      <c r="F2687" s="50"/>
    </row>
    <row r="2688" spans="6:6" hidden="1" x14ac:dyDescent="0.2">
      <c r="F2688" s="50"/>
    </row>
    <row r="2689" spans="6:6" hidden="1" x14ac:dyDescent="0.2">
      <c r="F2689" s="50"/>
    </row>
    <row r="2690" spans="6:6" hidden="1" x14ac:dyDescent="0.2">
      <c r="F2690" s="50"/>
    </row>
    <row r="2691" spans="6:6" hidden="1" x14ac:dyDescent="0.2">
      <c r="F2691" s="50"/>
    </row>
    <row r="2692" spans="6:6" hidden="1" x14ac:dyDescent="0.2">
      <c r="F2692" s="50"/>
    </row>
    <row r="2693" spans="6:6" hidden="1" x14ac:dyDescent="0.2">
      <c r="F2693" s="50"/>
    </row>
    <row r="2694" spans="6:6" hidden="1" x14ac:dyDescent="0.2">
      <c r="F2694" s="50"/>
    </row>
    <row r="2695" spans="6:6" hidden="1" x14ac:dyDescent="0.2">
      <c r="F2695" s="50"/>
    </row>
    <row r="2696" spans="6:6" hidden="1" x14ac:dyDescent="0.2">
      <c r="F2696" s="50"/>
    </row>
    <row r="2697" spans="6:6" hidden="1" x14ac:dyDescent="0.2">
      <c r="F2697" s="50"/>
    </row>
    <row r="2698" spans="6:6" hidden="1" x14ac:dyDescent="0.2">
      <c r="F2698" s="50"/>
    </row>
    <row r="2699" spans="6:6" hidden="1" x14ac:dyDescent="0.2">
      <c r="F2699" s="50"/>
    </row>
    <row r="2700" spans="6:6" hidden="1" x14ac:dyDescent="0.2">
      <c r="F2700" s="50"/>
    </row>
    <row r="2701" spans="6:6" hidden="1" x14ac:dyDescent="0.2">
      <c r="F2701" s="50"/>
    </row>
    <row r="2702" spans="6:6" hidden="1" x14ac:dyDescent="0.2">
      <c r="F2702" s="50"/>
    </row>
    <row r="2703" spans="6:6" hidden="1" x14ac:dyDescent="0.2">
      <c r="F2703" s="50"/>
    </row>
    <row r="2704" spans="6:6" hidden="1" x14ac:dyDescent="0.2">
      <c r="F2704" s="50"/>
    </row>
    <row r="2705" spans="6:6" hidden="1" x14ac:dyDescent="0.2">
      <c r="F2705" s="50"/>
    </row>
    <row r="2706" spans="6:6" hidden="1" x14ac:dyDescent="0.2">
      <c r="F2706" s="50"/>
    </row>
    <row r="2707" spans="6:6" hidden="1" x14ac:dyDescent="0.2">
      <c r="F2707" s="50"/>
    </row>
    <row r="2708" spans="6:6" hidden="1" x14ac:dyDescent="0.2">
      <c r="F2708" s="50"/>
    </row>
    <row r="2709" spans="6:6" hidden="1" x14ac:dyDescent="0.2">
      <c r="F2709" s="50"/>
    </row>
    <row r="2710" spans="6:6" hidden="1" x14ac:dyDescent="0.2">
      <c r="F2710" s="50"/>
    </row>
    <row r="2711" spans="6:6" hidden="1" x14ac:dyDescent="0.2">
      <c r="F2711" s="50"/>
    </row>
    <row r="2712" spans="6:6" hidden="1" x14ac:dyDescent="0.2">
      <c r="F2712" s="50"/>
    </row>
    <row r="2713" spans="6:6" hidden="1" x14ac:dyDescent="0.2">
      <c r="F2713" s="50"/>
    </row>
    <row r="2714" spans="6:6" hidden="1" x14ac:dyDescent="0.2">
      <c r="F2714" s="50"/>
    </row>
    <row r="2715" spans="6:6" hidden="1" x14ac:dyDescent="0.2">
      <c r="F2715" s="50"/>
    </row>
    <row r="2716" spans="6:6" hidden="1" x14ac:dyDescent="0.2">
      <c r="F2716" s="50"/>
    </row>
    <row r="2717" spans="6:6" hidden="1" x14ac:dyDescent="0.2">
      <c r="F2717" s="50"/>
    </row>
    <row r="2718" spans="6:6" hidden="1" x14ac:dyDescent="0.2">
      <c r="F2718" s="50"/>
    </row>
    <row r="2719" spans="6:6" hidden="1" x14ac:dyDescent="0.2">
      <c r="F2719" s="50"/>
    </row>
    <row r="2720" spans="6:6" hidden="1" x14ac:dyDescent="0.2">
      <c r="F2720" s="50"/>
    </row>
    <row r="2721" spans="6:6" hidden="1" x14ac:dyDescent="0.2">
      <c r="F2721" s="50"/>
    </row>
    <row r="2722" spans="6:6" hidden="1" x14ac:dyDescent="0.2">
      <c r="F2722" s="50"/>
    </row>
    <row r="2723" spans="6:6" hidden="1" x14ac:dyDescent="0.2">
      <c r="F2723" s="50"/>
    </row>
    <row r="2724" spans="6:6" hidden="1" x14ac:dyDescent="0.2">
      <c r="F2724" s="50"/>
    </row>
    <row r="2725" spans="6:6" hidden="1" x14ac:dyDescent="0.2">
      <c r="F2725" s="50"/>
    </row>
    <row r="2726" spans="6:6" hidden="1" x14ac:dyDescent="0.2">
      <c r="F2726" s="50"/>
    </row>
    <row r="2727" spans="6:6" hidden="1" x14ac:dyDescent="0.2">
      <c r="F2727" s="50"/>
    </row>
    <row r="2728" spans="6:6" hidden="1" x14ac:dyDescent="0.2">
      <c r="F2728" s="50"/>
    </row>
    <row r="2729" spans="6:6" hidden="1" x14ac:dyDescent="0.2">
      <c r="F2729" s="50"/>
    </row>
    <row r="2730" spans="6:6" hidden="1" x14ac:dyDescent="0.2">
      <c r="F2730" s="50"/>
    </row>
    <row r="2731" spans="6:6" hidden="1" x14ac:dyDescent="0.2">
      <c r="F2731" s="50"/>
    </row>
    <row r="2732" spans="6:6" hidden="1" x14ac:dyDescent="0.2">
      <c r="F2732" s="50"/>
    </row>
    <row r="2734" spans="6:6" hidden="1" x14ac:dyDescent="0.2">
      <c r="F2734" s="50"/>
    </row>
    <row r="2735" spans="6:6" hidden="1" x14ac:dyDescent="0.2">
      <c r="F2735" s="50"/>
    </row>
    <row r="2736" spans="6:6" hidden="1" x14ac:dyDescent="0.2">
      <c r="F2736" s="50"/>
    </row>
    <row r="2737" spans="6:6" hidden="1" x14ac:dyDescent="0.2">
      <c r="F2737" s="50"/>
    </row>
    <row r="2738" spans="6:6" hidden="1" x14ac:dyDescent="0.2">
      <c r="F2738" s="50"/>
    </row>
    <row r="2739" spans="6:6" hidden="1" x14ac:dyDescent="0.2">
      <c r="F2739" s="50"/>
    </row>
    <row r="2740" spans="6:6" hidden="1" x14ac:dyDescent="0.2">
      <c r="F2740" s="50"/>
    </row>
    <row r="2741" spans="6:6" hidden="1" x14ac:dyDescent="0.2">
      <c r="F2741" s="50"/>
    </row>
    <row r="2742" spans="6:6" hidden="1" x14ac:dyDescent="0.2">
      <c r="F2742" s="50"/>
    </row>
    <row r="2743" spans="6:6" hidden="1" x14ac:dyDescent="0.2">
      <c r="F2743" s="50"/>
    </row>
    <row r="2744" spans="6:6" hidden="1" x14ac:dyDescent="0.2">
      <c r="F2744" s="50"/>
    </row>
    <row r="2745" spans="6:6" hidden="1" x14ac:dyDescent="0.2">
      <c r="F2745" s="50"/>
    </row>
    <row r="2746" spans="6:6" hidden="1" x14ac:dyDescent="0.2">
      <c r="F2746" s="50"/>
    </row>
    <row r="2747" spans="6:6" hidden="1" x14ac:dyDescent="0.2">
      <c r="F2747" s="50"/>
    </row>
    <row r="2748" spans="6:6" hidden="1" x14ac:dyDescent="0.2">
      <c r="F2748" s="50"/>
    </row>
    <row r="2749" spans="6:6" hidden="1" x14ac:dyDescent="0.2">
      <c r="F2749" s="50"/>
    </row>
    <row r="2750" spans="6:6" hidden="1" x14ac:dyDescent="0.2">
      <c r="F2750" s="50"/>
    </row>
    <row r="2751" spans="6:6" hidden="1" x14ac:dyDescent="0.2">
      <c r="F2751" s="50"/>
    </row>
    <row r="2752" spans="6:6" hidden="1" x14ac:dyDescent="0.2">
      <c r="F2752" s="50"/>
    </row>
    <row r="2753" spans="6:6" hidden="1" x14ac:dyDescent="0.2">
      <c r="F2753" s="50"/>
    </row>
    <row r="2754" spans="6:6" hidden="1" x14ac:dyDescent="0.2">
      <c r="F2754" s="50"/>
    </row>
    <row r="2755" spans="6:6" hidden="1" x14ac:dyDescent="0.2">
      <c r="F2755" s="50"/>
    </row>
    <row r="2756" spans="6:6" hidden="1" x14ac:dyDescent="0.2">
      <c r="F2756" s="50"/>
    </row>
    <row r="2757" spans="6:6" hidden="1" x14ac:dyDescent="0.2">
      <c r="F2757" s="50"/>
    </row>
    <row r="2758" spans="6:6" hidden="1" x14ac:dyDescent="0.2">
      <c r="F2758" s="50"/>
    </row>
    <row r="2759" spans="6:6" hidden="1" x14ac:dyDescent="0.2">
      <c r="F2759" s="50"/>
    </row>
    <row r="2760" spans="6:6" hidden="1" x14ac:dyDescent="0.2">
      <c r="F2760" s="50"/>
    </row>
    <row r="2761" spans="6:6" hidden="1" x14ac:dyDescent="0.2">
      <c r="F2761" s="50"/>
    </row>
    <row r="2762" spans="6:6" hidden="1" x14ac:dyDescent="0.2">
      <c r="F2762" s="50"/>
    </row>
    <row r="2763" spans="6:6" hidden="1" x14ac:dyDescent="0.2">
      <c r="F2763" s="50"/>
    </row>
    <row r="2764" spans="6:6" hidden="1" x14ac:dyDescent="0.2">
      <c r="F2764" s="50"/>
    </row>
    <row r="2765" spans="6:6" hidden="1" x14ac:dyDescent="0.2">
      <c r="F2765" s="50"/>
    </row>
    <row r="2766" spans="6:6" hidden="1" x14ac:dyDescent="0.2">
      <c r="F2766" s="50"/>
    </row>
    <row r="2767" spans="6:6" hidden="1" x14ac:dyDescent="0.2">
      <c r="F2767" s="50"/>
    </row>
    <row r="2768" spans="6:6" hidden="1" x14ac:dyDescent="0.2">
      <c r="F2768" s="50"/>
    </row>
    <row r="2769" spans="6:6" hidden="1" x14ac:dyDescent="0.2">
      <c r="F2769" s="50"/>
    </row>
    <row r="2770" spans="6:6" hidden="1" x14ac:dyDescent="0.2">
      <c r="F2770" s="50"/>
    </row>
    <row r="2771" spans="6:6" hidden="1" x14ac:dyDescent="0.2">
      <c r="F2771" s="50"/>
    </row>
    <row r="2774" spans="6:6" hidden="1" x14ac:dyDescent="0.2">
      <c r="F2774" s="50"/>
    </row>
    <row r="2775" spans="6:6" hidden="1" x14ac:dyDescent="0.2">
      <c r="F2775" s="50"/>
    </row>
    <row r="2776" spans="6:6" hidden="1" x14ac:dyDescent="0.2">
      <c r="F2776" s="50"/>
    </row>
    <row r="2777" spans="6:6" hidden="1" x14ac:dyDescent="0.2">
      <c r="F2777" s="50"/>
    </row>
    <row r="2778" spans="6:6" hidden="1" x14ac:dyDescent="0.2">
      <c r="F2778" s="50"/>
    </row>
    <row r="2779" spans="6:6" hidden="1" x14ac:dyDescent="0.2">
      <c r="F2779" s="50"/>
    </row>
    <row r="2780" spans="6:6" hidden="1" x14ac:dyDescent="0.2">
      <c r="F2780" s="50"/>
    </row>
    <row r="2781" spans="6:6" hidden="1" x14ac:dyDescent="0.2">
      <c r="F2781" s="50"/>
    </row>
    <row r="2782" spans="6:6" hidden="1" x14ac:dyDescent="0.2">
      <c r="F2782" s="50"/>
    </row>
    <row r="2783" spans="6:6" hidden="1" x14ac:dyDescent="0.2">
      <c r="F2783" s="50"/>
    </row>
    <row r="2784" spans="6:6" hidden="1" x14ac:dyDescent="0.2">
      <c r="F2784" s="50"/>
    </row>
    <row r="2785" spans="6:6" hidden="1" x14ac:dyDescent="0.2">
      <c r="F2785" s="50"/>
    </row>
    <row r="2786" spans="6:6" hidden="1" x14ac:dyDescent="0.2">
      <c r="F2786" s="50"/>
    </row>
    <row r="2787" spans="6:6" hidden="1" x14ac:dyDescent="0.2">
      <c r="F2787" s="50"/>
    </row>
    <row r="2788" spans="6:6" hidden="1" x14ac:dyDescent="0.2">
      <c r="F2788" s="50"/>
    </row>
    <row r="2789" spans="6:6" hidden="1" x14ac:dyDescent="0.2">
      <c r="F2789" s="50"/>
    </row>
    <row r="2790" spans="6:6" hidden="1" x14ac:dyDescent="0.2">
      <c r="F2790" s="50"/>
    </row>
    <row r="2791" spans="6:6" hidden="1" x14ac:dyDescent="0.2">
      <c r="F2791" s="50"/>
    </row>
    <row r="2792" spans="6:6" hidden="1" x14ac:dyDescent="0.2">
      <c r="F2792" s="50"/>
    </row>
    <row r="2793" spans="6:6" hidden="1" x14ac:dyDescent="0.2">
      <c r="F2793" s="50"/>
    </row>
    <row r="2794" spans="6:6" hidden="1" x14ac:dyDescent="0.2">
      <c r="F2794" s="50"/>
    </row>
    <row r="2795" spans="6:6" hidden="1" x14ac:dyDescent="0.2">
      <c r="F2795" s="50"/>
    </row>
    <row r="2796" spans="6:6" hidden="1" x14ac:dyDescent="0.2">
      <c r="F2796" s="50"/>
    </row>
    <row r="2797" spans="6:6" hidden="1" x14ac:dyDescent="0.2">
      <c r="F2797" s="50"/>
    </row>
    <row r="2798" spans="6:6" hidden="1" x14ac:dyDescent="0.2">
      <c r="F2798" s="50"/>
    </row>
    <row r="2799" spans="6:6" hidden="1" x14ac:dyDescent="0.2">
      <c r="F2799" s="50"/>
    </row>
    <row r="2800" spans="6:6" hidden="1" x14ac:dyDescent="0.2">
      <c r="F2800" s="50"/>
    </row>
    <row r="2801" spans="6:6" hidden="1" x14ac:dyDescent="0.2">
      <c r="F2801" s="50"/>
    </row>
    <row r="2802" spans="6:6" hidden="1" x14ac:dyDescent="0.2">
      <c r="F2802" s="50"/>
    </row>
    <row r="2803" spans="6:6" hidden="1" x14ac:dyDescent="0.2">
      <c r="F2803" s="50"/>
    </row>
    <row r="2804" spans="6:6" hidden="1" x14ac:dyDescent="0.2">
      <c r="F2804" s="50"/>
    </row>
    <row r="2805" spans="6:6" hidden="1" x14ac:dyDescent="0.2">
      <c r="F2805" s="50"/>
    </row>
    <row r="2806" spans="6:6" hidden="1" x14ac:dyDescent="0.2">
      <c r="F2806" s="50"/>
    </row>
    <row r="2807" spans="6:6" hidden="1" x14ac:dyDescent="0.2">
      <c r="F2807" s="50"/>
    </row>
    <row r="2808" spans="6:6" hidden="1" x14ac:dyDescent="0.2">
      <c r="F2808" s="50"/>
    </row>
    <row r="2809" spans="6:6" hidden="1" x14ac:dyDescent="0.2">
      <c r="F2809" s="50"/>
    </row>
    <row r="2810" spans="6:6" hidden="1" x14ac:dyDescent="0.2">
      <c r="F2810" s="50"/>
    </row>
    <row r="2811" spans="6:6" hidden="1" x14ac:dyDescent="0.2">
      <c r="F2811" s="50"/>
    </row>
    <row r="2812" spans="6:6" hidden="1" x14ac:dyDescent="0.2">
      <c r="F2812" s="50"/>
    </row>
    <row r="2813" spans="6:6" hidden="1" x14ac:dyDescent="0.2">
      <c r="F2813" s="50"/>
    </row>
    <row r="2814" spans="6:6" hidden="1" x14ac:dyDescent="0.2">
      <c r="F2814" s="50"/>
    </row>
    <row r="2815" spans="6:6" hidden="1" x14ac:dyDescent="0.2">
      <c r="F2815" s="50"/>
    </row>
    <row r="2816" spans="6:6" hidden="1" x14ac:dyDescent="0.2">
      <c r="F2816" s="50"/>
    </row>
    <row r="2817" spans="6:6" hidden="1" x14ac:dyDescent="0.2">
      <c r="F2817" s="50"/>
    </row>
    <row r="2818" spans="6:6" hidden="1" x14ac:dyDescent="0.2">
      <c r="F2818" s="50"/>
    </row>
    <row r="2819" spans="6:6" hidden="1" x14ac:dyDescent="0.2">
      <c r="F2819" s="50"/>
    </row>
    <row r="2820" spans="6:6" hidden="1" x14ac:dyDescent="0.2">
      <c r="F2820" s="50"/>
    </row>
    <row r="2821" spans="6:6" hidden="1" x14ac:dyDescent="0.2">
      <c r="F2821" s="50"/>
    </row>
    <row r="2822" spans="6:6" hidden="1" x14ac:dyDescent="0.2">
      <c r="F2822" s="50"/>
    </row>
    <row r="2823" spans="6:6" hidden="1" x14ac:dyDescent="0.2">
      <c r="F2823" s="50"/>
    </row>
    <row r="2824" spans="6:6" hidden="1" x14ac:dyDescent="0.2">
      <c r="F2824" s="50"/>
    </row>
    <row r="2825" spans="6:6" hidden="1" x14ac:dyDescent="0.2">
      <c r="F2825" s="50"/>
    </row>
    <row r="2826" spans="6:6" hidden="1" x14ac:dyDescent="0.2">
      <c r="F2826" s="50"/>
    </row>
    <row r="2827" spans="6:6" hidden="1" x14ac:dyDescent="0.2">
      <c r="F2827" s="50"/>
    </row>
    <row r="2828" spans="6:6" hidden="1" x14ac:dyDescent="0.2">
      <c r="F2828" s="50"/>
    </row>
    <row r="2829" spans="6:6" hidden="1" x14ac:dyDescent="0.2">
      <c r="F2829" s="50"/>
    </row>
    <row r="2830" spans="6:6" hidden="1" x14ac:dyDescent="0.2">
      <c r="F2830" s="50"/>
    </row>
    <row r="2831" spans="6:6" hidden="1" x14ac:dyDescent="0.2">
      <c r="F2831" s="50"/>
    </row>
    <row r="2832" spans="6:6" hidden="1" x14ac:dyDescent="0.2">
      <c r="F2832" s="50"/>
    </row>
    <row r="2833" spans="1:6" hidden="1" x14ac:dyDescent="0.2">
      <c r="F2833" s="50"/>
    </row>
    <row r="2834" spans="1:6" hidden="1" x14ac:dyDescent="0.2">
      <c r="F2834" s="50"/>
    </row>
    <row r="2835" spans="1:6" hidden="1" x14ac:dyDescent="0.2">
      <c r="F2835" s="50"/>
    </row>
    <row r="2836" spans="1:6" hidden="1" x14ac:dyDescent="0.2">
      <c r="F2836" s="50"/>
    </row>
    <row r="2837" spans="1:6" hidden="1" x14ac:dyDescent="0.2">
      <c r="F2837" s="50"/>
    </row>
    <row r="2838" spans="1:6" hidden="1" x14ac:dyDescent="0.2">
      <c r="F2838" s="50"/>
    </row>
    <row r="2839" spans="1:6" hidden="1" x14ac:dyDescent="0.2">
      <c r="F2839" s="50"/>
    </row>
    <row r="2840" spans="1:6" hidden="1" x14ac:dyDescent="0.2">
      <c r="F2840" s="50"/>
    </row>
    <row r="2841" spans="1:6" hidden="1" x14ac:dyDescent="0.2">
      <c r="F2841" s="50"/>
    </row>
    <row r="2842" spans="1:6" hidden="1" x14ac:dyDescent="0.2">
      <c r="F2842" s="50"/>
    </row>
    <row r="2843" spans="1:6" hidden="1" x14ac:dyDescent="0.2">
      <c r="F2843" s="50"/>
    </row>
    <row r="2844" spans="1:6" hidden="1" x14ac:dyDescent="0.2">
      <c r="F2844" s="50"/>
    </row>
    <row r="2845" spans="1:6" hidden="1" x14ac:dyDescent="0.2">
      <c r="F2845" s="50"/>
    </row>
    <row r="2846" spans="1:6" hidden="1" x14ac:dyDescent="0.2">
      <c r="F2846" s="50"/>
    </row>
    <row r="2847" spans="1:6" hidden="1" x14ac:dyDescent="0.2">
      <c r="A2847" s="60"/>
      <c r="C2847" s="60"/>
    </row>
    <row r="2849" spans="6:6" hidden="1" x14ac:dyDescent="0.2">
      <c r="F2849" s="50"/>
    </row>
    <row r="2850" spans="6:6" hidden="1" x14ac:dyDescent="0.2">
      <c r="F2850" s="50"/>
    </row>
    <row r="2851" spans="6:6" hidden="1" x14ac:dyDescent="0.2">
      <c r="F2851" s="50"/>
    </row>
    <row r="2852" spans="6:6" hidden="1" x14ac:dyDescent="0.2">
      <c r="F2852" s="50"/>
    </row>
    <row r="2853" spans="6:6" hidden="1" x14ac:dyDescent="0.2">
      <c r="F2853" s="50"/>
    </row>
    <row r="2854" spans="6:6" hidden="1" x14ac:dyDescent="0.2">
      <c r="F2854" s="50"/>
    </row>
    <row r="2855" spans="6:6" hidden="1" x14ac:dyDescent="0.2">
      <c r="F2855" s="50"/>
    </row>
    <row r="2856" spans="6:6" hidden="1" x14ac:dyDescent="0.2">
      <c r="F2856" s="50"/>
    </row>
    <row r="2857" spans="6:6" hidden="1" x14ac:dyDescent="0.2">
      <c r="F2857" s="50"/>
    </row>
    <row r="2858" spans="6:6" hidden="1" x14ac:dyDescent="0.2">
      <c r="F2858" s="50"/>
    </row>
    <row r="2859" spans="6:6" hidden="1" x14ac:dyDescent="0.2">
      <c r="F2859" s="50"/>
    </row>
    <row r="2860" spans="6:6" hidden="1" x14ac:dyDescent="0.2">
      <c r="F2860" s="50"/>
    </row>
    <row r="2861" spans="6:6" hidden="1" x14ac:dyDescent="0.2">
      <c r="F2861" s="50"/>
    </row>
    <row r="2862" spans="6:6" hidden="1" x14ac:dyDescent="0.2">
      <c r="F2862" s="50"/>
    </row>
    <row r="2863" spans="6:6" hidden="1" x14ac:dyDescent="0.2">
      <c r="F2863" s="50"/>
    </row>
    <row r="2864" spans="6:6" hidden="1" x14ac:dyDescent="0.2">
      <c r="F2864" s="50"/>
    </row>
    <row r="2865" spans="6:6" hidden="1" x14ac:dyDescent="0.2">
      <c r="F2865" s="50"/>
    </row>
    <row r="2866" spans="6:6" hidden="1" x14ac:dyDescent="0.2">
      <c r="F2866" s="50"/>
    </row>
    <row r="2867" spans="6:6" hidden="1" x14ac:dyDescent="0.2">
      <c r="F2867" s="50"/>
    </row>
    <row r="2868" spans="6:6" hidden="1" x14ac:dyDescent="0.2">
      <c r="F2868" s="50"/>
    </row>
    <row r="2869" spans="6:6" hidden="1" x14ac:dyDescent="0.2">
      <c r="F2869" s="50"/>
    </row>
    <row r="2870" spans="6:6" hidden="1" x14ac:dyDescent="0.2">
      <c r="F2870" s="50"/>
    </row>
    <row r="2871" spans="6:6" hidden="1" x14ac:dyDescent="0.2">
      <c r="F2871" s="50"/>
    </row>
    <row r="2872" spans="6:6" hidden="1" x14ac:dyDescent="0.2">
      <c r="F2872" s="50"/>
    </row>
    <row r="2873" spans="6:6" hidden="1" x14ac:dyDescent="0.2">
      <c r="F2873" s="50"/>
    </row>
    <row r="2874" spans="6:6" hidden="1" x14ac:dyDescent="0.2">
      <c r="F2874" s="50"/>
    </row>
    <row r="2875" spans="6:6" hidden="1" x14ac:dyDescent="0.2">
      <c r="F2875" s="50"/>
    </row>
    <row r="2876" spans="6:6" hidden="1" x14ac:dyDescent="0.2">
      <c r="F2876" s="50"/>
    </row>
    <row r="2877" spans="6:6" hidden="1" x14ac:dyDescent="0.2">
      <c r="F2877" s="50"/>
    </row>
    <row r="2878" spans="6:6" hidden="1" x14ac:dyDescent="0.2">
      <c r="F2878" s="50"/>
    </row>
    <row r="2879" spans="6:6" hidden="1" x14ac:dyDescent="0.2">
      <c r="F2879" s="50"/>
    </row>
    <row r="2880" spans="6:6" hidden="1" x14ac:dyDescent="0.2">
      <c r="F2880" s="50"/>
    </row>
    <row r="2881" spans="6:6" hidden="1" x14ac:dyDescent="0.2">
      <c r="F2881" s="50"/>
    </row>
    <row r="2883" spans="6:6" hidden="1" x14ac:dyDescent="0.2">
      <c r="F2883" s="50"/>
    </row>
    <row r="2884" spans="6:6" hidden="1" x14ac:dyDescent="0.2">
      <c r="F2884" s="50"/>
    </row>
    <row r="2885" spans="6:6" hidden="1" x14ac:dyDescent="0.2">
      <c r="F2885" s="50"/>
    </row>
    <row r="2886" spans="6:6" hidden="1" x14ac:dyDescent="0.2">
      <c r="F2886" s="50"/>
    </row>
    <row r="2890" spans="6:6" hidden="1" x14ac:dyDescent="0.2">
      <c r="F2890" s="50"/>
    </row>
    <row r="2891" spans="6:6" ht="12" hidden="1" customHeight="1" x14ac:dyDescent="0.2">
      <c r="F2891" s="50"/>
    </row>
    <row r="2892" spans="6:6" hidden="1" x14ac:dyDescent="0.2">
      <c r="F2892" s="50"/>
    </row>
    <row r="2893" spans="6:6" hidden="1" x14ac:dyDescent="0.2">
      <c r="F2893" s="50"/>
    </row>
    <row r="2894" spans="6:6" hidden="1" x14ac:dyDescent="0.2">
      <c r="F2894" s="50"/>
    </row>
    <row r="2895" spans="6:6" hidden="1" x14ac:dyDescent="0.2">
      <c r="F2895" s="50"/>
    </row>
    <row r="2896" spans="6:6" hidden="1" x14ac:dyDescent="0.2">
      <c r="F2896" s="50"/>
    </row>
    <row r="2897" spans="6:6" hidden="1" x14ac:dyDescent="0.2">
      <c r="F2897" s="50"/>
    </row>
    <row r="2898" spans="6:6" hidden="1" x14ac:dyDescent="0.2">
      <c r="F2898" s="50"/>
    </row>
    <row r="2899" spans="6:6" hidden="1" x14ac:dyDescent="0.2">
      <c r="F2899" s="50"/>
    </row>
    <row r="2900" spans="6:6" hidden="1" x14ac:dyDescent="0.2">
      <c r="F2900" s="50"/>
    </row>
    <row r="2901" spans="6:6" hidden="1" x14ac:dyDescent="0.2">
      <c r="F2901" s="50"/>
    </row>
    <row r="2902" spans="6:6" hidden="1" x14ac:dyDescent="0.2">
      <c r="F2902" s="50"/>
    </row>
    <row r="2903" spans="6:6" hidden="1" x14ac:dyDescent="0.2">
      <c r="F2903" s="50"/>
    </row>
    <row r="2904" spans="6:6" hidden="1" x14ac:dyDescent="0.2">
      <c r="F2904" s="50"/>
    </row>
    <row r="2905" spans="6:6" hidden="1" x14ac:dyDescent="0.2">
      <c r="F2905" s="50"/>
    </row>
    <row r="2906" spans="6:6" hidden="1" x14ac:dyDescent="0.2">
      <c r="F2906" s="50"/>
    </row>
    <row r="2907" spans="6:6" hidden="1" x14ac:dyDescent="0.2">
      <c r="F2907" s="50"/>
    </row>
    <row r="2908" spans="6:6" hidden="1" x14ac:dyDescent="0.2">
      <c r="F2908" s="50"/>
    </row>
    <row r="2909" spans="6:6" hidden="1" x14ac:dyDescent="0.2">
      <c r="F2909" s="50"/>
    </row>
    <row r="2910" spans="6:6" hidden="1" x14ac:dyDescent="0.2">
      <c r="F2910" s="50"/>
    </row>
    <row r="2911" spans="6:6" hidden="1" x14ac:dyDescent="0.2">
      <c r="F2911" s="50"/>
    </row>
    <row r="2912" spans="6:6" hidden="1" x14ac:dyDescent="0.2">
      <c r="F2912" s="50"/>
    </row>
    <row r="2913" spans="6:6" hidden="1" x14ac:dyDescent="0.2">
      <c r="F2913" s="50"/>
    </row>
    <row r="2914" spans="6:6" hidden="1" x14ac:dyDescent="0.2">
      <c r="F2914" s="50"/>
    </row>
    <row r="2915" spans="6:6" hidden="1" x14ac:dyDescent="0.2">
      <c r="F2915" s="50"/>
    </row>
    <row r="2916" spans="6:6" hidden="1" x14ac:dyDescent="0.2">
      <c r="F2916" s="50"/>
    </row>
    <row r="2917" spans="6:6" hidden="1" x14ac:dyDescent="0.2">
      <c r="F2917" s="50"/>
    </row>
    <row r="2918" spans="6:6" hidden="1" x14ac:dyDescent="0.2">
      <c r="F2918" s="50"/>
    </row>
    <row r="2919" spans="6:6" ht="14.25" hidden="1" customHeight="1" x14ac:dyDescent="0.2">
      <c r="F2919" s="50"/>
    </row>
    <row r="2920" spans="6:6" hidden="1" x14ac:dyDescent="0.2">
      <c r="F2920" s="50"/>
    </row>
    <row r="2921" spans="6:6" hidden="1" x14ac:dyDescent="0.2">
      <c r="F2921" s="50"/>
    </row>
    <row r="2922" spans="6:6" hidden="1" x14ac:dyDescent="0.2">
      <c r="F2922" s="50"/>
    </row>
    <row r="2923" spans="6:6" hidden="1" x14ac:dyDescent="0.2">
      <c r="F2923" s="50"/>
    </row>
    <row r="2924" spans="6:6" hidden="1" x14ac:dyDescent="0.2">
      <c r="F2924" s="50"/>
    </row>
    <row r="2925" spans="6:6" hidden="1" x14ac:dyDescent="0.2">
      <c r="F2925" s="50"/>
    </row>
    <row r="2926" spans="6:6" hidden="1" x14ac:dyDescent="0.2">
      <c r="F2926" s="50"/>
    </row>
    <row r="2927" spans="6:6" hidden="1" x14ac:dyDescent="0.2">
      <c r="F2927" s="50"/>
    </row>
    <row r="2928" spans="6:6" hidden="1" x14ac:dyDescent="0.2">
      <c r="F2928" s="50"/>
    </row>
    <row r="2929" spans="3:6" hidden="1" x14ac:dyDescent="0.2">
      <c r="F2929" s="50"/>
    </row>
    <row r="2930" spans="3:6" hidden="1" x14ac:dyDescent="0.2">
      <c r="F2930" s="50"/>
    </row>
    <row r="2931" spans="3:6" hidden="1" x14ac:dyDescent="0.2">
      <c r="F2931" s="50"/>
    </row>
    <row r="2932" spans="3:6" hidden="1" x14ac:dyDescent="0.2">
      <c r="F2932" s="50"/>
    </row>
    <row r="2933" spans="3:6" hidden="1" x14ac:dyDescent="0.2">
      <c r="F2933" s="50"/>
    </row>
    <row r="2934" spans="3:6" hidden="1" x14ac:dyDescent="0.2">
      <c r="F2934" s="50"/>
    </row>
    <row r="2935" spans="3:6" hidden="1" x14ac:dyDescent="0.2">
      <c r="F2935" s="50"/>
    </row>
    <row r="2936" spans="3:6" hidden="1" x14ac:dyDescent="0.2">
      <c r="F2936" s="50"/>
    </row>
    <row r="2937" spans="3:6" hidden="1" x14ac:dyDescent="0.2">
      <c r="F2937" s="50"/>
    </row>
    <row r="2938" spans="3:6" hidden="1" x14ac:dyDescent="0.2">
      <c r="F2938" s="50"/>
    </row>
    <row r="2939" spans="3:6" hidden="1" x14ac:dyDescent="0.2">
      <c r="F2939" s="50"/>
    </row>
    <row r="2940" spans="3:6" hidden="1" x14ac:dyDescent="0.2">
      <c r="F2940" s="50"/>
    </row>
    <row r="2941" spans="3:6" hidden="1" x14ac:dyDescent="0.2">
      <c r="F2941" s="50"/>
    </row>
    <row r="2942" spans="3:6" hidden="1" x14ac:dyDescent="0.2">
      <c r="F2942" s="50"/>
    </row>
    <row r="2943" spans="3:6" hidden="1" x14ac:dyDescent="0.2">
      <c r="F2943" s="50"/>
    </row>
    <row r="2944" spans="3:6" ht="15" hidden="1" x14ac:dyDescent="0.25">
      <c r="C2944" s="58"/>
    </row>
    <row r="2945" spans="6:6" hidden="1" x14ac:dyDescent="0.2">
      <c r="F2945" s="50"/>
    </row>
    <row r="2946" spans="6:6" hidden="1" x14ac:dyDescent="0.2">
      <c r="F2946" s="50"/>
    </row>
    <row r="2947" spans="6:6" hidden="1" x14ac:dyDescent="0.2">
      <c r="F2947" s="50"/>
    </row>
    <row r="2948" spans="6:6" hidden="1" x14ac:dyDescent="0.2">
      <c r="F2948" s="50"/>
    </row>
    <row r="2949" spans="6:6" hidden="1" x14ac:dyDescent="0.2">
      <c r="F2949" s="50"/>
    </row>
    <row r="2950" spans="6:6" hidden="1" x14ac:dyDescent="0.2">
      <c r="F2950" s="50"/>
    </row>
    <row r="2951" spans="6:6" hidden="1" x14ac:dyDescent="0.2">
      <c r="F2951" s="50"/>
    </row>
    <row r="2952" spans="6:6" hidden="1" x14ac:dyDescent="0.2">
      <c r="F2952" s="50"/>
    </row>
    <row r="2953" spans="6:6" hidden="1" x14ac:dyDescent="0.2">
      <c r="F2953" s="50"/>
    </row>
    <row r="2954" spans="6:6" hidden="1" x14ac:dyDescent="0.2">
      <c r="F2954" s="50"/>
    </row>
    <row r="2955" spans="6:6" hidden="1" x14ac:dyDescent="0.2">
      <c r="F2955" s="50"/>
    </row>
    <row r="2956" spans="6:6" hidden="1" x14ac:dyDescent="0.2">
      <c r="F2956" s="50"/>
    </row>
    <row r="2957" spans="6:6" hidden="1" x14ac:dyDescent="0.2">
      <c r="F2957" s="50"/>
    </row>
    <row r="2958" spans="6:6" hidden="1" x14ac:dyDescent="0.2">
      <c r="F2958" s="50"/>
    </row>
    <row r="2959" spans="6:6" hidden="1" x14ac:dyDescent="0.2">
      <c r="F2959" s="50"/>
    </row>
    <row r="2960" spans="6:6" hidden="1" x14ac:dyDescent="0.2">
      <c r="F2960" s="50"/>
    </row>
    <row r="2961" spans="6:6" hidden="1" x14ac:dyDescent="0.2">
      <c r="F2961" s="50"/>
    </row>
    <row r="2962" spans="6:6" hidden="1" x14ac:dyDescent="0.2">
      <c r="F2962" s="50"/>
    </row>
    <row r="2963" spans="6:6" hidden="1" x14ac:dyDescent="0.2">
      <c r="F2963" s="50"/>
    </row>
    <row r="2964" spans="6:6" hidden="1" x14ac:dyDescent="0.2">
      <c r="F2964" s="50"/>
    </row>
    <row r="2965" spans="6:6" hidden="1" x14ac:dyDescent="0.2">
      <c r="F2965" s="50"/>
    </row>
    <row r="2966" spans="6:6" hidden="1" x14ac:dyDescent="0.2">
      <c r="F2966" s="50"/>
    </row>
    <row r="2967" spans="6:6" hidden="1" x14ac:dyDescent="0.2">
      <c r="F2967" s="50"/>
    </row>
    <row r="2968" spans="6:6" hidden="1" x14ac:dyDescent="0.2">
      <c r="F2968" s="50"/>
    </row>
    <row r="2969" spans="6:6" hidden="1" x14ac:dyDescent="0.2">
      <c r="F2969" s="50"/>
    </row>
    <row r="2970" spans="6:6" hidden="1" x14ac:dyDescent="0.2">
      <c r="F2970" s="50"/>
    </row>
    <row r="2971" spans="6:6" hidden="1" x14ac:dyDescent="0.2">
      <c r="F2971" s="50"/>
    </row>
    <row r="2972" spans="6:6" hidden="1" x14ac:dyDescent="0.2">
      <c r="F2972" s="50"/>
    </row>
    <row r="2973" spans="6:6" hidden="1" x14ac:dyDescent="0.2">
      <c r="F2973" s="50"/>
    </row>
    <row r="2974" spans="6:6" hidden="1" x14ac:dyDescent="0.2">
      <c r="F2974" s="50"/>
    </row>
    <row r="2975" spans="6:6" hidden="1" x14ac:dyDescent="0.2">
      <c r="F2975" s="50"/>
    </row>
    <row r="2976" spans="6:6" hidden="1" x14ac:dyDescent="0.2">
      <c r="F2976" s="50"/>
    </row>
    <row r="2977" spans="1:6" hidden="1" x14ac:dyDescent="0.2">
      <c r="F2977" s="50"/>
    </row>
    <row r="2978" spans="1:6" hidden="1" x14ac:dyDescent="0.2">
      <c r="F2978" s="50"/>
    </row>
    <row r="2979" spans="1:6" hidden="1" x14ac:dyDescent="0.2">
      <c r="F2979" s="50"/>
    </row>
    <row r="2980" spans="1:6" hidden="1" x14ac:dyDescent="0.2">
      <c r="F2980" s="50"/>
    </row>
    <row r="2981" spans="1:6" hidden="1" x14ac:dyDescent="0.2">
      <c r="F2981" s="50"/>
    </row>
    <row r="2982" spans="1:6" hidden="1" x14ac:dyDescent="0.2">
      <c r="F2982" s="50"/>
    </row>
    <row r="2983" spans="1:6" hidden="1" x14ac:dyDescent="0.2">
      <c r="F2983" s="50"/>
    </row>
    <row r="2984" spans="1:6" hidden="1" x14ac:dyDescent="0.2">
      <c r="A2984" s="60"/>
      <c r="C2984" s="60"/>
    </row>
    <row r="2985" spans="1:6" hidden="1" x14ac:dyDescent="0.2">
      <c r="F2985" s="50"/>
    </row>
    <row r="2986" spans="1:6" hidden="1" x14ac:dyDescent="0.2">
      <c r="F2986" s="50"/>
    </row>
    <row r="2988" spans="1:6" hidden="1" x14ac:dyDescent="0.2">
      <c r="F2988" s="50"/>
    </row>
    <row r="2989" spans="1:6" hidden="1" x14ac:dyDescent="0.2">
      <c r="F2989" s="50"/>
    </row>
    <row r="2990" spans="1:6" hidden="1" x14ac:dyDescent="0.2">
      <c r="F2990" s="50"/>
    </row>
    <row r="2991" spans="1:6" hidden="1" x14ac:dyDescent="0.2">
      <c r="F2991" s="50"/>
    </row>
    <row r="2992" spans="1:6" hidden="1" x14ac:dyDescent="0.2">
      <c r="F2992" s="50"/>
    </row>
    <row r="2993" spans="6:6" hidden="1" x14ac:dyDescent="0.2">
      <c r="F2993" s="50"/>
    </row>
    <row r="2994" spans="6:6" hidden="1" x14ac:dyDescent="0.2">
      <c r="F2994" s="50"/>
    </row>
    <row r="2995" spans="6:6" hidden="1" x14ac:dyDescent="0.2">
      <c r="F2995" s="50"/>
    </row>
    <row r="2996" spans="6:6" hidden="1" x14ac:dyDescent="0.2">
      <c r="F2996" s="50"/>
    </row>
    <row r="2997" spans="6:6" hidden="1" x14ac:dyDescent="0.2">
      <c r="F2997" s="50"/>
    </row>
    <row r="2998" spans="6:6" hidden="1" x14ac:dyDescent="0.2">
      <c r="F2998" s="50"/>
    </row>
    <row r="2999" spans="6:6" hidden="1" x14ac:dyDescent="0.2">
      <c r="F2999" s="50"/>
    </row>
    <row r="3000" spans="6:6" hidden="1" x14ac:dyDescent="0.2">
      <c r="F3000" s="50"/>
    </row>
    <row r="3001" spans="6:6" hidden="1" x14ac:dyDescent="0.2">
      <c r="F3001" s="50"/>
    </row>
    <row r="3002" spans="6:6" hidden="1" x14ac:dyDescent="0.2">
      <c r="F3002" s="50"/>
    </row>
    <row r="3003" spans="6:6" hidden="1" x14ac:dyDescent="0.2">
      <c r="F3003" s="50"/>
    </row>
    <row r="3004" spans="6:6" hidden="1" x14ac:dyDescent="0.2">
      <c r="F3004" s="50"/>
    </row>
    <row r="3005" spans="6:6" hidden="1" x14ac:dyDescent="0.2">
      <c r="F3005" s="50"/>
    </row>
    <row r="3006" spans="6:6" hidden="1" x14ac:dyDescent="0.2">
      <c r="F3006" s="50"/>
    </row>
    <row r="3007" spans="6:6" hidden="1" x14ac:dyDescent="0.2">
      <c r="F3007" s="50"/>
    </row>
    <row r="3008" spans="6:6" hidden="1" x14ac:dyDescent="0.2">
      <c r="F3008" s="50"/>
    </row>
    <row r="3009" spans="6:6" hidden="1" x14ac:dyDescent="0.2">
      <c r="F3009" s="50"/>
    </row>
    <row r="3010" spans="6:6" hidden="1" x14ac:dyDescent="0.2">
      <c r="F3010" s="50"/>
    </row>
    <row r="3013" spans="6:6" hidden="1" x14ac:dyDescent="0.2">
      <c r="F3013" s="50"/>
    </row>
    <row r="3015" spans="6:6" hidden="1" x14ac:dyDescent="0.2">
      <c r="F3015" s="50"/>
    </row>
    <row r="3016" spans="6:6" hidden="1" x14ac:dyDescent="0.2">
      <c r="F3016" s="50"/>
    </row>
    <row r="3017" spans="6:6" hidden="1" x14ac:dyDescent="0.2">
      <c r="F3017" s="50"/>
    </row>
    <row r="3018" spans="6:6" hidden="1" x14ac:dyDescent="0.2">
      <c r="F3018" s="50"/>
    </row>
    <row r="3019" spans="6:6" hidden="1" x14ac:dyDescent="0.2">
      <c r="F3019" s="50"/>
    </row>
    <row r="3020" spans="6:6" hidden="1" x14ac:dyDescent="0.2">
      <c r="F3020" s="50"/>
    </row>
    <row r="3021" spans="6:6" hidden="1" x14ac:dyDescent="0.2">
      <c r="F3021" s="50"/>
    </row>
    <row r="3022" spans="6:6" hidden="1" x14ac:dyDescent="0.2">
      <c r="F3022" s="50"/>
    </row>
    <row r="3023" spans="6:6" hidden="1" x14ac:dyDescent="0.2">
      <c r="F3023" s="50"/>
    </row>
    <row r="3024" spans="6:6" hidden="1" x14ac:dyDescent="0.2">
      <c r="F3024" s="50"/>
    </row>
    <row r="3025" spans="6:8" hidden="1" x14ac:dyDescent="0.2">
      <c r="F3025" s="50"/>
    </row>
    <row r="3026" spans="6:8" hidden="1" x14ac:dyDescent="0.2">
      <c r="F3026" s="50"/>
    </row>
    <row r="3027" spans="6:8" hidden="1" x14ac:dyDescent="0.2">
      <c r="F3027" s="50"/>
    </row>
    <row r="3028" spans="6:8" hidden="1" x14ac:dyDescent="0.2">
      <c r="F3028" s="50"/>
    </row>
    <row r="3029" spans="6:8" hidden="1" x14ac:dyDescent="0.2">
      <c r="F3029" s="50"/>
    </row>
    <row r="3030" spans="6:8" hidden="1" x14ac:dyDescent="0.2">
      <c r="F3030" s="50"/>
    </row>
    <row r="3031" spans="6:8" hidden="1" x14ac:dyDescent="0.2">
      <c r="F3031" s="50"/>
    </row>
    <row r="3032" spans="6:8" hidden="1" x14ac:dyDescent="0.2">
      <c r="F3032" s="50"/>
    </row>
    <row r="3033" spans="6:8" hidden="1" x14ac:dyDescent="0.2">
      <c r="F3033" s="50"/>
    </row>
    <row r="3034" spans="6:8" hidden="1" x14ac:dyDescent="0.2">
      <c r="F3034" s="50"/>
    </row>
    <row r="3035" spans="6:8" hidden="1" x14ac:dyDescent="0.2">
      <c r="F3035" s="50"/>
    </row>
    <row r="3036" spans="6:8" hidden="1" x14ac:dyDescent="0.2">
      <c r="F3036" s="50"/>
    </row>
    <row r="3037" spans="6:8" hidden="1" x14ac:dyDescent="0.2">
      <c r="F3037" s="50"/>
      <c r="H3037"/>
    </row>
    <row r="3038" spans="6:8" hidden="1" x14ac:dyDescent="0.2">
      <c r="F3038" s="50"/>
    </row>
    <row r="3039" spans="6:8" hidden="1" x14ac:dyDescent="0.2">
      <c r="F3039" s="50"/>
    </row>
    <row r="3040" spans="6:8" hidden="1" x14ac:dyDescent="0.2">
      <c r="F3040" s="50"/>
    </row>
    <row r="3041" spans="6:6" hidden="1" x14ac:dyDescent="0.2">
      <c r="F3041" s="50"/>
    </row>
    <row r="3042" spans="6:6" hidden="1" x14ac:dyDescent="0.2">
      <c r="F3042" s="50"/>
    </row>
    <row r="3043" spans="6:6" hidden="1" x14ac:dyDescent="0.2">
      <c r="F3043" s="50"/>
    </row>
    <row r="3044" spans="6:6" hidden="1" x14ac:dyDescent="0.2">
      <c r="F3044" s="50"/>
    </row>
    <row r="3045" spans="6:6" hidden="1" x14ac:dyDescent="0.2">
      <c r="F3045" s="50"/>
    </row>
    <row r="3046" spans="6:6" hidden="1" x14ac:dyDescent="0.2">
      <c r="F3046" s="50"/>
    </row>
    <row r="3047" spans="6:6" hidden="1" x14ac:dyDescent="0.2">
      <c r="F3047" s="50"/>
    </row>
    <row r="3048" spans="6:6" hidden="1" x14ac:dyDescent="0.2">
      <c r="F3048" s="50"/>
    </row>
    <row r="3049" spans="6:6" hidden="1" x14ac:dyDescent="0.2">
      <c r="F3049" s="50"/>
    </row>
    <row r="3050" spans="6:6" hidden="1" x14ac:dyDescent="0.2">
      <c r="F3050" s="50"/>
    </row>
    <row r="3051" spans="6:6" hidden="1" x14ac:dyDescent="0.2">
      <c r="F3051" s="50"/>
    </row>
    <row r="3052" spans="6:6" hidden="1" x14ac:dyDescent="0.2">
      <c r="F3052" s="50"/>
    </row>
    <row r="3053" spans="6:6" hidden="1" x14ac:dyDescent="0.2">
      <c r="F3053" s="50"/>
    </row>
    <row r="3054" spans="6:6" hidden="1" x14ac:dyDescent="0.2">
      <c r="F3054" s="50"/>
    </row>
    <row r="3055" spans="6:6" hidden="1" x14ac:dyDescent="0.2">
      <c r="F3055" s="50"/>
    </row>
    <row r="3056" spans="6:6" hidden="1" x14ac:dyDescent="0.2">
      <c r="F3056" s="50"/>
    </row>
    <row r="3057" spans="6:6" hidden="1" x14ac:dyDescent="0.2">
      <c r="F3057" s="50"/>
    </row>
    <row r="3060" spans="6:6" hidden="1" x14ac:dyDescent="0.2">
      <c r="F3060" s="50"/>
    </row>
    <row r="3061" spans="6:6" hidden="1" x14ac:dyDescent="0.2">
      <c r="F3061" s="50"/>
    </row>
    <row r="3062" spans="6:6" hidden="1" x14ac:dyDescent="0.2">
      <c r="F3062" s="50"/>
    </row>
    <row r="3063" spans="6:6" hidden="1" x14ac:dyDescent="0.2">
      <c r="F3063" s="50"/>
    </row>
    <row r="3064" spans="6:6" hidden="1" x14ac:dyDescent="0.2">
      <c r="F3064" s="50"/>
    </row>
    <row r="3065" spans="6:6" hidden="1" x14ac:dyDescent="0.2">
      <c r="F3065" s="50"/>
    </row>
    <row r="3066" spans="6:6" hidden="1" x14ac:dyDescent="0.2">
      <c r="F3066" s="50"/>
    </row>
    <row r="3067" spans="6:6" hidden="1" x14ac:dyDescent="0.2">
      <c r="F3067" s="50"/>
    </row>
    <row r="3068" spans="6:6" hidden="1" x14ac:dyDescent="0.2">
      <c r="F3068" s="50"/>
    </row>
    <row r="3069" spans="6:6" hidden="1" x14ac:dyDescent="0.2">
      <c r="F3069" s="50"/>
    </row>
    <row r="3070" spans="6:6" hidden="1" x14ac:dyDescent="0.2">
      <c r="F3070" s="50"/>
    </row>
    <row r="3071" spans="6:6" hidden="1" x14ac:dyDescent="0.2">
      <c r="F3071" s="50"/>
    </row>
    <row r="3072" spans="6:6" hidden="1" x14ac:dyDescent="0.2">
      <c r="F3072" s="50"/>
    </row>
    <row r="3073" spans="6:6" hidden="1" x14ac:dyDescent="0.2">
      <c r="F3073" s="50"/>
    </row>
    <row r="3074" spans="6:6" hidden="1" x14ac:dyDescent="0.2">
      <c r="F3074" s="50"/>
    </row>
    <row r="3075" spans="6:6" hidden="1" x14ac:dyDescent="0.2">
      <c r="F3075" s="50"/>
    </row>
    <row r="3076" spans="6:6" hidden="1" x14ac:dyDescent="0.2">
      <c r="F3076" s="50"/>
    </row>
    <row r="3077" spans="6:6" hidden="1" x14ac:dyDescent="0.2">
      <c r="F3077" s="50"/>
    </row>
    <row r="3078" spans="6:6" hidden="1" x14ac:dyDescent="0.2">
      <c r="F3078" s="50"/>
    </row>
    <row r="3079" spans="6:6" hidden="1" x14ac:dyDescent="0.2">
      <c r="F3079" s="50"/>
    </row>
    <row r="3080" spans="6:6" hidden="1" x14ac:dyDescent="0.2">
      <c r="F3080" s="50"/>
    </row>
    <row r="3081" spans="6:6" hidden="1" x14ac:dyDescent="0.2">
      <c r="F3081" s="50"/>
    </row>
    <row r="3082" spans="6:6" hidden="1" x14ac:dyDescent="0.2">
      <c r="F3082" s="50"/>
    </row>
    <row r="3083" spans="6:6" hidden="1" x14ac:dyDescent="0.2">
      <c r="F3083" s="50"/>
    </row>
    <row r="3084" spans="6:6" hidden="1" x14ac:dyDescent="0.2">
      <c r="F3084" s="50"/>
    </row>
    <row r="3085" spans="6:6" hidden="1" x14ac:dyDescent="0.2">
      <c r="F3085" s="50"/>
    </row>
    <row r="3086" spans="6:6" hidden="1" x14ac:dyDescent="0.2">
      <c r="F3086" s="50"/>
    </row>
    <row r="3087" spans="6:6" hidden="1" x14ac:dyDescent="0.2">
      <c r="F3087" s="50"/>
    </row>
    <row r="3088" spans="6:6" hidden="1" x14ac:dyDescent="0.2">
      <c r="F3088" s="50"/>
    </row>
    <row r="3089" spans="6:6" hidden="1" x14ac:dyDescent="0.2">
      <c r="F3089" s="50"/>
    </row>
    <row r="3090" spans="6:6" hidden="1" x14ac:dyDescent="0.2">
      <c r="F3090" s="50"/>
    </row>
    <row r="3091" spans="6:6" hidden="1" x14ac:dyDescent="0.2">
      <c r="F3091" s="50"/>
    </row>
    <row r="3092" spans="6:6" hidden="1" x14ac:dyDescent="0.2">
      <c r="F3092" s="50"/>
    </row>
    <row r="3093" spans="6:6" hidden="1" x14ac:dyDescent="0.2">
      <c r="F3093" s="50"/>
    </row>
    <row r="3094" spans="6:6" hidden="1" x14ac:dyDescent="0.2">
      <c r="F3094" s="50"/>
    </row>
    <row r="3095" spans="6:6" hidden="1" x14ac:dyDescent="0.2">
      <c r="F3095" s="50"/>
    </row>
    <row r="3096" spans="6:6" hidden="1" x14ac:dyDescent="0.2">
      <c r="F3096" s="50"/>
    </row>
    <row r="3097" spans="6:6" hidden="1" x14ac:dyDescent="0.2">
      <c r="F3097" s="50"/>
    </row>
    <row r="3098" spans="6:6" hidden="1" x14ac:dyDescent="0.2">
      <c r="F3098" s="50"/>
    </row>
    <row r="3099" spans="6:6" hidden="1" x14ac:dyDescent="0.2">
      <c r="F3099" s="50"/>
    </row>
    <row r="3100" spans="6:6" hidden="1" x14ac:dyDescent="0.2">
      <c r="F3100" s="50"/>
    </row>
    <row r="3101" spans="6:6" hidden="1" x14ac:dyDescent="0.2">
      <c r="F3101" s="50"/>
    </row>
    <row r="3102" spans="6:6" hidden="1" x14ac:dyDescent="0.2">
      <c r="F3102" s="50"/>
    </row>
    <row r="3103" spans="6:6" hidden="1" x14ac:dyDescent="0.2">
      <c r="F3103" s="50"/>
    </row>
    <row r="3104" spans="6:6" hidden="1" x14ac:dyDescent="0.2">
      <c r="F3104" s="50"/>
    </row>
    <row r="3105" spans="6:6" hidden="1" x14ac:dyDescent="0.2">
      <c r="F3105" s="50"/>
    </row>
    <row r="3106" spans="6:6" hidden="1" x14ac:dyDescent="0.2">
      <c r="F3106" s="50"/>
    </row>
    <row r="3107" spans="6:6" hidden="1" x14ac:dyDescent="0.2">
      <c r="F3107" s="50"/>
    </row>
    <row r="3108" spans="6:6" hidden="1" x14ac:dyDescent="0.2">
      <c r="F3108" s="50"/>
    </row>
    <row r="3109" spans="6:6" hidden="1" x14ac:dyDescent="0.2">
      <c r="F3109" s="50"/>
    </row>
    <row r="3110" spans="6:6" hidden="1" x14ac:dyDescent="0.2">
      <c r="F3110" s="50"/>
    </row>
    <row r="3111" spans="6:6" hidden="1" x14ac:dyDescent="0.2">
      <c r="F3111" s="50"/>
    </row>
    <row r="3112" spans="6:6" hidden="1" x14ac:dyDescent="0.2">
      <c r="F3112" s="50"/>
    </row>
    <row r="3113" spans="6:6" hidden="1" x14ac:dyDescent="0.2">
      <c r="F3113" s="50"/>
    </row>
    <row r="3114" spans="6:6" hidden="1" x14ac:dyDescent="0.2">
      <c r="F3114" s="50"/>
    </row>
    <row r="3115" spans="6:6" hidden="1" x14ac:dyDescent="0.2">
      <c r="F3115" s="50"/>
    </row>
    <row r="3116" spans="6:6" hidden="1" x14ac:dyDescent="0.2">
      <c r="F3116" s="50"/>
    </row>
    <row r="3117" spans="6:6" hidden="1" x14ac:dyDescent="0.2">
      <c r="F3117" s="50"/>
    </row>
    <row r="3118" spans="6:6" hidden="1" x14ac:dyDescent="0.2">
      <c r="F3118" s="50"/>
    </row>
    <row r="3119" spans="6:6" ht="12" hidden="1" customHeight="1" x14ac:dyDescent="0.2">
      <c r="F3119" s="50"/>
    </row>
    <row r="3120" spans="6:6" hidden="1" x14ac:dyDescent="0.2">
      <c r="F3120" s="50"/>
    </row>
    <row r="3121" spans="6:6" hidden="1" x14ac:dyDescent="0.2">
      <c r="F3121" s="50"/>
    </row>
    <row r="3122" spans="6:6" hidden="1" x14ac:dyDescent="0.2">
      <c r="F3122" s="50"/>
    </row>
    <row r="3123" spans="6:6" hidden="1" x14ac:dyDescent="0.2">
      <c r="F3123" s="50"/>
    </row>
    <row r="3124" spans="6:6" hidden="1" x14ac:dyDescent="0.2">
      <c r="F3124" s="50"/>
    </row>
    <row r="3125" spans="6:6" hidden="1" x14ac:dyDescent="0.2">
      <c r="F3125" s="50"/>
    </row>
    <row r="3126" spans="6:6" hidden="1" x14ac:dyDescent="0.2">
      <c r="F3126" s="50"/>
    </row>
    <row r="3127" spans="6:6" hidden="1" x14ac:dyDescent="0.2">
      <c r="F3127" s="50"/>
    </row>
    <row r="3128" spans="6:6" hidden="1" x14ac:dyDescent="0.2">
      <c r="F3128" s="50"/>
    </row>
    <row r="3129" spans="6:6" hidden="1" x14ac:dyDescent="0.2">
      <c r="F3129" s="50"/>
    </row>
    <row r="3130" spans="6:6" hidden="1" x14ac:dyDescent="0.2">
      <c r="F3130" s="50"/>
    </row>
    <row r="3131" spans="6:6" hidden="1" x14ac:dyDescent="0.2">
      <c r="F3131" s="50"/>
    </row>
    <row r="3132" spans="6:6" hidden="1" x14ac:dyDescent="0.2">
      <c r="F3132" s="50"/>
    </row>
    <row r="3133" spans="6:6" hidden="1" x14ac:dyDescent="0.2">
      <c r="F3133" s="50"/>
    </row>
    <row r="3134" spans="6:6" hidden="1" x14ac:dyDescent="0.2">
      <c r="F3134" s="50"/>
    </row>
    <row r="3135" spans="6:6" hidden="1" x14ac:dyDescent="0.2">
      <c r="F3135" s="50"/>
    </row>
    <row r="3136" spans="6:6" hidden="1" x14ac:dyDescent="0.2">
      <c r="F3136" s="50"/>
    </row>
    <row r="3137" spans="6:6" hidden="1" x14ac:dyDescent="0.2">
      <c r="F3137" s="50"/>
    </row>
    <row r="3138" spans="6:6" hidden="1" x14ac:dyDescent="0.2">
      <c r="F3138" s="50"/>
    </row>
    <row r="3139" spans="6:6" hidden="1" x14ac:dyDescent="0.2">
      <c r="F3139" s="50"/>
    </row>
    <row r="3140" spans="6:6" hidden="1" x14ac:dyDescent="0.2">
      <c r="F3140" s="50"/>
    </row>
    <row r="3141" spans="6:6" hidden="1" x14ac:dyDescent="0.2">
      <c r="F3141" s="50"/>
    </row>
    <row r="3142" spans="6:6" hidden="1" x14ac:dyDescent="0.2">
      <c r="F3142" s="50"/>
    </row>
    <row r="3143" spans="6:6" hidden="1" x14ac:dyDescent="0.2">
      <c r="F3143" s="50"/>
    </row>
    <row r="3144" spans="6:6" hidden="1" x14ac:dyDescent="0.2">
      <c r="F3144" s="50"/>
    </row>
    <row r="3145" spans="6:6" hidden="1" x14ac:dyDescent="0.2">
      <c r="F3145" s="50"/>
    </row>
    <row r="3146" spans="6:6" hidden="1" x14ac:dyDescent="0.2">
      <c r="F3146" s="50"/>
    </row>
    <row r="3147" spans="6:6" hidden="1" x14ac:dyDescent="0.2">
      <c r="F3147" s="50"/>
    </row>
    <row r="3148" spans="6:6" hidden="1" x14ac:dyDescent="0.2">
      <c r="F3148" s="50"/>
    </row>
    <row r="3149" spans="6:6" hidden="1" x14ac:dyDescent="0.2">
      <c r="F3149" s="50"/>
    </row>
    <row r="3150" spans="6:6" hidden="1" x14ac:dyDescent="0.2">
      <c r="F3150" s="50"/>
    </row>
    <row r="3151" spans="6:6" hidden="1" x14ac:dyDescent="0.2">
      <c r="F3151" s="50"/>
    </row>
    <row r="3152" spans="6:6" hidden="1" x14ac:dyDescent="0.2">
      <c r="F3152" s="50"/>
    </row>
    <row r="3153" spans="6:6" hidden="1" x14ac:dyDescent="0.2">
      <c r="F3153" s="50"/>
    </row>
    <row r="3154" spans="6:6" hidden="1" x14ac:dyDescent="0.2">
      <c r="F3154" s="50"/>
    </row>
    <row r="3155" spans="6:6" hidden="1" x14ac:dyDescent="0.2">
      <c r="F3155" s="50"/>
    </row>
    <row r="3156" spans="6:6" hidden="1" x14ac:dyDescent="0.2">
      <c r="F3156" s="50"/>
    </row>
    <row r="3157" spans="6:6" hidden="1" x14ac:dyDescent="0.2">
      <c r="F3157" s="50"/>
    </row>
    <row r="3158" spans="6:6" hidden="1" x14ac:dyDescent="0.2">
      <c r="F3158" s="50"/>
    </row>
    <row r="3159" spans="6:6" hidden="1" x14ac:dyDescent="0.2">
      <c r="F3159" s="50"/>
    </row>
    <row r="3160" spans="6:6" hidden="1" x14ac:dyDescent="0.2">
      <c r="F3160" s="50"/>
    </row>
    <row r="3161" spans="6:6" hidden="1" x14ac:dyDescent="0.2">
      <c r="F3161" s="50"/>
    </row>
    <row r="3162" spans="6:6" hidden="1" x14ac:dyDescent="0.2">
      <c r="F3162" s="50"/>
    </row>
    <row r="3163" spans="6:6" hidden="1" x14ac:dyDescent="0.2">
      <c r="F3163" s="50"/>
    </row>
    <row r="3164" spans="6:6" hidden="1" x14ac:dyDescent="0.2">
      <c r="F3164" s="50"/>
    </row>
    <row r="3165" spans="6:6" hidden="1" x14ac:dyDescent="0.2">
      <c r="F3165" s="50"/>
    </row>
    <row r="3166" spans="6:6" hidden="1" x14ac:dyDescent="0.2">
      <c r="F3166" s="50"/>
    </row>
    <row r="3167" spans="6:6" hidden="1" x14ac:dyDescent="0.2">
      <c r="F3167" s="50"/>
    </row>
    <row r="3168" spans="6:6" hidden="1" x14ac:dyDescent="0.2">
      <c r="F3168" s="50"/>
    </row>
    <row r="3169" spans="6:6" hidden="1" x14ac:dyDescent="0.2">
      <c r="F3169" s="50"/>
    </row>
    <row r="3170" spans="6:6" hidden="1" x14ac:dyDescent="0.2">
      <c r="F3170" s="50"/>
    </row>
    <row r="3171" spans="6:6" hidden="1" x14ac:dyDescent="0.2">
      <c r="F3171" s="50"/>
    </row>
    <row r="3172" spans="6:6" hidden="1" x14ac:dyDescent="0.2">
      <c r="F3172" s="50"/>
    </row>
    <row r="3173" spans="6:6" hidden="1" x14ac:dyDescent="0.2">
      <c r="F3173" s="50"/>
    </row>
    <row r="3174" spans="6:6" hidden="1" x14ac:dyDescent="0.2">
      <c r="F3174" s="50"/>
    </row>
    <row r="3175" spans="6:6" hidden="1" x14ac:dyDescent="0.2">
      <c r="F3175" s="50"/>
    </row>
    <row r="3176" spans="6:6" hidden="1" x14ac:dyDescent="0.2">
      <c r="F3176" s="50"/>
    </row>
    <row r="3177" spans="6:6" hidden="1" x14ac:dyDescent="0.2">
      <c r="F3177" s="50"/>
    </row>
    <row r="3178" spans="6:6" hidden="1" x14ac:dyDescent="0.2">
      <c r="F3178" s="50"/>
    </row>
    <row r="3179" spans="6:6" hidden="1" x14ac:dyDescent="0.2">
      <c r="F3179" s="50"/>
    </row>
    <row r="3180" spans="6:6" hidden="1" x14ac:dyDescent="0.2">
      <c r="F3180" s="50"/>
    </row>
    <row r="3181" spans="6:6" hidden="1" x14ac:dyDescent="0.2">
      <c r="F3181" s="50"/>
    </row>
    <row r="3182" spans="6:6" hidden="1" x14ac:dyDescent="0.2">
      <c r="F3182" s="50"/>
    </row>
    <row r="3183" spans="6:6" hidden="1" x14ac:dyDescent="0.2">
      <c r="F3183" s="50"/>
    </row>
    <row r="3184" spans="6:6" hidden="1" x14ac:dyDescent="0.2">
      <c r="F3184" s="50"/>
    </row>
    <row r="3185" spans="6:6" hidden="1" x14ac:dyDescent="0.2">
      <c r="F3185" s="50"/>
    </row>
    <row r="3186" spans="6:6" hidden="1" x14ac:dyDescent="0.2">
      <c r="F3186" s="50"/>
    </row>
    <row r="3187" spans="6:6" hidden="1" x14ac:dyDescent="0.2">
      <c r="F3187" s="50"/>
    </row>
    <row r="3188" spans="6:6" hidden="1" x14ac:dyDescent="0.2">
      <c r="F3188" s="50"/>
    </row>
    <row r="3189" spans="6:6" hidden="1" x14ac:dyDescent="0.2">
      <c r="F3189" s="50"/>
    </row>
    <row r="3190" spans="6:6" hidden="1" x14ac:dyDescent="0.2">
      <c r="F3190" s="50"/>
    </row>
    <row r="3191" spans="6:6" hidden="1" x14ac:dyDescent="0.2">
      <c r="F3191" s="50"/>
    </row>
    <row r="3192" spans="6:6" hidden="1" x14ac:dyDescent="0.2">
      <c r="F3192" s="50"/>
    </row>
    <row r="3193" spans="6:6" hidden="1" x14ac:dyDescent="0.2">
      <c r="F3193" s="50"/>
    </row>
    <row r="3194" spans="6:6" hidden="1" x14ac:dyDescent="0.2">
      <c r="F3194" s="50"/>
    </row>
    <row r="3195" spans="6:6" hidden="1" x14ac:dyDescent="0.2">
      <c r="F3195" s="50"/>
    </row>
    <row r="3196" spans="6:6" hidden="1" x14ac:dyDescent="0.2">
      <c r="F3196" s="50"/>
    </row>
    <row r="3197" spans="6:6" hidden="1" x14ac:dyDescent="0.2">
      <c r="F3197" s="50"/>
    </row>
    <row r="3198" spans="6:6" hidden="1" x14ac:dyDescent="0.2">
      <c r="F3198" s="50"/>
    </row>
    <row r="3199" spans="6:6" hidden="1" x14ac:dyDescent="0.2">
      <c r="F3199" s="50"/>
    </row>
    <row r="3200" spans="6:6" hidden="1" x14ac:dyDescent="0.2">
      <c r="F3200" s="50"/>
    </row>
    <row r="3202" spans="6:6" hidden="1" x14ac:dyDescent="0.2">
      <c r="F3202" s="50"/>
    </row>
    <row r="3203" spans="6:6" hidden="1" x14ac:dyDescent="0.2">
      <c r="F3203" s="50"/>
    </row>
    <row r="3204" spans="6:6" hidden="1" x14ac:dyDescent="0.2">
      <c r="F3204" s="50"/>
    </row>
    <row r="3205" spans="6:6" hidden="1" x14ac:dyDescent="0.2">
      <c r="F3205" s="50"/>
    </row>
    <row r="3206" spans="6:6" hidden="1" x14ac:dyDescent="0.2">
      <c r="F3206" s="50"/>
    </row>
    <row r="3207" spans="6:6" hidden="1" x14ac:dyDescent="0.2">
      <c r="F3207" s="50"/>
    </row>
    <row r="3208" spans="6:6" hidden="1" x14ac:dyDescent="0.2">
      <c r="F3208" s="50"/>
    </row>
    <row r="3209" spans="6:6" hidden="1" x14ac:dyDescent="0.2">
      <c r="F3209" s="50"/>
    </row>
    <row r="3210" spans="6:6" hidden="1" x14ac:dyDescent="0.2">
      <c r="F3210" s="50"/>
    </row>
    <row r="3211" spans="6:6" hidden="1" x14ac:dyDescent="0.2">
      <c r="F3211" s="50"/>
    </row>
    <row r="3212" spans="6:6" hidden="1" x14ac:dyDescent="0.2">
      <c r="F3212" s="50"/>
    </row>
    <row r="3213" spans="6:6" hidden="1" x14ac:dyDescent="0.2">
      <c r="F3213" s="50"/>
    </row>
    <row r="3215" spans="6:6" hidden="1" x14ac:dyDescent="0.2">
      <c r="F3215" s="50"/>
    </row>
    <row r="3216" spans="6:6" hidden="1" x14ac:dyDescent="0.2">
      <c r="F3216" s="50"/>
    </row>
    <row r="3217" spans="6:6" hidden="1" x14ac:dyDescent="0.2">
      <c r="F3217" s="50"/>
    </row>
    <row r="3218" spans="6:6" hidden="1" x14ac:dyDescent="0.2">
      <c r="F3218" s="50"/>
    </row>
    <row r="3219" spans="6:6" hidden="1" x14ac:dyDescent="0.2">
      <c r="F3219" s="50"/>
    </row>
    <row r="3220" spans="6:6" hidden="1" x14ac:dyDescent="0.2">
      <c r="F3220" s="50"/>
    </row>
    <row r="3221" spans="6:6" hidden="1" x14ac:dyDescent="0.2">
      <c r="F3221" s="50"/>
    </row>
    <row r="3222" spans="6:6" hidden="1" x14ac:dyDescent="0.2">
      <c r="F3222" s="50"/>
    </row>
    <row r="3223" spans="6:6" hidden="1" x14ac:dyDescent="0.2">
      <c r="F3223" s="50"/>
    </row>
    <row r="3224" spans="6:6" hidden="1" x14ac:dyDescent="0.2">
      <c r="F3224" s="50"/>
    </row>
    <row r="3225" spans="6:6" hidden="1" x14ac:dyDescent="0.2">
      <c r="F3225" s="50"/>
    </row>
    <row r="3226" spans="6:6" hidden="1" x14ac:dyDescent="0.2">
      <c r="F3226" s="50"/>
    </row>
    <row r="3227" spans="6:6" hidden="1" x14ac:dyDescent="0.2">
      <c r="F3227" s="50"/>
    </row>
    <row r="3228" spans="6:6" hidden="1" x14ac:dyDescent="0.2">
      <c r="F3228" s="50"/>
    </row>
    <row r="3229" spans="6:6" hidden="1" x14ac:dyDescent="0.2">
      <c r="F3229" s="50"/>
    </row>
    <row r="3230" spans="6:6" hidden="1" x14ac:dyDescent="0.2">
      <c r="F3230" s="50"/>
    </row>
    <row r="3231" spans="6:6" hidden="1" x14ac:dyDescent="0.2">
      <c r="F3231" s="50"/>
    </row>
    <row r="3233" spans="6:6" hidden="1" x14ac:dyDescent="0.2">
      <c r="F3233" s="50"/>
    </row>
    <row r="3234" spans="6:6" hidden="1" x14ac:dyDescent="0.2">
      <c r="F3234" s="50"/>
    </row>
    <row r="3235" spans="6:6" hidden="1" x14ac:dyDescent="0.2">
      <c r="F3235" s="50"/>
    </row>
    <row r="3236" spans="6:6" hidden="1" x14ac:dyDescent="0.2">
      <c r="F3236" s="50"/>
    </row>
    <row r="3237" spans="6:6" hidden="1" x14ac:dyDescent="0.2">
      <c r="F3237" s="50"/>
    </row>
    <row r="3238" spans="6:6" hidden="1" x14ac:dyDescent="0.2">
      <c r="F3238" s="50"/>
    </row>
    <row r="3239" spans="6:6" hidden="1" x14ac:dyDescent="0.2">
      <c r="F3239" s="50"/>
    </row>
    <row r="3240" spans="6:6" hidden="1" x14ac:dyDescent="0.2">
      <c r="F3240" s="50"/>
    </row>
    <row r="3241" spans="6:6" hidden="1" x14ac:dyDescent="0.2">
      <c r="F3241" s="50"/>
    </row>
    <row r="3242" spans="6:6" hidden="1" x14ac:dyDescent="0.2">
      <c r="F3242" s="50"/>
    </row>
    <row r="3243" spans="6:6" hidden="1" x14ac:dyDescent="0.2">
      <c r="F3243" s="50"/>
    </row>
    <row r="3244" spans="6:6" hidden="1" x14ac:dyDescent="0.2">
      <c r="F3244" s="50"/>
    </row>
    <row r="3245" spans="6:6" hidden="1" x14ac:dyDescent="0.2">
      <c r="F3245" s="50"/>
    </row>
    <row r="3246" spans="6:6" hidden="1" x14ac:dyDescent="0.2">
      <c r="F3246" s="50"/>
    </row>
    <row r="3247" spans="6:6" hidden="1" x14ac:dyDescent="0.2">
      <c r="F3247" s="50"/>
    </row>
    <row r="3248" spans="6:6" hidden="1" x14ac:dyDescent="0.2">
      <c r="F3248" s="50"/>
    </row>
    <row r="3249" spans="6:6" hidden="1" x14ac:dyDescent="0.2">
      <c r="F3249" s="50"/>
    </row>
    <row r="3250" spans="6:6" hidden="1" x14ac:dyDescent="0.2">
      <c r="F3250" s="50"/>
    </row>
    <row r="3251" spans="6:6" hidden="1" x14ac:dyDescent="0.2">
      <c r="F3251" s="50"/>
    </row>
    <row r="3252" spans="6:6" hidden="1" x14ac:dyDescent="0.2">
      <c r="F3252" s="50"/>
    </row>
    <row r="3253" spans="6:6" hidden="1" x14ac:dyDescent="0.2">
      <c r="F3253" s="50"/>
    </row>
    <row r="3254" spans="6:6" hidden="1" x14ac:dyDescent="0.2">
      <c r="F3254" s="50"/>
    </row>
    <row r="3255" spans="6:6" hidden="1" x14ac:dyDescent="0.2">
      <c r="F3255" s="50"/>
    </row>
    <row r="3256" spans="6:6" hidden="1" x14ac:dyDescent="0.2">
      <c r="F3256" s="50"/>
    </row>
    <row r="3260" spans="6:6" hidden="1" x14ac:dyDescent="0.2">
      <c r="F3260" s="50"/>
    </row>
    <row r="3261" spans="6:6" hidden="1" x14ac:dyDescent="0.2">
      <c r="F3261" s="50"/>
    </row>
    <row r="3262" spans="6:6" hidden="1" x14ac:dyDescent="0.2">
      <c r="F3262" s="50"/>
    </row>
    <row r="3263" spans="6:6" hidden="1" x14ac:dyDescent="0.2">
      <c r="F3263" s="50"/>
    </row>
    <row r="3264" spans="6:6" hidden="1" x14ac:dyDescent="0.2">
      <c r="F3264" s="50"/>
    </row>
    <row r="3265" spans="6:6" hidden="1" x14ac:dyDescent="0.2">
      <c r="F3265" s="50"/>
    </row>
    <row r="3266" spans="6:6" hidden="1" x14ac:dyDescent="0.2">
      <c r="F3266" s="50"/>
    </row>
    <row r="3267" spans="6:6" hidden="1" x14ac:dyDescent="0.2">
      <c r="F3267" s="50"/>
    </row>
    <row r="3268" spans="6:6" hidden="1" x14ac:dyDescent="0.2">
      <c r="F3268" s="50"/>
    </row>
    <row r="3269" spans="6:6" hidden="1" x14ac:dyDescent="0.2">
      <c r="F3269" s="50"/>
    </row>
    <row r="3270" spans="6:6" hidden="1" x14ac:dyDescent="0.2">
      <c r="F3270" s="50"/>
    </row>
    <row r="3271" spans="6:6" hidden="1" x14ac:dyDescent="0.2">
      <c r="F3271" s="50"/>
    </row>
    <row r="3272" spans="6:6" hidden="1" x14ac:dyDescent="0.2">
      <c r="F3272" s="50"/>
    </row>
    <row r="3273" spans="6:6" hidden="1" x14ac:dyDescent="0.2">
      <c r="F3273" s="50"/>
    </row>
    <row r="3274" spans="6:6" hidden="1" x14ac:dyDescent="0.2">
      <c r="F3274" s="50"/>
    </row>
    <row r="3275" spans="6:6" hidden="1" x14ac:dyDescent="0.2">
      <c r="F3275" s="50"/>
    </row>
    <row r="3276" spans="6:6" hidden="1" x14ac:dyDescent="0.2">
      <c r="F3276" s="50"/>
    </row>
    <row r="3277" spans="6:6" hidden="1" x14ac:dyDescent="0.2">
      <c r="F3277" s="50"/>
    </row>
    <row r="3278" spans="6:6" hidden="1" x14ac:dyDescent="0.2">
      <c r="F3278" s="50"/>
    </row>
    <row r="3279" spans="6:6" hidden="1" x14ac:dyDescent="0.2">
      <c r="F3279" s="50"/>
    </row>
    <row r="3280" spans="6:6" hidden="1" x14ac:dyDescent="0.2">
      <c r="F3280" s="50"/>
    </row>
    <row r="3282" spans="6:6" hidden="1" x14ac:dyDescent="0.2">
      <c r="F3282" s="50"/>
    </row>
    <row r="3283" spans="6:6" hidden="1" x14ac:dyDescent="0.2">
      <c r="F3283" s="50"/>
    </row>
    <row r="3284" spans="6:6" hidden="1" x14ac:dyDescent="0.2">
      <c r="F3284" s="50"/>
    </row>
    <row r="3285" spans="6:6" hidden="1" x14ac:dyDescent="0.2">
      <c r="F3285" s="50"/>
    </row>
    <row r="3286" spans="6:6" hidden="1" x14ac:dyDescent="0.2">
      <c r="F3286" s="50"/>
    </row>
    <row r="3287" spans="6:6" hidden="1" x14ac:dyDescent="0.2">
      <c r="F3287" s="50"/>
    </row>
    <row r="3288" spans="6:6" hidden="1" x14ac:dyDescent="0.2">
      <c r="F3288" s="50"/>
    </row>
    <row r="3289" spans="6:6" hidden="1" x14ac:dyDescent="0.2">
      <c r="F3289" s="50"/>
    </row>
    <row r="3290" spans="6:6" hidden="1" x14ac:dyDescent="0.2">
      <c r="F3290" s="50"/>
    </row>
    <row r="3291" spans="6:6" hidden="1" x14ac:dyDescent="0.2">
      <c r="F3291" s="50"/>
    </row>
    <row r="3292" spans="6:6" hidden="1" x14ac:dyDescent="0.2">
      <c r="F3292" s="50"/>
    </row>
    <row r="3293" spans="6:6" hidden="1" x14ac:dyDescent="0.2">
      <c r="F3293" s="50"/>
    </row>
    <row r="3294" spans="6:6" hidden="1" x14ac:dyDescent="0.2">
      <c r="F3294" s="50"/>
    </row>
    <row r="3295" spans="6:6" hidden="1" x14ac:dyDescent="0.2">
      <c r="F3295" s="50"/>
    </row>
    <row r="3296" spans="6:6" hidden="1" x14ac:dyDescent="0.2">
      <c r="F3296" s="50"/>
    </row>
    <row r="3297" spans="1:6" hidden="1" x14ac:dyDescent="0.2">
      <c r="F3297" s="50"/>
    </row>
    <row r="3298" spans="1:6" hidden="1" x14ac:dyDescent="0.2">
      <c r="F3298" s="50"/>
    </row>
    <row r="3299" spans="1:6" hidden="1" x14ac:dyDescent="0.2">
      <c r="F3299" s="50"/>
    </row>
    <row r="3300" spans="1:6" hidden="1" x14ac:dyDescent="0.2">
      <c r="F3300" s="50"/>
    </row>
    <row r="3301" spans="1:6" ht="15" hidden="1" thickBot="1" x14ac:dyDescent="0.25">
      <c r="F3301" s="50"/>
    </row>
    <row r="3302" spans="1:6" ht="15.75" hidden="1" thickBot="1" x14ac:dyDescent="0.25">
      <c r="A3302" s="63"/>
      <c r="C3302" s="63"/>
    </row>
    <row r="3303" spans="1:6" ht="15.75" hidden="1" thickBot="1" x14ac:dyDescent="0.25">
      <c r="A3303" s="59"/>
      <c r="C3303" s="59"/>
    </row>
    <row r="3304" spans="1:6" ht="15.75" hidden="1" thickBot="1" x14ac:dyDescent="0.25">
      <c r="A3304" s="59"/>
      <c r="C3304" s="59"/>
    </row>
    <row r="3305" spans="1:6" ht="15.75" hidden="1" thickBot="1" x14ac:dyDescent="0.25">
      <c r="A3305" s="59"/>
      <c r="C3305" s="59"/>
    </row>
    <row r="3306" spans="1:6" ht="15.75" hidden="1" thickBot="1" x14ac:dyDescent="0.25">
      <c r="A3306" s="59"/>
    </row>
    <row r="3307" spans="1:6" hidden="1" x14ac:dyDescent="0.2">
      <c r="F3307" s="50"/>
    </row>
    <row r="3308" spans="1:6" ht="15.75" hidden="1" thickBot="1" x14ac:dyDescent="0.25">
      <c r="A3308" s="59"/>
      <c r="C3308" s="59"/>
    </row>
    <row r="3309" spans="1:6" ht="15.75" hidden="1" thickBot="1" x14ac:dyDescent="0.25">
      <c r="A3309" s="63"/>
      <c r="C3309" s="63"/>
    </row>
    <row r="3310" spans="1:6" ht="15.75" hidden="1" thickBot="1" x14ac:dyDescent="0.25">
      <c r="A3310" s="59"/>
      <c r="C3310" s="59"/>
    </row>
    <row r="3311" spans="1:6" ht="15.75" hidden="1" thickBot="1" x14ac:dyDescent="0.25">
      <c r="A3311" s="59"/>
      <c r="C3311" s="59"/>
    </row>
    <row r="3312" spans="1:6" ht="15.75" hidden="1" thickBot="1" x14ac:dyDescent="0.25">
      <c r="A3312" s="59"/>
      <c r="C3312" s="59"/>
    </row>
    <row r="3313" spans="1:6" ht="15.75" hidden="1" thickBot="1" x14ac:dyDescent="0.25">
      <c r="A3313" s="59"/>
      <c r="C3313" s="59"/>
    </row>
    <row r="3314" spans="1:6" ht="15" hidden="1" thickBot="1" x14ac:dyDescent="0.25">
      <c r="A3314" s="55"/>
      <c r="C3314" s="55"/>
    </row>
    <row r="3315" spans="1:6" ht="15.75" hidden="1" thickBot="1" x14ac:dyDescent="0.25">
      <c r="A3315" s="63"/>
      <c r="C3315" s="63"/>
    </row>
    <row r="3316" spans="1:6" ht="15.75" hidden="1" thickBot="1" x14ac:dyDescent="0.25">
      <c r="A3316" s="59"/>
      <c r="C3316" s="59"/>
    </row>
    <row r="3317" spans="1:6" hidden="1" x14ac:dyDescent="0.2">
      <c r="A3317" s="65"/>
      <c r="C3317" s="65"/>
    </row>
    <row r="3318" spans="1:6" hidden="1" x14ac:dyDescent="0.2">
      <c r="F3318" s="50"/>
    </row>
    <row r="3319" spans="1:6" hidden="1" x14ac:dyDescent="0.2">
      <c r="F3319" s="50"/>
    </row>
    <row r="3321" spans="1:6" hidden="1" x14ac:dyDescent="0.2">
      <c r="F3321" s="50"/>
    </row>
    <row r="3322" spans="1:6" hidden="1" x14ac:dyDescent="0.2">
      <c r="F3322" s="50"/>
    </row>
    <row r="3323" spans="1:6" hidden="1" x14ac:dyDescent="0.2">
      <c r="F3323" s="50"/>
    </row>
    <row r="3324" spans="1:6" hidden="1" x14ac:dyDescent="0.2">
      <c r="F3324" s="50"/>
    </row>
    <row r="3325" spans="1:6" hidden="1" x14ac:dyDescent="0.2">
      <c r="F3325" s="50"/>
    </row>
    <row r="3326" spans="1:6" hidden="1" x14ac:dyDescent="0.2">
      <c r="F3326" s="50"/>
    </row>
    <row r="3327" spans="1:6" hidden="1" x14ac:dyDescent="0.2">
      <c r="F3327" s="50"/>
    </row>
    <row r="3328" spans="1:6" hidden="1" x14ac:dyDescent="0.2">
      <c r="F3328" s="50"/>
    </row>
    <row r="3329" spans="6:6" hidden="1" x14ac:dyDescent="0.2">
      <c r="F3329" s="50"/>
    </row>
    <row r="3330" spans="6:6" hidden="1" x14ac:dyDescent="0.2">
      <c r="F3330" s="50"/>
    </row>
    <row r="3331" spans="6:6" hidden="1" x14ac:dyDescent="0.2">
      <c r="F3331" s="50"/>
    </row>
    <row r="3332" spans="6:6" hidden="1" x14ac:dyDescent="0.2">
      <c r="F3332" s="50"/>
    </row>
    <row r="3333" spans="6:6" hidden="1" x14ac:dyDescent="0.2">
      <c r="F3333" s="50"/>
    </row>
    <row r="3334" spans="6:6" hidden="1" x14ac:dyDescent="0.2">
      <c r="F3334" s="50"/>
    </row>
    <row r="3335" spans="6:6" hidden="1" x14ac:dyDescent="0.2">
      <c r="F3335" s="50"/>
    </row>
    <row r="3336" spans="6:6" hidden="1" x14ac:dyDescent="0.2">
      <c r="F3336" s="50"/>
    </row>
    <row r="3337" spans="6:6" hidden="1" x14ac:dyDescent="0.2">
      <c r="F3337" s="50"/>
    </row>
    <row r="3338" spans="6:6" hidden="1" x14ac:dyDescent="0.2">
      <c r="F3338" s="50"/>
    </row>
    <row r="3339" spans="6:6" hidden="1" x14ac:dyDescent="0.2">
      <c r="F3339" s="50"/>
    </row>
    <row r="3340" spans="6:6" hidden="1" x14ac:dyDescent="0.2">
      <c r="F3340" s="50"/>
    </row>
    <row r="3341" spans="6:6" hidden="1" x14ac:dyDescent="0.2">
      <c r="F3341" s="50"/>
    </row>
    <row r="3342" spans="6:6" hidden="1" x14ac:dyDescent="0.2">
      <c r="F3342" s="50"/>
    </row>
    <row r="3343" spans="6:6" hidden="1" x14ac:dyDescent="0.2">
      <c r="F3343" s="50"/>
    </row>
    <row r="3344" spans="6:6" hidden="1" x14ac:dyDescent="0.2">
      <c r="F3344" s="50"/>
    </row>
    <row r="3345" spans="6:6" hidden="1" x14ac:dyDescent="0.2">
      <c r="F3345" s="50"/>
    </row>
    <row r="3346" spans="6:6" hidden="1" x14ac:dyDescent="0.2">
      <c r="F3346" s="50"/>
    </row>
    <row r="3347" spans="6:6" hidden="1" x14ac:dyDescent="0.2">
      <c r="F3347" s="50"/>
    </row>
    <row r="3348" spans="6:6" hidden="1" x14ac:dyDescent="0.2">
      <c r="F3348" s="50"/>
    </row>
    <row r="3349" spans="6:6" hidden="1" x14ac:dyDescent="0.2">
      <c r="F3349" s="50"/>
    </row>
    <row r="3350" spans="6:6" hidden="1" x14ac:dyDescent="0.2">
      <c r="F3350" s="50"/>
    </row>
    <row r="3351" spans="6:6" hidden="1" x14ac:dyDescent="0.2">
      <c r="F3351" s="50"/>
    </row>
    <row r="3352" spans="6:6" hidden="1" x14ac:dyDescent="0.2">
      <c r="F3352" s="50"/>
    </row>
    <row r="3353" spans="6:6" hidden="1" x14ac:dyDescent="0.2">
      <c r="F3353" s="50"/>
    </row>
    <row r="3354" spans="6:6" hidden="1" x14ac:dyDescent="0.2">
      <c r="F3354" s="50"/>
    </row>
    <row r="3355" spans="6:6" hidden="1" x14ac:dyDescent="0.2">
      <c r="F3355" s="50"/>
    </row>
    <row r="3356" spans="6:6" hidden="1" x14ac:dyDescent="0.2">
      <c r="F3356" s="50"/>
    </row>
    <row r="3357" spans="6:6" hidden="1" x14ac:dyDescent="0.2">
      <c r="F3357" s="50"/>
    </row>
    <row r="3358" spans="6:6" hidden="1" x14ac:dyDescent="0.2">
      <c r="F3358" s="50"/>
    </row>
    <row r="3359" spans="6:6" hidden="1" x14ac:dyDescent="0.2">
      <c r="F3359" s="50"/>
    </row>
    <row r="3360" spans="6:6" hidden="1" x14ac:dyDescent="0.2">
      <c r="F3360" s="50"/>
    </row>
    <row r="3361" spans="6:6" hidden="1" x14ac:dyDescent="0.2">
      <c r="F3361" s="50"/>
    </row>
    <row r="3362" spans="6:6" hidden="1" x14ac:dyDescent="0.2">
      <c r="F3362" s="50"/>
    </row>
    <row r="3363" spans="6:6" hidden="1" x14ac:dyDescent="0.2">
      <c r="F3363" s="50"/>
    </row>
    <row r="3364" spans="6:6" hidden="1" x14ac:dyDescent="0.2">
      <c r="F3364" s="50"/>
    </row>
    <row r="3365" spans="6:6" hidden="1" x14ac:dyDescent="0.2">
      <c r="F3365" s="50"/>
    </row>
    <row r="3366" spans="6:6" hidden="1" x14ac:dyDescent="0.2">
      <c r="F3366" s="50"/>
    </row>
    <row r="3367" spans="6:6" hidden="1" x14ac:dyDescent="0.2">
      <c r="F3367" s="50"/>
    </row>
    <row r="3368" spans="6:6" hidden="1" x14ac:dyDescent="0.2">
      <c r="F3368" s="50"/>
    </row>
    <row r="3369" spans="6:6" hidden="1" x14ac:dyDescent="0.2">
      <c r="F3369" s="50"/>
    </row>
    <row r="3370" spans="6:6" hidden="1" x14ac:dyDescent="0.2">
      <c r="F3370" s="50"/>
    </row>
    <row r="3371" spans="6:6" hidden="1" x14ac:dyDescent="0.2">
      <c r="F3371" s="50"/>
    </row>
    <row r="3372" spans="6:6" hidden="1" x14ac:dyDescent="0.2">
      <c r="F3372" s="50"/>
    </row>
    <row r="3373" spans="6:6" hidden="1" x14ac:dyDescent="0.2">
      <c r="F3373" s="50"/>
    </row>
    <row r="3374" spans="6:6" hidden="1" x14ac:dyDescent="0.2">
      <c r="F3374" s="50"/>
    </row>
    <row r="3375" spans="6:6" hidden="1" x14ac:dyDescent="0.2">
      <c r="F3375" s="50"/>
    </row>
    <row r="3376" spans="6:6" hidden="1" x14ac:dyDescent="0.2">
      <c r="F3376" s="50"/>
    </row>
    <row r="3379" spans="6:6" hidden="1" x14ac:dyDescent="0.2">
      <c r="F3379" s="50"/>
    </row>
    <row r="3380" spans="6:6" hidden="1" x14ac:dyDescent="0.2">
      <c r="F3380" s="50"/>
    </row>
    <row r="3381" spans="6:6" hidden="1" x14ac:dyDescent="0.2">
      <c r="F3381" s="50"/>
    </row>
    <row r="3382" spans="6:6" hidden="1" x14ac:dyDescent="0.2">
      <c r="F3382" s="50"/>
    </row>
    <row r="3386" spans="6:6" hidden="1" x14ac:dyDescent="0.2">
      <c r="F3386" s="50"/>
    </row>
    <row r="3387" spans="6:6" hidden="1" x14ac:dyDescent="0.2">
      <c r="F3387" s="50"/>
    </row>
    <row r="3388" spans="6:6" hidden="1" x14ac:dyDescent="0.2">
      <c r="F3388" s="50"/>
    </row>
    <row r="3389" spans="6:6" hidden="1" x14ac:dyDescent="0.2">
      <c r="F3389" s="50"/>
    </row>
    <row r="3390" spans="6:6" hidden="1" x14ac:dyDescent="0.2">
      <c r="F3390" s="50"/>
    </row>
    <row r="3391" spans="6:6" hidden="1" x14ac:dyDescent="0.2">
      <c r="F3391" s="50"/>
    </row>
    <row r="3392" spans="6:6" hidden="1" x14ac:dyDescent="0.2">
      <c r="F3392" s="50"/>
    </row>
    <row r="3393" spans="6:6" hidden="1" x14ac:dyDescent="0.2">
      <c r="F3393" s="50"/>
    </row>
    <row r="3394" spans="6:6" hidden="1" x14ac:dyDescent="0.2">
      <c r="F3394" s="50"/>
    </row>
    <row r="3396" spans="6:6" hidden="1" x14ac:dyDescent="0.2">
      <c r="F3396" s="50"/>
    </row>
    <row r="3397" spans="6:6" hidden="1" x14ac:dyDescent="0.2">
      <c r="F3397" s="50"/>
    </row>
    <row r="3398" spans="6:6" hidden="1" x14ac:dyDescent="0.2">
      <c r="F3398" s="50"/>
    </row>
    <row r="3399" spans="6:6" hidden="1" x14ac:dyDescent="0.2">
      <c r="F3399" s="50"/>
    </row>
    <row r="3400" spans="6:6" hidden="1" x14ac:dyDescent="0.2">
      <c r="F3400" s="50"/>
    </row>
    <row r="3401" spans="6:6" hidden="1" x14ac:dyDescent="0.2">
      <c r="F3401" s="50"/>
    </row>
    <row r="3402" spans="6:6" hidden="1" x14ac:dyDescent="0.2">
      <c r="F3402" s="50"/>
    </row>
    <row r="3403" spans="6:6" hidden="1" x14ac:dyDescent="0.2">
      <c r="F3403" s="50"/>
    </row>
    <row r="3404" spans="6:6" hidden="1" x14ac:dyDescent="0.2">
      <c r="F3404" s="50"/>
    </row>
    <row r="3405" spans="6:6" hidden="1" x14ac:dyDescent="0.2">
      <c r="F3405" s="50"/>
    </row>
    <row r="3407" spans="6:6" hidden="1" x14ac:dyDescent="0.2">
      <c r="F3407" s="50"/>
    </row>
    <row r="3408" spans="6:6" hidden="1" x14ac:dyDescent="0.2">
      <c r="F3408" s="50"/>
    </row>
    <row r="3409" spans="6:6" hidden="1" x14ac:dyDescent="0.2">
      <c r="F3409" s="50"/>
    </row>
    <row r="3410" spans="6:6" hidden="1" x14ac:dyDescent="0.2">
      <c r="F3410" s="50"/>
    </row>
    <row r="3411" spans="6:6" hidden="1" x14ac:dyDescent="0.2">
      <c r="F3411" s="50"/>
    </row>
    <row r="3412" spans="6:6" hidden="1" x14ac:dyDescent="0.2">
      <c r="F3412" s="50"/>
    </row>
    <row r="3413" spans="6:6" hidden="1" x14ac:dyDescent="0.2">
      <c r="F3413" s="50"/>
    </row>
    <row r="3414" spans="6:6" hidden="1" x14ac:dyDescent="0.2">
      <c r="F3414" s="50"/>
    </row>
    <row r="3415" spans="6:6" hidden="1" x14ac:dyDescent="0.2">
      <c r="F3415" s="50"/>
    </row>
    <row r="3417" spans="6:6" hidden="1" x14ac:dyDescent="0.2">
      <c r="F3417" s="50"/>
    </row>
    <row r="3418" spans="6:6" hidden="1" x14ac:dyDescent="0.2">
      <c r="F3418" s="50"/>
    </row>
    <row r="3419" spans="6:6" hidden="1" x14ac:dyDescent="0.2">
      <c r="F3419" s="50"/>
    </row>
    <row r="3420" spans="6:6" hidden="1" x14ac:dyDescent="0.2">
      <c r="F3420" s="50"/>
    </row>
    <row r="3421" spans="6:6" hidden="1" x14ac:dyDescent="0.2">
      <c r="F3421" s="50"/>
    </row>
    <row r="3422" spans="6:6" hidden="1" x14ac:dyDescent="0.2">
      <c r="F3422" s="50"/>
    </row>
    <row r="3423" spans="6:6" hidden="1" x14ac:dyDescent="0.2">
      <c r="F3423" s="50"/>
    </row>
    <row r="3424" spans="6:6" hidden="1" x14ac:dyDescent="0.2">
      <c r="F3424" s="50"/>
    </row>
    <row r="3425" spans="6:6" hidden="1" x14ac:dyDescent="0.2">
      <c r="F3425" s="50"/>
    </row>
    <row r="3426" spans="6:6" hidden="1" x14ac:dyDescent="0.2">
      <c r="F3426" s="50"/>
    </row>
    <row r="3427" spans="6:6" hidden="1" x14ac:dyDescent="0.2">
      <c r="F3427" s="50"/>
    </row>
    <row r="3428" spans="6:6" hidden="1" x14ac:dyDescent="0.2">
      <c r="F3428" s="50"/>
    </row>
    <row r="3429" spans="6:6" hidden="1" x14ac:dyDescent="0.2">
      <c r="F3429" s="50"/>
    </row>
    <row r="3430" spans="6:6" hidden="1" x14ac:dyDescent="0.2">
      <c r="F3430" s="50"/>
    </row>
    <row r="3439" spans="6:6" hidden="1" x14ac:dyDescent="0.2">
      <c r="F3439" s="50"/>
    </row>
    <row r="3440" spans="6:6" hidden="1" x14ac:dyDescent="0.2">
      <c r="F3440" s="50"/>
    </row>
    <row r="3441" spans="6:6" hidden="1" x14ac:dyDescent="0.2">
      <c r="F3441" s="50"/>
    </row>
    <row r="3442" spans="6:6" hidden="1" x14ac:dyDescent="0.2">
      <c r="F3442" s="50"/>
    </row>
    <row r="3443" spans="6:6" hidden="1" x14ac:dyDescent="0.2">
      <c r="F3443" s="50"/>
    </row>
    <row r="3444" spans="6:6" hidden="1" x14ac:dyDescent="0.2">
      <c r="F3444" s="50"/>
    </row>
    <row r="3445" spans="6:6" hidden="1" x14ac:dyDescent="0.2">
      <c r="F3445" s="50"/>
    </row>
    <row r="3446" spans="6:6" hidden="1" x14ac:dyDescent="0.2">
      <c r="F3446" s="50"/>
    </row>
    <row r="3447" spans="6:6" hidden="1" x14ac:dyDescent="0.2">
      <c r="F3447" s="50"/>
    </row>
    <row r="3448" spans="6:6" hidden="1" x14ac:dyDescent="0.2">
      <c r="F3448" s="50"/>
    </row>
    <row r="3449" spans="6:6" hidden="1" x14ac:dyDescent="0.2">
      <c r="F3449" s="50"/>
    </row>
    <row r="3450" spans="6:6" hidden="1" x14ac:dyDescent="0.2">
      <c r="F3450" s="50"/>
    </row>
    <row r="3451" spans="6:6" hidden="1" x14ac:dyDescent="0.2">
      <c r="F3451" s="50"/>
    </row>
    <row r="3452" spans="6:6" hidden="1" x14ac:dyDescent="0.2">
      <c r="F3452" s="50"/>
    </row>
    <row r="3453" spans="6:6" hidden="1" x14ac:dyDescent="0.2">
      <c r="F3453" s="50"/>
    </row>
    <row r="3454" spans="6:6" hidden="1" x14ac:dyDescent="0.2">
      <c r="F3454" s="50"/>
    </row>
    <row r="3455" spans="6:6" hidden="1" x14ac:dyDescent="0.2">
      <c r="F3455" s="50"/>
    </row>
    <row r="3456" spans="6:6" hidden="1" x14ac:dyDescent="0.2">
      <c r="F3456" s="50"/>
    </row>
    <row r="3457" spans="6:6" hidden="1" x14ac:dyDescent="0.2">
      <c r="F3457" s="50"/>
    </row>
    <row r="3458" spans="6:6" hidden="1" x14ac:dyDescent="0.2">
      <c r="F3458" s="50"/>
    </row>
    <row r="3459" spans="6:6" hidden="1" x14ac:dyDescent="0.2">
      <c r="F3459" s="50"/>
    </row>
    <row r="3460" spans="6:6" hidden="1" x14ac:dyDescent="0.2">
      <c r="F3460" s="50"/>
    </row>
    <row r="3461" spans="6:6" hidden="1" x14ac:dyDescent="0.2">
      <c r="F3461" s="50"/>
    </row>
    <row r="3462" spans="6:6" hidden="1" x14ac:dyDescent="0.2">
      <c r="F3462" s="50"/>
    </row>
    <row r="3463" spans="6:6" hidden="1" x14ac:dyDescent="0.2">
      <c r="F3463" s="50"/>
    </row>
    <row r="3464" spans="6:6" hidden="1" x14ac:dyDescent="0.2">
      <c r="F3464" s="50"/>
    </row>
    <row r="3465" spans="6:6" hidden="1" x14ac:dyDescent="0.2">
      <c r="F3465" s="50"/>
    </row>
    <row r="3466" spans="6:6" hidden="1" x14ac:dyDescent="0.2">
      <c r="F3466" s="50"/>
    </row>
    <row r="3488" spans="6:7" hidden="1" x14ac:dyDescent="0.2">
      <c r="F3488" s="50"/>
      <c r="G3488" s="50"/>
    </row>
    <row r="3496" spans="6:6" hidden="1" x14ac:dyDescent="0.2">
      <c r="F3496" s="50"/>
    </row>
    <row r="3498" spans="6:6" hidden="1" x14ac:dyDescent="0.2">
      <c r="F3498" s="50"/>
    </row>
    <row r="3499" spans="6:6" hidden="1" x14ac:dyDescent="0.2">
      <c r="F3499" s="50"/>
    </row>
    <row r="3500" spans="6:6" hidden="1" x14ac:dyDescent="0.2">
      <c r="F3500" s="50"/>
    </row>
    <row r="3501" spans="6:6" hidden="1" x14ac:dyDescent="0.2">
      <c r="F3501" s="50"/>
    </row>
    <row r="3502" spans="6:6" hidden="1" x14ac:dyDescent="0.2">
      <c r="F3502" s="50"/>
    </row>
    <row r="3503" spans="6:6" hidden="1" x14ac:dyDescent="0.2">
      <c r="F3503" s="50"/>
    </row>
    <row r="3504" spans="6:6" hidden="1" x14ac:dyDescent="0.2">
      <c r="F3504" s="50"/>
    </row>
    <row r="3505" spans="6:6" hidden="1" x14ac:dyDescent="0.2">
      <c r="F3505" s="50"/>
    </row>
    <row r="3506" spans="6:6" hidden="1" x14ac:dyDescent="0.2">
      <c r="F3506" s="50"/>
    </row>
    <row r="3507" spans="6:6" hidden="1" x14ac:dyDescent="0.2">
      <c r="F3507" s="50"/>
    </row>
    <row r="3508" spans="6:6" hidden="1" x14ac:dyDescent="0.2">
      <c r="F3508" s="50"/>
    </row>
    <row r="3509" spans="6:6" hidden="1" x14ac:dyDescent="0.2">
      <c r="F3509" s="50"/>
    </row>
    <row r="3510" spans="6:6" hidden="1" x14ac:dyDescent="0.2">
      <c r="F3510" s="50"/>
    </row>
    <row r="3511" spans="6:6" hidden="1" x14ac:dyDescent="0.2">
      <c r="F3511" s="50"/>
    </row>
    <row r="3512" spans="6:6" hidden="1" x14ac:dyDescent="0.2">
      <c r="F3512" s="50"/>
    </row>
    <row r="3513" spans="6:6" hidden="1" x14ac:dyDescent="0.2">
      <c r="F3513" s="50"/>
    </row>
    <row r="3514" spans="6:6" hidden="1" x14ac:dyDescent="0.2">
      <c r="F3514" s="50"/>
    </row>
    <row r="3515" spans="6:6" hidden="1" x14ac:dyDescent="0.2">
      <c r="F3515" s="50"/>
    </row>
    <row r="3516" spans="6:6" hidden="1" x14ac:dyDescent="0.2">
      <c r="F3516" s="50"/>
    </row>
    <row r="3517" spans="6:6" hidden="1" x14ac:dyDescent="0.2">
      <c r="F3517" s="50"/>
    </row>
    <row r="3518" spans="6:6" hidden="1" x14ac:dyDescent="0.2">
      <c r="F3518" s="50"/>
    </row>
    <row r="3519" spans="6:6" hidden="1" x14ac:dyDescent="0.2">
      <c r="F3519" s="50"/>
    </row>
    <row r="3520" spans="6:6" hidden="1" x14ac:dyDescent="0.2">
      <c r="F3520" s="50"/>
    </row>
    <row r="3521" spans="6:6" hidden="1" x14ac:dyDescent="0.2">
      <c r="F3521" s="50"/>
    </row>
    <row r="3535" spans="6:6" hidden="1" x14ac:dyDescent="0.2">
      <c r="F3535" s="50"/>
    </row>
    <row r="3536" spans="6:6" hidden="1" x14ac:dyDescent="0.2">
      <c r="F3536" s="50"/>
    </row>
    <row r="3537" spans="6:8" hidden="1" x14ac:dyDescent="0.2">
      <c r="F3537" s="50"/>
    </row>
    <row r="3538" spans="6:8" hidden="1" x14ac:dyDescent="0.2">
      <c r="F3538" s="50"/>
    </row>
    <row r="3539" spans="6:8" hidden="1" x14ac:dyDescent="0.2">
      <c r="F3539" s="50"/>
    </row>
    <row r="3540" spans="6:8" hidden="1" x14ac:dyDescent="0.2">
      <c r="F3540" s="50"/>
    </row>
    <row r="3541" spans="6:8" hidden="1" x14ac:dyDescent="0.2">
      <c r="F3541" s="50"/>
    </row>
    <row r="3543" spans="6:8" hidden="1" x14ac:dyDescent="0.2">
      <c r="F3543" s="50"/>
    </row>
    <row r="3544" spans="6:8" hidden="1" x14ac:dyDescent="0.2">
      <c r="F3544" s="50"/>
    </row>
    <row r="3545" spans="6:8" hidden="1" x14ac:dyDescent="0.2">
      <c r="F3545" s="50"/>
    </row>
    <row r="3546" spans="6:8" hidden="1" x14ac:dyDescent="0.2">
      <c r="F3546" s="50"/>
    </row>
    <row r="3547" spans="6:8" hidden="1" x14ac:dyDescent="0.2">
      <c r="F3547" s="50"/>
    </row>
    <row r="3548" spans="6:8" hidden="1" x14ac:dyDescent="0.2">
      <c r="F3548" s="50"/>
    </row>
    <row r="3549" spans="6:8" hidden="1" x14ac:dyDescent="0.2">
      <c r="F3549" s="50"/>
    </row>
    <row r="3550" spans="6:8" hidden="1" x14ac:dyDescent="0.2">
      <c r="F3550" s="50"/>
      <c r="H3550"/>
    </row>
    <row r="3551" spans="6:8" hidden="1" x14ac:dyDescent="0.2">
      <c r="F3551" s="50"/>
    </row>
    <row r="3552" spans="6:8" hidden="1" x14ac:dyDescent="0.2">
      <c r="F3552" s="50"/>
    </row>
    <row r="3559" spans="6:6" hidden="1" x14ac:dyDescent="0.2">
      <c r="F3559" s="50"/>
    </row>
    <row r="3560" spans="6:6" hidden="1" x14ac:dyDescent="0.2">
      <c r="F3560" s="50"/>
    </row>
    <row r="3561" spans="6:6" hidden="1" x14ac:dyDescent="0.2">
      <c r="F3561" s="50"/>
    </row>
    <row r="3562" spans="6:6" hidden="1" x14ac:dyDescent="0.2">
      <c r="F3562" s="50"/>
    </row>
    <row r="3563" spans="6:6" hidden="1" x14ac:dyDescent="0.2">
      <c r="F3563" s="50"/>
    </row>
    <row r="3564" spans="6:6" hidden="1" x14ac:dyDescent="0.2">
      <c r="F3564" s="50"/>
    </row>
    <row r="3565" spans="6:6" hidden="1" x14ac:dyDescent="0.2">
      <c r="F3565" s="50"/>
    </row>
    <row r="3566" spans="6:6" hidden="1" x14ac:dyDescent="0.2">
      <c r="F3566" s="50"/>
    </row>
    <row r="3567" spans="6:6" hidden="1" x14ac:dyDescent="0.2">
      <c r="F3567" s="50"/>
    </row>
    <row r="3568" spans="6:6" hidden="1" x14ac:dyDescent="0.2">
      <c r="F3568" s="50"/>
    </row>
    <row r="3569" spans="6:6" hidden="1" x14ac:dyDescent="0.2">
      <c r="F3569" s="50"/>
    </row>
    <row r="3570" spans="6:6" hidden="1" x14ac:dyDescent="0.2">
      <c r="F3570" s="50"/>
    </row>
    <row r="3571" spans="6:6" hidden="1" x14ac:dyDescent="0.2">
      <c r="F3571" s="50"/>
    </row>
    <row r="3572" spans="6:6" hidden="1" x14ac:dyDescent="0.2">
      <c r="F3572" s="50"/>
    </row>
    <row r="3573" spans="6:6" hidden="1" x14ac:dyDescent="0.2">
      <c r="F3573" s="50"/>
    </row>
    <row r="3574" spans="6:6" hidden="1" x14ac:dyDescent="0.2">
      <c r="F3574" s="50"/>
    </row>
    <row r="3575" spans="6:6" hidden="1" x14ac:dyDescent="0.2">
      <c r="F3575" s="50"/>
    </row>
    <row r="3576" spans="6:6" hidden="1" x14ac:dyDescent="0.2">
      <c r="F3576" s="50"/>
    </row>
    <row r="3577" spans="6:6" hidden="1" x14ac:dyDescent="0.2">
      <c r="F3577" s="50"/>
    </row>
    <row r="3578" spans="6:6" hidden="1" x14ac:dyDescent="0.2">
      <c r="F3578" s="50"/>
    </row>
    <row r="3579" spans="6:6" hidden="1" x14ac:dyDescent="0.2">
      <c r="F3579" s="50"/>
    </row>
    <row r="3580" spans="6:6" hidden="1" x14ac:dyDescent="0.2">
      <c r="F3580" s="50"/>
    </row>
    <row r="3581" spans="6:6" hidden="1" x14ac:dyDescent="0.2">
      <c r="F3581" s="50"/>
    </row>
    <row r="3582" spans="6:6" hidden="1" x14ac:dyDescent="0.2">
      <c r="F3582" s="50"/>
    </row>
    <row r="3583" spans="6:6" hidden="1" x14ac:dyDescent="0.2">
      <c r="F3583" s="50"/>
    </row>
    <row r="3584" spans="6:6" hidden="1" x14ac:dyDescent="0.2">
      <c r="F3584" s="50"/>
    </row>
    <row r="3585" spans="1:6" hidden="1" x14ac:dyDescent="0.2">
      <c r="F3585" s="50"/>
    </row>
    <row r="3586" spans="1:6" hidden="1" x14ac:dyDescent="0.2">
      <c r="F3586" s="50"/>
    </row>
    <row r="3587" spans="1:6" hidden="1" x14ac:dyDescent="0.2">
      <c r="F3587" s="50"/>
    </row>
    <row r="3588" spans="1:6" ht="15" hidden="1" thickBot="1" x14ac:dyDescent="0.25">
      <c r="F3588" s="50"/>
    </row>
    <row r="3589" spans="1:6" ht="15.75" hidden="1" thickBot="1" x14ac:dyDescent="0.25">
      <c r="A3589" s="63"/>
      <c r="C3589" s="63"/>
    </row>
    <row r="3590" spans="1:6" ht="15.75" hidden="1" thickBot="1" x14ac:dyDescent="0.25">
      <c r="A3590" s="59"/>
      <c r="C3590" s="59"/>
    </row>
    <row r="3591" spans="1:6" ht="15.75" hidden="1" thickBot="1" x14ac:dyDescent="0.25">
      <c r="A3591" s="59"/>
      <c r="C3591" s="59"/>
    </row>
    <row r="3592" spans="1:6" hidden="1" x14ac:dyDescent="0.2">
      <c r="F3592" s="50"/>
    </row>
    <row r="3593" spans="1:6" hidden="1" x14ac:dyDescent="0.2">
      <c r="F3593" s="50"/>
    </row>
    <row r="3595" spans="1:6" hidden="1" x14ac:dyDescent="0.2">
      <c r="F3595" s="50"/>
    </row>
    <row r="3596" spans="1:6" hidden="1" x14ac:dyDescent="0.2">
      <c r="F3596" s="50"/>
    </row>
    <row r="3597" spans="1:6" hidden="1" x14ac:dyDescent="0.2">
      <c r="F3597" s="50"/>
    </row>
    <row r="3598" spans="1:6" hidden="1" x14ac:dyDescent="0.2">
      <c r="F3598" s="50"/>
    </row>
    <row r="3599" spans="1:6" hidden="1" x14ac:dyDescent="0.2">
      <c r="F3599" s="50"/>
    </row>
    <row r="3600" spans="1:6" hidden="1" x14ac:dyDescent="0.2">
      <c r="F3600" s="50"/>
    </row>
    <row r="3601" spans="6:6" hidden="1" x14ac:dyDescent="0.2">
      <c r="F3601" s="50"/>
    </row>
    <row r="3602" spans="6:6" hidden="1" x14ac:dyDescent="0.2">
      <c r="F3602" s="50"/>
    </row>
    <row r="3603" spans="6:6" hidden="1" x14ac:dyDescent="0.2">
      <c r="F3603" s="50"/>
    </row>
    <row r="3604" spans="6:6" hidden="1" x14ac:dyDescent="0.2">
      <c r="F3604" s="50"/>
    </row>
    <row r="3606" spans="6:6" hidden="1" x14ac:dyDescent="0.2">
      <c r="F3606" s="50"/>
    </row>
    <row r="3607" spans="6:6" hidden="1" x14ac:dyDescent="0.2">
      <c r="F3607" s="50"/>
    </row>
    <row r="3608" spans="6:6" hidden="1" x14ac:dyDescent="0.2">
      <c r="F3608" s="50"/>
    </row>
    <row r="3609" spans="6:6" hidden="1" x14ac:dyDescent="0.2">
      <c r="F3609" s="50"/>
    </row>
    <row r="3610" spans="6:6" hidden="1" x14ac:dyDescent="0.2">
      <c r="F3610" s="50"/>
    </row>
    <row r="3611" spans="6:6" hidden="1" x14ac:dyDescent="0.2">
      <c r="F3611" s="50"/>
    </row>
    <row r="3612" spans="6:6" hidden="1" x14ac:dyDescent="0.2">
      <c r="F3612" s="50"/>
    </row>
    <row r="3613" spans="6:6" hidden="1" x14ac:dyDescent="0.2">
      <c r="F3613" s="50"/>
    </row>
    <row r="3614" spans="6:6" hidden="1" x14ac:dyDescent="0.2">
      <c r="F3614" s="50"/>
    </row>
    <row r="3615" spans="6:6" hidden="1" x14ac:dyDescent="0.2">
      <c r="F3615" s="50"/>
    </row>
    <row r="3616" spans="6:6" hidden="1" x14ac:dyDescent="0.2">
      <c r="F3616" s="50"/>
    </row>
    <row r="3617" spans="6:6" hidden="1" x14ac:dyDescent="0.2">
      <c r="F3617" s="50"/>
    </row>
    <row r="3618" spans="6:6" hidden="1" x14ac:dyDescent="0.2">
      <c r="F3618" s="50"/>
    </row>
    <row r="3619" spans="6:6" hidden="1" x14ac:dyDescent="0.2">
      <c r="F3619" s="50"/>
    </row>
    <row r="3620" spans="6:6" hidden="1" x14ac:dyDescent="0.2">
      <c r="F3620" s="50"/>
    </row>
    <row r="3621" spans="6:6" hidden="1" x14ac:dyDescent="0.2">
      <c r="F3621" s="50"/>
    </row>
    <row r="3622" spans="6:6" hidden="1" x14ac:dyDescent="0.2">
      <c r="F3622" s="50"/>
    </row>
    <row r="3623" spans="6:6" hidden="1" x14ac:dyDescent="0.2">
      <c r="F3623" s="50"/>
    </row>
    <row r="3624" spans="6:6" hidden="1" x14ac:dyDescent="0.2">
      <c r="F3624" s="50"/>
    </row>
    <row r="3625" spans="6:6" hidden="1" x14ac:dyDescent="0.2">
      <c r="F3625" s="50"/>
    </row>
    <row r="3626" spans="6:6" hidden="1" x14ac:dyDescent="0.2">
      <c r="F3626" s="50"/>
    </row>
    <row r="3627" spans="6:6" hidden="1" x14ac:dyDescent="0.2">
      <c r="F3627" s="50"/>
    </row>
    <row r="3628" spans="6:6" hidden="1" x14ac:dyDescent="0.2">
      <c r="F3628" s="50"/>
    </row>
    <row r="3629" spans="6:6" hidden="1" x14ac:dyDescent="0.2">
      <c r="F3629" s="50"/>
    </row>
    <row r="3631" spans="6:6" hidden="1" x14ac:dyDescent="0.2">
      <c r="F3631" s="50"/>
    </row>
    <row r="3632" spans="6:6" hidden="1" x14ac:dyDescent="0.2">
      <c r="F3632" s="50"/>
    </row>
    <row r="3633" spans="1:6" hidden="1" x14ac:dyDescent="0.2">
      <c r="F3633" s="50"/>
    </row>
    <row r="3634" spans="1:6" hidden="1" x14ac:dyDescent="0.2">
      <c r="F3634" s="50"/>
    </row>
    <row r="3635" spans="1:6" hidden="1" x14ac:dyDescent="0.2">
      <c r="F3635" s="50"/>
    </row>
    <row r="3637" spans="1:6" hidden="1" x14ac:dyDescent="0.2">
      <c r="F3637" s="50"/>
    </row>
    <row r="3638" spans="1:6" hidden="1" x14ac:dyDescent="0.2">
      <c r="F3638" s="50"/>
    </row>
    <row r="3639" spans="1:6" ht="15.75" hidden="1" thickBot="1" x14ac:dyDescent="0.25">
      <c r="A3639" s="59"/>
    </row>
    <row r="3640" spans="1:6" ht="15.75" hidden="1" thickBot="1" x14ac:dyDescent="0.25">
      <c r="A3640" s="63"/>
    </row>
    <row r="3641" spans="1:6" hidden="1" x14ac:dyDescent="0.2">
      <c r="F3641" s="50"/>
    </row>
    <row r="3642" spans="1:6" hidden="1" x14ac:dyDescent="0.2">
      <c r="F3642" s="50"/>
    </row>
    <row r="3643" spans="1:6" hidden="1" x14ac:dyDescent="0.2">
      <c r="F3643" s="50"/>
    </row>
    <row r="3644" spans="1:6" hidden="1" x14ac:dyDescent="0.2">
      <c r="F3644" s="50"/>
    </row>
    <row r="3645" spans="1:6" hidden="1" x14ac:dyDescent="0.2">
      <c r="F3645" s="50"/>
    </row>
    <row r="3649" spans="6:6" hidden="1" x14ac:dyDescent="0.2">
      <c r="F3649" s="50"/>
    </row>
    <row r="3650" spans="6:6" hidden="1" x14ac:dyDescent="0.2">
      <c r="F3650" s="50"/>
    </row>
    <row r="3651" spans="6:6" hidden="1" x14ac:dyDescent="0.2">
      <c r="F3651" s="50"/>
    </row>
    <row r="3653" spans="6:6" hidden="1" x14ac:dyDescent="0.2">
      <c r="F3653" s="50"/>
    </row>
    <row r="3654" spans="6:6" hidden="1" x14ac:dyDescent="0.2">
      <c r="F3654" s="50"/>
    </row>
    <row r="3656" spans="6:6" hidden="1" x14ac:dyDescent="0.2">
      <c r="F3656" s="50"/>
    </row>
    <row r="3657" spans="6:6" hidden="1" x14ac:dyDescent="0.2">
      <c r="F3657" s="50"/>
    </row>
    <row r="3658" spans="6:6" hidden="1" x14ac:dyDescent="0.2">
      <c r="F3658" s="50"/>
    </row>
    <row r="3659" spans="6:6" hidden="1" x14ac:dyDescent="0.2">
      <c r="F3659" s="50"/>
    </row>
    <row r="3660" spans="6:6" hidden="1" x14ac:dyDescent="0.2">
      <c r="F3660" s="50"/>
    </row>
    <row r="3661" spans="6:6" hidden="1" x14ac:dyDescent="0.2">
      <c r="F3661" s="50"/>
    </row>
    <row r="3662" spans="6:6" hidden="1" x14ac:dyDescent="0.2">
      <c r="F3662" s="50"/>
    </row>
    <row r="3663" spans="6:6" hidden="1" x14ac:dyDescent="0.2">
      <c r="F3663" s="50"/>
    </row>
    <row r="3664" spans="6:6" hidden="1" x14ac:dyDescent="0.2">
      <c r="F3664" s="50"/>
    </row>
    <row r="3665" spans="6:8" hidden="1" x14ac:dyDescent="0.2">
      <c r="F3665" s="50"/>
    </row>
    <row r="3668" spans="6:8" hidden="1" x14ac:dyDescent="0.2">
      <c r="F3668" s="50"/>
    </row>
    <row r="3669" spans="6:8" hidden="1" x14ac:dyDescent="0.2">
      <c r="F3669" s="50"/>
    </row>
    <row r="3670" spans="6:8" hidden="1" x14ac:dyDescent="0.2">
      <c r="F3670" s="50"/>
    </row>
    <row r="3671" spans="6:8" ht="15" hidden="1" x14ac:dyDescent="0.25">
      <c r="F3671" s="50"/>
      <c r="H3671" s="62"/>
    </row>
    <row r="3672" spans="6:8" hidden="1" x14ac:dyDescent="0.2">
      <c r="F3672" s="50"/>
    </row>
    <row r="3673" spans="6:8" hidden="1" x14ac:dyDescent="0.2">
      <c r="F3673" s="50"/>
    </row>
    <row r="3674" spans="6:8" hidden="1" x14ac:dyDescent="0.2">
      <c r="F3674" s="50"/>
    </row>
    <row r="3675" spans="6:8" hidden="1" x14ac:dyDescent="0.2">
      <c r="F3675" s="50"/>
    </row>
    <row r="3676" spans="6:8" hidden="1" x14ac:dyDescent="0.2">
      <c r="F3676" s="50"/>
    </row>
    <row r="3677" spans="6:8" hidden="1" x14ac:dyDescent="0.2">
      <c r="F3677" s="50"/>
    </row>
    <row r="3679" spans="6:8" hidden="1" x14ac:dyDescent="0.2">
      <c r="F3679" s="50"/>
    </row>
    <row r="3680" spans="6:8" hidden="1" x14ac:dyDescent="0.2">
      <c r="F3680" s="50"/>
    </row>
    <row r="3681" spans="6:6" hidden="1" x14ac:dyDescent="0.2">
      <c r="F3681" s="50"/>
    </row>
    <row r="3683" spans="6:6" hidden="1" x14ac:dyDescent="0.2">
      <c r="F3683" s="50"/>
    </row>
    <row r="3685" spans="6:6" hidden="1" x14ac:dyDescent="0.2">
      <c r="F3685" s="50"/>
    </row>
    <row r="3686" spans="6:6" hidden="1" x14ac:dyDescent="0.2">
      <c r="F3686" s="50"/>
    </row>
    <row r="3687" spans="6:6" hidden="1" x14ac:dyDescent="0.2">
      <c r="F3687" s="50"/>
    </row>
    <row r="3688" spans="6:6" hidden="1" x14ac:dyDescent="0.2">
      <c r="F3688" s="50"/>
    </row>
    <row r="3689" spans="6:6" hidden="1" x14ac:dyDescent="0.2">
      <c r="F3689" s="50"/>
    </row>
    <row r="3694" spans="6:6" hidden="1" x14ac:dyDescent="0.2">
      <c r="F3694" s="50"/>
    </row>
    <row r="3695" spans="6:6" hidden="1" x14ac:dyDescent="0.2">
      <c r="F3695" s="50"/>
    </row>
    <row r="3696" spans="6:6" hidden="1" x14ac:dyDescent="0.2">
      <c r="F3696" s="50"/>
    </row>
    <row r="3697" spans="6:6" hidden="1" x14ac:dyDescent="0.2">
      <c r="F3697" s="50"/>
    </row>
    <row r="3698" spans="6:6" hidden="1" x14ac:dyDescent="0.2">
      <c r="F3698" s="50"/>
    </row>
    <row r="3699" spans="6:6" hidden="1" x14ac:dyDescent="0.2">
      <c r="F3699" s="50"/>
    </row>
    <row r="3700" spans="6:6" hidden="1" x14ac:dyDescent="0.2">
      <c r="F3700" s="50"/>
    </row>
    <row r="3701" spans="6:6" hidden="1" x14ac:dyDescent="0.2">
      <c r="F3701" s="50"/>
    </row>
    <row r="3707" spans="6:6" hidden="1" x14ac:dyDescent="0.2">
      <c r="F3707" s="50"/>
    </row>
    <row r="3709" spans="6:6" hidden="1" x14ac:dyDescent="0.2">
      <c r="F3709" s="50"/>
    </row>
    <row r="3710" spans="6:6" hidden="1" x14ac:dyDescent="0.2">
      <c r="F3710" s="50"/>
    </row>
    <row r="3711" spans="6:6" hidden="1" x14ac:dyDescent="0.2">
      <c r="F3711" s="50"/>
    </row>
    <row r="3712" spans="6:6" hidden="1" x14ac:dyDescent="0.2">
      <c r="F3712" s="50"/>
    </row>
    <row r="3713" spans="6:6" hidden="1" x14ac:dyDescent="0.2">
      <c r="F3713" s="50"/>
    </row>
    <row r="3714" spans="6:6" hidden="1" x14ac:dyDescent="0.2">
      <c r="F3714" s="50"/>
    </row>
    <row r="3715" spans="6:6" hidden="1" x14ac:dyDescent="0.2">
      <c r="F3715" s="50"/>
    </row>
    <row r="3716" spans="6:6" hidden="1" x14ac:dyDescent="0.2">
      <c r="F3716" s="50"/>
    </row>
    <row r="3717" spans="6:6" hidden="1" x14ac:dyDescent="0.2">
      <c r="F3717" s="50"/>
    </row>
    <row r="3718" spans="6:6" hidden="1" x14ac:dyDescent="0.2">
      <c r="F3718" s="50"/>
    </row>
    <row r="3719" spans="6:6" hidden="1" x14ac:dyDescent="0.2">
      <c r="F3719" s="50"/>
    </row>
    <row r="3720" spans="6:6" hidden="1" x14ac:dyDescent="0.2">
      <c r="F3720" s="50"/>
    </row>
    <row r="3721" spans="6:6" hidden="1" x14ac:dyDescent="0.2">
      <c r="F3721" s="50"/>
    </row>
    <row r="3722" spans="6:6" hidden="1" x14ac:dyDescent="0.2">
      <c r="F3722" s="50"/>
    </row>
    <row r="3723" spans="6:6" hidden="1" x14ac:dyDescent="0.2">
      <c r="F3723" s="50"/>
    </row>
    <row r="3724" spans="6:6" hidden="1" x14ac:dyDescent="0.2">
      <c r="F3724" s="50"/>
    </row>
    <row r="3725" spans="6:6" hidden="1" x14ac:dyDescent="0.2">
      <c r="F3725" s="50"/>
    </row>
    <row r="3726" spans="6:6" hidden="1" x14ac:dyDescent="0.2">
      <c r="F3726" s="50"/>
    </row>
    <row r="3727" spans="6:6" hidden="1" x14ac:dyDescent="0.2">
      <c r="F3727" s="50"/>
    </row>
    <row r="3728" spans="6:6" hidden="1" x14ac:dyDescent="0.2">
      <c r="F3728" s="50"/>
    </row>
    <row r="3729" spans="6:6" hidden="1" x14ac:dyDescent="0.2">
      <c r="F3729" s="50"/>
    </row>
    <row r="3730" spans="6:6" hidden="1" x14ac:dyDescent="0.2">
      <c r="F3730" s="50"/>
    </row>
    <row r="3731" spans="6:6" hidden="1" x14ac:dyDescent="0.2">
      <c r="F3731" s="50"/>
    </row>
    <row r="3736" spans="6:6" hidden="1" x14ac:dyDescent="0.2">
      <c r="F3736" s="50"/>
    </row>
    <row r="3737" spans="6:6" hidden="1" x14ac:dyDescent="0.2">
      <c r="F3737" s="50"/>
    </row>
    <row r="3739" spans="6:6" hidden="1" x14ac:dyDescent="0.2">
      <c r="F3739" s="50"/>
    </row>
    <row r="3740" spans="6:6" hidden="1" x14ac:dyDescent="0.2">
      <c r="F3740" s="50"/>
    </row>
    <row r="3741" spans="6:6" hidden="1" x14ac:dyDescent="0.2">
      <c r="F3741" s="50"/>
    </row>
    <row r="3742" spans="6:6" hidden="1" x14ac:dyDescent="0.2">
      <c r="F3742" s="50"/>
    </row>
    <row r="3743" spans="6:6" hidden="1" x14ac:dyDescent="0.2">
      <c r="F3743" s="50"/>
    </row>
    <row r="3744" spans="6:6" hidden="1" x14ac:dyDescent="0.2">
      <c r="F3744" s="50"/>
    </row>
    <row r="3745" spans="6:6" hidden="1" x14ac:dyDescent="0.2">
      <c r="F3745" s="50"/>
    </row>
    <row r="3746" spans="6:6" hidden="1" x14ac:dyDescent="0.2">
      <c r="F3746" s="50"/>
    </row>
    <row r="3747" spans="6:6" hidden="1" x14ac:dyDescent="0.2">
      <c r="F3747" s="50"/>
    </row>
    <row r="3748" spans="6:6" hidden="1" x14ac:dyDescent="0.2">
      <c r="F3748" s="50"/>
    </row>
    <row r="3751" spans="6:6" hidden="1" x14ac:dyDescent="0.2">
      <c r="F3751" s="50"/>
    </row>
    <row r="3752" spans="6:6" hidden="1" x14ac:dyDescent="0.2">
      <c r="F3752" s="50"/>
    </row>
    <row r="3754" spans="6:6" hidden="1" x14ac:dyDescent="0.2">
      <c r="F3754" s="50"/>
    </row>
    <row r="3755" spans="6:6" hidden="1" x14ac:dyDescent="0.2">
      <c r="F3755" s="50"/>
    </row>
    <row r="3756" spans="6:6" hidden="1" x14ac:dyDescent="0.2">
      <c r="F3756" s="50"/>
    </row>
    <row r="3757" spans="6:6" hidden="1" x14ac:dyDescent="0.2">
      <c r="F3757" s="50"/>
    </row>
    <row r="3758" spans="6:6" hidden="1" x14ac:dyDescent="0.2">
      <c r="F3758" s="50"/>
    </row>
    <row r="3759" spans="6:6" hidden="1" x14ac:dyDescent="0.2">
      <c r="F3759" s="50"/>
    </row>
    <row r="3760" spans="6:6" hidden="1" x14ac:dyDescent="0.2">
      <c r="F3760" s="50"/>
    </row>
    <row r="3767" spans="6:6" hidden="1" x14ac:dyDescent="0.2">
      <c r="F3767" s="50"/>
    </row>
    <row r="3769" spans="6:6" hidden="1" x14ac:dyDescent="0.2">
      <c r="F3769" s="50"/>
    </row>
    <row r="3770" spans="6:6" hidden="1" x14ac:dyDescent="0.2">
      <c r="F3770" s="50"/>
    </row>
    <row r="3771" spans="6:6" hidden="1" x14ac:dyDescent="0.2">
      <c r="F3771" s="50"/>
    </row>
    <row r="3772" spans="6:6" hidden="1" x14ac:dyDescent="0.2">
      <c r="F3772" s="50"/>
    </row>
    <row r="3773" spans="6:6" hidden="1" x14ac:dyDescent="0.2">
      <c r="F3773" s="50"/>
    </row>
    <row r="3774" spans="6:6" hidden="1" x14ac:dyDescent="0.2">
      <c r="F3774" s="50"/>
    </row>
    <row r="3775" spans="6:6" hidden="1" x14ac:dyDescent="0.2">
      <c r="F3775" s="50"/>
    </row>
    <row r="3777" spans="6:6" hidden="1" x14ac:dyDescent="0.2">
      <c r="F3777" s="50"/>
    </row>
    <row r="3778" spans="6:6" hidden="1" x14ac:dyDescent="0.2">
      <c r="F3778" s="50"/>
    </row>
    <row r="3782" spans="6:6" hidden="1" x14ac:dyDescent="0.2">
      <c r="F3782" s="50"/>
    </row>
    <row r="3784" spans="6:6" hidden="1" x14ac:dyDescent="0.2">
      <c r="F3784" s="50"/>
    </row>
    <row r="3787" spans="6:6" hidden="1" x14ac:dyDescent="0.2">
      <c r="F3787" s="50"/>
    </row>
    <row r="3788" spans="6:6" hidden="1" x14ac:dyDescent="0.2">
      <c r="F3788" s="50"/>
    </row>
    <row r="3790" spans="6:6" hidden="1" x14ac:dyDescent="0.2">
      <c r="F3790" s="50"/>
    </row>
    <row r="3791" spans="6:6" hidden="1" x14ac:dyDescent="0.2">
      <c r="F3791" s="50"/>
    </row>
    <row r="3793" spans="6:6" hidden="1" x14ac:dyDescent="0.2">
      <c r="F3793" s="50"/>
    </row>
    <row r="3796" spans="6:6" hidden="1" x14ac:dyDescent="0.2">
      <c r="F3796" s="50"/>
    </row>
    <row r="3797" spans="6:6" hidden="1" x14ac:dyDescent="0.2">
      <c r="F3797" s="50"/>
    </row>
    <row r="3798" spans="6:6" hidden="1" x14ac:dyDescent="0.2">
      <c r="F3798" s="50"/>
    </row>
    <row r="3799" spans="6:6" hidden="1" x14ac:dyDescent="0.2">
      <c r="F3799" s="50"/>
    </row>
    <row r="3800" spans="6:6" hidden="1" x14ac:dyDescent="0.2">
      <c r="F3800" s="50"/>
    </row>
    <row r="3801" spans="6:6" hidden="1" x14ac:dyDescent="0.2">
      <c r="F3801" s="50"/>
    </row>
    <row r="3802" spans="6:6" hidden="1" x14ac:dyDescent="0.2">
      <c r="F3802" s="50"/>
    </row>
    <row r="3803" spans="6:6" hidden="1" x14ac:dyDescent="0.2">
      <c r="F3803" s="50"/>
    </row>
    <row r="3804" spans="6:6" hidden="1" x14ac:dyDescent="0.2">
      <c r="F3804" s="50"/>
    </row>
    <row r="3805" spans="6:6" hidden="1" x14ac:dyDescent="0.2">
      <c r="F3805" s="50"/>
    </row>
    <row r="3806" spans="6:6" hidden="1" x14ac:dyDescent="0.2">
      <c r="F3806" s="50"/>
    </row>
    <row r="3829" spans="1:6" hidden="1" x14ac:dyDescent="0.2">
      <c r="F3829" s="50"/>
    </row>
    <row r="3830" spans="1:6" hidden="1" x14ac:dyDescent="0.2">
      <c r="F3830" s="50"/>
    </row>
    <row r="3831" spans="1:6" hidden="1" x14ac:dyDescent="0.2">
      <c r="F3831" s="50"/>
    </row>
    <row r="3832" spans="1:6" hidden="1" x14ac:dyDescent="0.2">
      <c r="A3832" s="60"/>
      <c r="C3832" s="60"/>
    </row>
    <row r="3836" spans="1:6" hidden="1" x14ac:dyDescent="0.2">
      <c r="F3836" s="50"/>
    </row>
    <row r="3837" spans="1:6" hidden="1" x14ac:dyDescent="0.2">
      <c r="F3837" s="50"/>
    </row>
    <row r="3841" spans="6:6" hidden="1" x14ac:dyDescent="0.2">
      <c r="F3841" s="50"/>
    </row>
    <row r="3842" spans="6:6" hidden="1" x14ac:dyDescent="0.2">
      <c r="F3842" s="50"/>
    </row>
    <row r="3843" spans="6:6" hidden="1" x14ac:dyDescent="0.2">
      <c r="F3843" s="50"/>
    </row>
    <row r="3851" spans="6:6" hidden="1" x14ac:dyDescent="0.2">
      <c r="F3851" s="50"/>
    </row>
    <row r="3864" spans="6:6" hidden="1" x14ac:dyDescent="0.2">
      <c r="F3864" s="50"/>
    </row>
    <row r="3884" spans="6:6" hidden="1" x14ac:dyDescent="0.2">
      <c r="F3884" s="50"/>
    </row>
    <row r="3888" spans="6:6" hidden="1" x14ac:dyDescent="0.2">
      <c r="F3888" s="50"/>
    </row>
    <row r="3889" spans="6:6" hidden="1" x14ac:dyDescent="0.2">
      <c r="F3889" s="50"/>
    </row>
    <row r="3890" spans="6:6" hidden="1" x14ac:dyDescent="0.2">
      <c r="F3890" s="50"/>
    </row>
  </sheetData>
  <autoFilter ref="A2:H3882" xr:uid="{00000000-0001-0000-0200-000000000000}"/>
  <customSheetViews>
    <customSheetView guid="{3088DA8C-CA5B-4D0B-B766-601A6252A1BC}" showGridLines="0" zeroValues="0" showAutoFilter="1">
      <pane ySplit="3" topLeftCell="A4" activePane="bottomLeft" state="frozen"/>
      <selection pane="bottomLeft" activeCell="F16" sqref="F16"/>
      <pageMargins left="0.7" right="0.7" top="0.75" bottom="0.75" header="0.3" footer="0.3"/>
      <pageSetup orientation="portrait" r:id="rId1"/>
      <autoFilter ref="A2:H3882" xr:uid="{4B0EA94B-BF14-4594-951A-F3708D777974}"/>
    </customSheetView>
    <customSheetView guid="{2C9D0022-6FEB-4503-9A3D-1134E9EB4ABD}" showGridLines="0" zeroValues="0" showAutoFilter="1">
      <pane xSplit="4" ySplit="2" topLeftCell="E3" activePane="bottomRight" state="frozen"/>
      <selection pane="bottomRight"/>
      <pageMargins left="0.7" right="0.7" top="0.75" bottom="0.75" header="0.3" footer="0.3"/>
      <pageSetup orientation="portrait" r:id="rId2"/>
      <autoFilter ref="A2:H3882" xr:uid="{197E801B-D0F7-42BE-9E95-E93F331CE08A}"/>
    </customSheetView>
    <customSheetView guid="{13FE0DC8-EF6C-4CDA-BD49-DC570D2B6582}" showGridLines="0" zeroValues="0">
      <pane ySplit="3" topLeftCell="A4" activePane="bottomLeft" state="frozen"/>
      <selection pane="bottomLeft" activeCell="K3" sqref="K3"/>
      <pageMargins left="0.7" right="0.7" top="0.75" bottom="0.75" header="0.3" footer="0.3"/>
      <pageSetup orientation="portrait" r:id="rId3"/>
    </customSheetView>
    <customSheetView guid="{B4395361-3CED-435D-A8C1-8E5C741E5B5A}" showGridLines="0" zeroValues="0" showAutoFilter="1">
      <pane xSplit="4" ySplit="2" topLeftCell="E3" activePane="bottomRight" state="frozen"/>
      <selection pane="bottomRight" activeCell="E10" activeCellId="1" sqref="E8 E10"/>
      <pageMargins left="0.7" right="0.7" top="0.75" bottom="0.75" header="0.3" footer="0.3"/>
      <pageSetup orientation="portrait" r:id="rId4"/>
      <autoFilter ref="A2:H3882" xr:uid="{C8DD1DD4-F91C-41D3-BF35-F218B3B596EF}"/>
    </customSheetView>
    <customSheetView guid="{16C42120-8ADA-4135-A282-991D16C151FE}" showGridLines="0" zeroValues="0">
      <pane ySplit="3" topLeftCell="A4" activePane="bottomLeft" state="frozen"/>
      <selection pane="bottomLeft" activeCell="A5" sqref="A5"/>
      <pageMargins left="0.7" right="0.7" top="0.75" bottom="0.75" header="0.3" footer="0.3"/>
      <pageSetup orientation="portrait" r:id="rId5"/>
    </customSheetView>
  </customSheetViews>
  <conditionalFormatting sqref="J1:Z1">
    <cfRule type="expression" dxfId="65" priority="414">
      <formula>$J1&lt;&gt;""</formula>
    </cfRule>
  </conditionalFormatting>
  <conditionalFormatting sqref="J1:N1">
    <cfRule type="expression" dxfId="64" priority="223">
      <formula>$N1="NAY"</formula>
    </cfRule>
    <cfRule type="expression" dxfId="63" priority="224">
      <formula>$N1="LATECS"</formula>
    </cfRule>
    <cfRule type="expression" dxfId="62" priority="415">
      <formula>$N1="MUST"</formula>
    </cfRule>
    <cfRule type="expression" dxfId="61" priority="416">
      <formula>$N1="DUE"</formula>
    </cfRule>
    <cfRule type="expression" dxfId="60" priority="417">
      <formula>$N1="LATE"</formula>
    </cfRule>
  </conditionalFormatting>
  <conditionalFormatting sqref="A1:I1 A3:I200">
    <cfRule type="expression" dxfId="59" priority="47">
      <formula>$A1&lt;&gt;""</formula>
    </cfRule>
  </conditionalFormatting>
  <conditionalFormatting sqref="A1">
    <cfRule type="duplicateValues" dxfId="58" priority="46"/>
  </conditionalFormatting>
  <conditionalFormatting sqref="J3:Z200">
    <cfRule type="expression" dxfId="57" priority="4">
      <formula>$J3&lt;&gt;""</formula>
    </cfRule>
  </conditionalFormatting>
  <conditionalFormatting sqref="J3:N200">
    <cfRule type="expression" dxfId="56" priority="2">
      <formula>$N3="NAY"</formula>
    </cfRule>
    <cfRule type="expression" dxfId="55" priority="3">
      <formula>$N3="LATECS"</formula>
    </cfRule>
    <cfRule type="expression" dxfId="54" priority="5">
      <formula>$N3="MUST"</formula>
    </cfRule>
    <cfRule type="expression" dxfId="53" priority="6">
      <formula>$N3="DUE"</formula>
    </cfRule>
    <cfRule type="expression" dxfId="52" priority="7">
      <formula>$N3="LATE"</formula>
    </cfRule>
  </conditionalFormatting>
  <conditionalFormatting sqref="A3:A200">
    <cfRule type="duplicateValues" dxfId="51" priority="1"/>
  </conditionalFormatting>
  <dataValidations count="1">
    <dataValidation type="list" allowBlank="1" showInputMessage="1" showErrorMessage="1" errorTitle="Sai giá trị" error="Chỉ nhận giá trị &quot;AN&quot;  or &quot;SL&quot;" sqref="I3:I53" xr:uid="{00000000-0002-0000-0200-000000000000}">
      <formula1>"AN,SL"</formula1>
    </dataValidation>
  </dataValidations>
  <pageMargins left="0.7" right="0.7" top="0.75" bottom="0.75" header="0.3" footer="0.3"/>
  <pageSetup orientation="portrait" r:id="rId6"/>
  <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E10D-60A4-42A6-8F2C-20C7BD4D233E}">
  <sheetPr codeName="Sheet12">
    <tabColor rgb="FFC00000"/>
  </sheetPr>
  <dimension ref="A1:AB3890"/>
  <sheetViews>
    <sheetView showGridLines="0" showZeros="0" topLeftCell="E1" zoomScaleNormal="100" workbookViewId="0">
      <pane ySplit="3" topLeftCell="A82" activePane="bottomLeft" state="frozen"/>
      <selection activeCell="D23" sqref="D23"/>
      <selection pane="bottomLeft" activeCell="N87" sqref="N87"/>
    </sheetView>
  </sheetViews>
  <sheetFormatPr defaultColWidth="0" defaultRowHeight="14.25" zeroHeight="1" x14ac:dyDescent="0.2"/>
  <cols>
    <col min="1" max="1" width="17" customWidth="1"/>
    <col min="2" max="2" width="16.75" style="50" customWidth="1"/>
    <col min="3" max="3" width="17.375" customWidth="1"/>
    <col min="4" max="4" width="16.25" style="50" bestFit="1" customWidth="1"/>
    <col min="5" max="5" width="11.875" bestFit="1" customWidth="1"/>
    <col min="6" max="6" width="13.875" customWidth="1"/>
    <col min="7" max="7" width="12.625" bestFit="1" customWidth="1"/>
    <col min="8" max="8" width="14.25" style="56" customWidth="1"/>
    <col min="9" max="9" width="11.875" style="93" bestFit="1" customWidth="1"/>
    <col min="10" max="10" width="16.75" customWidth="1"/>
    <col min="11" max="11" width="11.25" customWidth="1"/>
    <col min="12" max="12" width="9.625" bestFit="1" customWidth="1"/>
    <col min="13" max="13" width="5.375" bestFit="1" customWidth="1"/>
    <col min="14" max="14" width="12.625" customWidth="1"/>
    <col min="15" max="15" width="7.875" bestFit="1" customWidth="1"/>
    <col min="16" max="16" width="2" bestFit="1" customWidth="1"/>
    <col min="17" max="17" width="2.375" bestFit="1" customWidth="1"/>
    <col min="18" max="18" width="2" bestFit="1" customWidth="1"/>
    <col min="19" max="19" width="2.125" bestFit="1" customWidth="1"/>
    <col min="20" max="20" width="9.625" customWidth="1"/>
    <col min="21" max="22" width="2.125" bestFit="1" customWidth="1"/>
    <col min="23" max="23" width="2.375" bestFit="1" customWidth="1"/>
    <col min="24" max="25" width="2" bestFit="1" customWidth="1"/>
    <col min="26" max="26" width="2.375" bestFit="1" customWidth="1"/>
    <col min="27" max="27" width="1.125" customWidth="1"/>
    <col min="28" max="28" width="0" hidden="1" customWidth="1"/>
    <col min="29" max="16384" width="9.125" hidden="1"/>
  </cols>
  <sheetData>
    <row r="1" spans="1:28" ht="30" customHeight="1" x14ac:dyDescent="0.2">
      <c r="H1"/>
      <c r="T1" s="84"/>
      <c r="U1" s="84"/>
      <c r="V1" s="84"/>
      <c r="W1" s="84"/>
      <c r="X1" s="84"/>
      <c r="Y1" s="84"/>
      <c r="Z1" s="84"/>
    </row>
    <row r="2" spans="1:28" ht="19.5" customHeight="1" x14ac:dyDescent="0.2">
      <c r="A2" s="3" t="s">
        <v>170</v>
      </c>
      <c r="B2" s="49" t="s">
        <v>0</v>
      </c>
      <c r="C2" s="3" t="s">
        <v>1</v>
      </c>
      <c r="D2" s="49" t="s">
        <v>2</v>
      </c>
      <c r="E2" s="3" t="s">
        <v>3</v>
      </c>
      <c r="F2" s="3" t="s">
        <v>4</v>
      </c>
      <c r="G2" s="3" t="s">
        <v>5</v>
      </c>
      <c r="H2" s="57" t="s">
        <v>6</v>
      </c>
      <c r="J2" s="82" t="s">
        <v>147</v>
      </c>
      <c r="K2" s="85" t="s">
        <v>148</v>
      </c>
      <c r="L2" s="82" t="s">
        <v>165</v>
      </c>
      <c r="M2" s="82" t="s">
        <v>52</v>
      </c>
      <c r="N2" s="82" t="s">
        <v>164</v>
      </c>
      <c r="O2" s="83" t="s">
        <v>182</v>
      </c>
      <c r="P2" s="83" t="s">
        <v>15</v>
      </c>
      <c r="Q2" s="83" t="s">
        <v>8</v>
      </c>
      <c r="R2" s="83" t="s">
        <v>9</v>
      </c>
      <c r="S2" s="83" t="s">
        <v>16</v>
      </c>
      <c r="T2" s="83" t="s">
        <v>183</v>
      </c>
      <c r="U2" s="83" t="s">
        <v>51</v>
      </c>
      <c r="V2" s="83" t="s">
        <v>149</v>
      </c>
      <c r="W2" s="83" t="s">
        <v>150</v>
      </c>
      <c r="X2" s="83" t="s">
        <v>50</v>
      </c>
      <c r="Y2" s="83" t="s">
        <v>151</v>
      </c>
      <c r="Z2" s="83" t="s">
        <v>152</v>
      </c>
    </row>
    <row r="3" spans="1:28" s="90" customFormat="1" x14ac:dyDescent="0.2">
      <c r="A3" s="56"/>
      <c r="B3" s="50"/>
      <c r="C3" s="56"/>
      <c r="D3" s="50"/>
      <c r="E3" s="56"/>
      <c r="F3" s="56"/>
      <c r="G3" s="56"/>
      <c r="H3"/>
      <c r="I3" s="93"/>
      <c r="J3"/>
      <c r="K3"/>
      <c r="L3"/>
      <c r="M3"/>
      <c r="N3"/>
      <c r="O3"/>
      <c r="P3"/>
      <c r="Q3"/>
      <c r="R3"/>
      <c r="S3"/>
      <c r="T3" s="84"/>
      <c r="U3" s="84"/>
      <c r="V3" s="84"/>
      <c r="W3" s="84"/>
      <c r="X3" s="84"/>
      <c r="Y3" s="84"/>
      <c r="Z3" s="84"/>
      <c r="AA3"/>
      <c r="AB3"/>
    </row>
    <row r="4" spans="1:28" x14ac:dyDescent="0.2">
      <c r="A4" s="56"/>
      <c r="C4" s="56"/>
      <c r="H4"/>
      <c r="T4" s="84"/>
      <c r="U4" s="84"/>
      <c r="V4" s="84"/>
      <c r="W4" s="84"/>
      <c r="X4" s="84"/>
      <c r="Y4" s="84"/>
      <c r="Z4" s="84"/>
    </row>
    <row r="5" spans="1:28" x14ac:dyDescent="0.2">
      <c r="A5" s="56"/>
      <c r="C5" s="56"/>
      <c r="H5"/>
      <c r="T5" s="84"/>
      <c r="U5" s="84"/>
      <c r="V5" s="84"/>
      <c r="W5" s="84"/>
      <c r="X5" s="84"/>
      <c r="Y5" s="84"/>
      <c r="Z5" s="84"/>
    </row>
    <row r="6" spans="1:28" x14ac:dyDescent="0.2">
      <c r="A6" s="56"/>
      <c r="H6"/>
      <c r="T6" s="84"/>
      <c r="U6" s="84"/>
      <c r="V6" s="84"/>
      <c r="W6" s="84"/>
      <c r="X6" s="84"/>
      <c r="Y6" s="84"/>
      <c r="Z6" s="84"/>
    </row>
    <row r="7" spans="1:28" x14ac:dyDescent="0.2">
      <c r="A7" s="56"/>
      <c r="C7" s="56"/>
      <c r="H7"/>
      <c r="T7" s="84"/>
      <c r="U7" s="84"/>
      <c r="V7" s="84"/>
      <c r="W7" s="84"/>
      <c r="X7" s="84"/>
      <c r="Y7" s="84"/>
      <c r="Z7" s="84"/>
    </row>
    <row r="8" spans="1:28" x14ac:dyDescent="0.2">
      <c r="A8" s="56"/>
      <c r="H8"/>
      <c r="T8" s="84"/>
      <c r="U8" s="84"/>
      <c r="V8" s="84"/>
      <c r="W8" s="84"/>
      <c r="X8" s="84"/>
      <c r="Y8" s="84"/>
      <c r="Z8" s="84"/>
    </row>
    <row r="9" spans="1:28" x14ac:dyDescent="0.2">
      <c r="A9" s="56"/>
      <c r="H9"/>
      <c r="T9" s="84"/>
      <c r="U9" s="84"/>
      <c r="V9" s="84"/>
      <c r="W9" s="84"/>
      <c r="X9" s="84"/>
      <c r="Y9" s="84"/>
      <c r="Z9" s="84"/>
    </row>
    <row r="10" spans="1:28" x14ac:dyDescent="0.2">
      <c r="A10" s="56"/>
      <c r="H10"/>
      <c r="T10" s="84"/>
      <c r="U10" s="84"/>
      <c r="V10" s="84"/>
      <c r="W10" s="84"/>
      <c r="X10" s="84"/>
      <c r="Y10" s="84"/>
      <c r="Z10" s="84"/>
    </row>
    <row r="11" spans="1:28" x14ac:dyDescent="0.2">
      <c r="A11" s="56"/>
      <c r="D11" s="50" t="s">
        <v>1067</v>
      </c>
      <c r="H11"/>
      <c r="T11" s="84"/>
      <c r="U11" s="84"/>
      <c r="V11" s="84"/>
      <c r="W11" s="84"/>
      <c r="X11" s="84"/>
      <c r="Y11" s="84"/>
      <c r="Z11" s="84"/>
    </row>
    <row r="12" spans="1:28" x14ac:dyDescent="0.2">
      <c r="A12" s="56"/>
      <c r="H12"/>
      <c r="T12" s="84"/>
      <c r="U12" s="84"/>
      <c r="V12" s="84"/>
      <c r="W12" s="84"/>
      <c r="X12" s="84"/>
      <c r="Y12" s="84"/>
      <c r="Z12" s="84"/>
    </row>
    <row r="13" spans="1:28" x14ac:dyDescent="0.2">
      <c r="A13" s="56"/>
      <c r="H13"/>
      <c r="T13" s="84"/>
      <c r="U13" s="84"/>
      <c r="V13" s="84"/>
      <c r="W13" s="84"/>
      <c r="X13" s="84"/>
      <c r="Y13" s="84"/>
      <c r="Z13" s="84"/>
    </row>
    <row r="14" spans="1:28" ht="13.5" customHeight="1" x14ac:dyDescent="0.2">
      <c r="A14" s="56"/>
      <c r="H14"/>
      <c r="T14" s="84"/>
      <c r="U14" s="84"/>
      <c r="V14" s="84"/>
      <c r="W14" s="84"/>
      <c r="X14" s="84"/>
      <c r="Y14" s="84"/>
      <c r="Z14" s="84"/>
    </row>
    <row r="15" spans="1:28" ht="13.5" customHeight="1" x14ac:dyDescent="0.2">
      <c r="A15" s="56"/>
      <c r="H15"/>
      <c r="T15" s="84"/>
      <c r="U15" s="84"/>
      <c r="V15" s="84"/>
      <c r="W15" s="84"/>
      <c r="X15" s="84"/>
      <c r="Y15" s="84"/>
      <c r="Z15" s="84"/>
    </row>
    <row r="16" spans="1:28" ht="13.5" customHeight="1" x14ac:dyDescent="0.2">
      <c r="A16" s="56"/>
      <c r="H16"/>
      <c r="T16" s="84"/>
      <c r="U16" s="84"/>
      <c r="V16" s="84"/>
      <c r="W16" s="84"/>
      <c r="X16" s="84"/>
      <c r="Y16" s="84"/>
      <c r="Z16" s="84"/>
    </row>
    <row r="17" spans="1:26" x14ac:dyDescent="0.2">
      <c r="A17" s="56"/>
      <c r="H17"/>
      <c r="T17" s="84"/>
      <c r="U17" s="84"/>
      <c r="V17" s="84"/>
      <c r="W17" s="84"/>
      <c r="X17" s="84"/>
      <c r="Y17" s="84"/>
      <c r="Z17" s="84"/>
    </row>
    <row r="18" spans="1:26" x14ac:dyDescent="0.2">
      <c r="A18" s="56"/>
      <c r="H18"/>
      <c r="T18" s="84"/>
      <c r="U18" s="84"/>
      <c r="V18" s="84"/>
      <c r="W18" s="84"/>
      <c r="X18" s="84"/>
      <c r="Y18" s="84"/>
      <c r="Z18" s="84"/>
    </row>
    <row r="19" spans="1:26" x14ac:dyDescent="0.2">
      <c r="A19" s="56"/>
      <c r="H19"/>
      <c r="T19" s="84"/>
      <c r="U19" s="84"/>
      <c r="V19" s="84"/>
      <c r="W19" s="84"/>
      <c r="X19" s="84"/>
      <c r="Y19" s="84"/>
      <c r="Z19" s="84"/>
    </row>
    <row r="20" spans="1:26" x14ac:dyDescent="0.2">
      <c r="A20" s="56"/>
      <c r="H20"/>
      <c r="T20" s="84"/>
      <c r="U20" s="84"/>
      <c r="V20" s="84"/>
      <c r="W20" s="84"/>
      <c r="X20" s="84"/>
      <c r="Y20" s="84"/>
      <c r="Z20" s="84"/>
    </row>
    <row r="21" spans="1:26" x14ac:dyDescent="0.2">
      <c r="A21" s="56"/>
      <c r="H21"/>
      <c r="T21" s="84"/>
      <c r="U21" s="84"/>
      <c r="V21" s="84"/>
      <c r="W21" s="84"/>
      <c r="X21" s="84"/>
      <c r="Y21" s="84"/>
      <c r="Z21" s="84"/>
    </row>
    <row r="22" spans="1:26" x14ac:dyDescent="0.2">
      <c r="A22" s="56"/>
      <c r="H22"/>
      <c r="T22" s="84"/>
      <c r="U22" s="84"/>
      <c r="V22" s="84"/>
      <c r="W22" s="84"/>
      <c r="X22" s="84"/>
      <c r="Y22" s="84"/>
      <c r="Z22" s="84"/>
    </row>
    <row r="23" spans="1:26" x14ac:dyDescent="0.2">
      <c r="A23" s="56"/>
      <c r="H23"/>
      <c r="T23" s="84"/>
      <c r="U23" s="84"/>
      <c r="V23" s="84"/>
      <c r="W23" s="84"/>
      <c r="X23" s="84"/>
      <c r="Y23" s="84"/>
      <c r="Z23" s="84"/>
    </row>
    <row r="24" spans="1:26" x14ac:dyDescent="0.2">
      <c r="A24" s="56"/>
      <c r="H24"/>
      <c r="T24" s="84"/>
      <c r="U24" s="84"/>
      <c r="V24" s="84"/>
      <c r="W24" s="84"/>
      <c r="X24" s="84"/>
      <c r="Y24" s="84"/>
      <c r="Z24" s="84"/>
    </row>
    <row r="25" spans="1:26" ht="14.25" customHeight="1" x14ac:dyDescent="0.2">
      <c r="A25" s="56"/>
      <c r="H25"/>
      <c r="T25" s="84"/>
      <c r="U25" s="84"/>
      <c r="V25" s="84"/>
      <c r="W25" s="84"/>
      <c r="X25" s="84"/>
      <c r="Y25" s="84"/>
      <c r="Z25" s="84"/>
    </row>
    <row r="26" spans="1:26" x14ac:dyDescent="0.2">
      <c r="A26" s="56"/>
      <c r="H26"/>
      <c r="T26" s="84"/>
      <c r="U26" s="84"/>
      <c r="V26" s="84"/>
      <c r="W26" s="84"/>
      <c r="X26" s="84"/>
      <c r="Y26" s="84"/>
      <c r="Z26" s="84"/>
    </row>
    <row r="27" spans="1:26" x14ac:dyDescent="0.2">
      <c r="A27" s="56"/>
      <c r="H27"/>
      <c r="T27" s="84"/>
      <c r="U27" s="84"/>
      <c r="V27" s="84"/>
      <c r="W27" s="84"/>
      <c r="X27" s="84"/>
      <c r="Y27" s="84"/>
      <c r="Z27" s="84"/>
    </row>
    <row r="28" spans="1:26" x14ac:dyDescent="0.2">
      <c r="A28" s="56"/>
      <c r="H28"/>
      <c r="T28" s="84"/>
      <c r="U28" s="84"/>
      <c r="V28" s="84"/>
      <c r="W28" s="84"/>
      <c r="X28" s="84"/>
      <c r="Y28" s="84"/>
      <c r="Z28" s="84"/>
    </row>
    <row r="29" spans="1:26" x14ac:dyDescent="0.2">
      <c r="A29" s="56"/>
      <c r="H29"/>
      <c r="T29" s="84"/>
      <c r="U29" s="84"/>
      <c r="V29" s="84"/>
      <c r="W29" s="84"/>
      <c r="X29" s="84"/>
      <c r="Y29" s="84"/>
      <c r="Z29" s="84"/>
    </row>
    <row r="30" spans="1:26" x14ac:dyDescent="0.2">
      <c r="A30" s="56"/>
      <c r="H30"/>
      <c r="T30" s="84"/>
      <c r="U30" s="84"/>
      <c r="V30" s="84"/>
      <c r="W30" s="84"/>
      <c r="X30" s="84"/>
      <c r="Y30" s="84"/>
      <c r="Z30" s="84"/>
    </row>
    <row r="31" spans="1:26" x14ac:dyDescent="0.2">
      <c r="A31" s="56"/>
      <c r="H31"/>
      <c r="T31" s="84"/>
      <c r="U31" s="84"/>
      <c r="V31" s="84"/>
      <c r="W31" s="84"/>
      <c r="X31" s="84"/>
      <c r="Y31" s="84"/>
      <c r="Z31" s="84"/>
    </row>
    <row r="32" spans="1:26" x14ac:dyDescent="0.2">
      <c r="A32" s="56"/>
      <c r="H32"/>
      <c r="T32" s="84"/>
      <c r="U32" s="84"/>
      <c r="V32" s="84"/>
      <c r="W32" s="84"/>
      <c r="X32" s="84"/>
      <c r="Y32" s="84"/>
      <c r="Z32" s="84"/>
    </row>
    <row r="33" spans="1:26" x14ac:dyDescent="0.2">
      <c r="A33" s="56"/>
      <c r="H33"/>
      <c r="T33" s="84"/>
      <c r="U33" s="84"/>
      <c r="V33" s="84"/>
      <c r="W33" s="84"/>
      <c r="X33" s="84"/>
      <c r="Y33" s="84"/>
      <c r="Z33" s="84"/>
    </row>
    <row r="34" spans="1:26" x14ac:dyDescent="0.2">
      <c r="A34" s="56"/>
      <c r="H34"/>
      <c r="T34" s="84"/>
      <c r="U34" s="84"/>
      <c r="V34" s="84"/>
      <c r="W34" s="84"/>
      <c r="X34" s="84"/>
      <c r="Y34" s="84"/>
      <c r="Z34" s="84"/>
    </row>
    <row r="35" spans="1:26" x14ac:dyDescent="0.2">
      <c r="A35" s="56"/>
      <c r="H35"/>
      <c r="T35" s="84"/>
      <c r="U35" s="84"/>
      <c r="V35" s="84"/>
      <c r="W35" s="84"/>
      <c r="X35" s="84"/>
      <c r="Y35" s="84"/>
      <c r="Z35" s="84"/>
    </row>
    <row r="36" spans="1:26" x14ac:dyDescent="0.2">
      <c r="A36" s="56"/>
      <c r="H36"/>
      <c r="T36" s="84"/>
      <c r="U36" s="84"/>
      <c r="V36" s="84"/>
      <c r="W36" s="84"/>
      <c r="X36" s="84"/>
      <c r="Y36" s="84"/>
      <c r="Z36" s="84"/>
    </row>
    <row r="37" spans="1:26" x14ac:dyDescent="0.2">
      <c r="A37" s="56"/>
      <c r="H37"/>
      <c r="T37" s="84"/>
      <c r="U37" s="84"/>
      <c r="V37" s="84"/>
      <c r="W37" s="84"/>
      <c r="X37" s="84"/>
      <c r="Y37" s="84"/>
      <c r="Z37" s="84"/>
    </row>
    <row r="38" spans="1:26" x14ac:dyDescent="0.2">
      <c r="A38" s="56"/>
      <c r="H38"/>
      <c r="T38" s="84"/>
      <c r="U38" s="84"/>
      <c r="V38" s="84"/>
      <c r="W38" s="84"/>
      <c r="X38" s="84"/>
      <c r="Y38" s="84"/>
      <c r="Z38" s="84"/>
    </row>
    <row r="39" spans="1:26" x14ac:dyDescent="0.2">
      <c r="A39" s="56"/>
      <c r="H39"/>
      <c r="T39" s="84"/>
      <c r="U39" s="84"/>
      <c r="V39" s="84"/>
      <c r="W39" s="84"/>
      <c r="X39" s="84"/>
      <c r="Y39" s="84"/>
      <c r="Z39" s="84"/>
    </row>
    <row r="40" spans="1:26" x14ac:dyDescent="0.2">
      <c r="A40" s="56"/>
      <c r="H40"/>
      <c r="T40" s="84"/>
      <c r="U40" s="84"/>
      <c r="V40" s="84"/>
      <c r="W40" s="84"/>
      <c r="X40" s="84"/>
      <c r="Y40" s="84"/>
      <c r="Z40" s="84"/>
    </row>
    <row r="41" spans="1:26" x14ac:dyDescent="0.2">
      <c r="A41" s="56"/>
      <c r="H41"/>
      <c r="T41" s="84"/>
      <c r="U41" s="84"/>
      <c r="V41" s="84"/>
      <c r="W41" s="84"/>
      <c r="X41" s="84"/>
      <c r="Y41" s="84"/>
      <c r="Z41" s="84"/>
    </row>
    <row r="42" spans="1:26" x14ac:dyDescent="0.2">
      <c r="A42" s="56"/>
      <c r="H42"/>
      <c r="T42" s="84"/>
      <c r="U42" s="84"/>
      <c r="V42" s="84"/>
      <c r="W42" s="84"/>
      <c r="X42" s="84"/>
      <c r="Y42" s="84"/>
      <c r="Z42" s="84"/>
    </row>
    <row r="43" spans="1:26" x14ac:dyDescent="0.2">
      <c r="A43" s="56"/>
      <c r="H43"/>
      <c r="T43" s="84"/>
      <c r="U43" s="84"/>
      <c r="V43" s="84"/>
      <c r="W43" s="84"/>
      <c r="X43" s="84"/>
      <c r="Y43" s="84"/>
      <c r="Z43" s="84"/>
    </row>
    <row r="44" spans="1:26" x14ac:dyDescent="0.2">
      <c r="A44" s="56"/>
      <c r="H44"/>
      <c r="T44" s="84"/>
      <c r="U44" s="84"/>
      <c r="V44" s="84"/>
      <c r="W44" s="84"/>
      <c r="X44" s="84"/>
      <c r="Y44" s="84"/>
      <c r="Z44" s="84"/>
    </row>
    <row r="45" spans="1:26" x14ac:dyDescent="0.2">
      <c r="A45" s="56"/>
      <c r="H45"/>
      <c r="T45" s="84"/>
      <c r="U45" s="84"/>
      <c r="V45" s="84"/>
      <c r="W45" s="84"/>
      <c r="X45" s="84"/>
      <c r="Y45" s="84"/>
      <c r="Z45" s="84"/>
    </row>
    <row r="46" spans="1:26" x14ac:dyDescent="0.2">
      <c r="A46" s="56"/>
      <c r="H46"/>
      <c r="T46" s="84"/>
      <c r="U46" s="84"/>
      <c r="V46" s="84"/>
      <c r="W46" s="84"/>
      <c r="X46" s="84"/>
      <c r="Y46" s="84"/>
      <c r="Z46" s="84"/>
    </row>
    <row r="47" spans="1:26" x14ac:dyDescent="0.2">
      <c r="A47" s="56"/>
      <c r="H47"/>
      <c r="T47" s="84"/>
      <c r="U47" s="84"/>
      <c r="V47" s="84"/>
      <c r="W47" s="84"/>
      <c r="X47" s="84"/>
      <c r="Y47" s="84"/>
      <c r="Z47" s="84"/>
    </row>
    <row r="48" spans="1:26" x14ac:dyDescent="0.2">
      <c r="A48" s="56"/>
      <c r="H48"/>
      <c r="T48" s="84"/>
      <c r="U48" s="84"/>
      <c r="V48" s="84"/>
      <c r="W48" s="84"/>
      <c r="X48" s="84"/>
      <c r="Y48" s="84"/>
      <c r="Z48" s="84"/>
    </row>
    <row r="49" spans="1:26" x14ac:dyDescent="0.2">
      <c r="A49" s="56"/>
      <c r="H49"/>
      <c r="T49" s="84"/>
      <c r="U49" s="84"/>
      <c r="V49" s="84"/>
      <c r="W49" s="84"/>
      <c r="X49" s="84"/>
      <c r="Y49" s="84"/>
      <c r="Z49" s="84"/>
    </row>
    <row r="50" spans="1:26" x14ac:dyDescent="0.2">
      <c r="A50" s="56"/>
      <c r="H50"/>
      <c r="T50" s="84"/>
      <c r="U50" s="84"/>
      <c r="V50" s="84"/>
      <c r="W50" s="84"/>
      <c r="X50" s="84"/>
      <c r="Y50" s="84"/>
      <c r="Z50" s="84"/>
    </row>
    <row r="51" spans="1:26" x14ac:dyDescent="0.2">
      <c r="A51" s="56"/>
      <c r="H51"/>
      <c r="T51" s="84"/>
      <c r="U51" s="84"/>
      <c r="V51" s="84"/>
      <c r="W51" s="84"/>
      <c r="X51" s="84"/>
      <c r="Y51" s="84"/>
      <c r="Z51" s="84"/>
    </row>
    <row r="52" spans="1:26" x14ac:dyDescent="0.2">
      <c r="A52" s="56"/>
      <c r="H52"/>
      <c r="T52" s="84"/>
      <c r="U52" s="84"/>
      <c r="V52" s="84"/>
      <c r="W52" s="84"/>
      <c r="X52" s="84"/>
      <c r="Y52" s="84"/>
      <c r="Z52" s="84"/>
    </row>
    <row r="53" spans="1:26" x14ac:dyDescent="0.2">
      <c r="A53" s="56"/>
      <c r="H53"/>
      <c r="T53" s="84"/>
      <c r="U53" s="84"/>
      <c r="V53" s="84"/>
      <c r="W53" s="84"/>
      <c r="X53" s="84"/>
      <c r="Y53" s="84"/>
      <c r="Z53" s="84"/>
    </row>
    <row r="54" spans="1:26" x14ac:dyDescent="0.2">
      <c r="A54" s="56"/>
      <c r="H54"/>
      <c r="T54" s="84"/>
      <c r="U54" s="84"/>
      <c r="V54" s="84"/>
      <c r="W54" s="84"/>
      <c r="X54" s="84"/>
      <c r="Y54" s="84"/>
      <c r="Z54" s="84"/>
    </row>
    <row r="55" spans="1:26" x14ac:dyDescent="0.2">
      <c r="A55" s="56"/>
      <c r="H55"/>
      <c r="T55" s="84"/>
      <c r="U55" s="84"/>
      <c r="V55" s="84"/>
      <c r="W55" s="84"/>
      <c r="X55" s="84"/>
      <c r="Y55" s="84"/>
      <c r="Z55" s="84"/>
    </row>
    <row r="56" spans="1:26" x14ac:dyDescent="0.2">
      <c r="A56" s="56"/>
      <c r="H56"/>
      <c r="T56" s="84"/>
      <c r="U56" s="84"/>
      <c r="V56" s="84"/>
      <c r="W56" s="84"/>
      <c r="X56" s="84"/>
      <c r="Y56" s="84"/>
      <c r="Z56" s="84"/>
    </row>
    <row r="57" spans="1:26" x14ac:dyDescent="0.2">
      <c r="A57" s="56"/>
      <c r="H57"/>
      <c r="T57" s="84"/>
      <c r="U57" s="84"/>
      <c r="V57" s="84"/>
      <c r="W57" s="84"/>
      <c r="X57" s="84"/>
      <c r="Y57" s="84"/>
      <c r="Z57" s="84"/>
    </row>
    <row r="58" spans="1:26" x14ac:dyDescent="0.2">
      <c r="A58" s="56"/>
      <c r="H58"/>
      <c r="T58" s="84"/>
      <c r="U58" s="84"/>
      <c r="V58" s="84"/>
      <c r="W58" s="84"/>
      <c r="X58" s="84"/>
      <c r="Y58" s="84"/>
      <c r="Z58" s="84"/>
    </row>
    <row r="59" spans="1:26" x14ac:dyDescent="0.2">
      <c r="A59" s="56"/>
      <c r="H59"/>
      <c r="T59" s="84"/>
      <c r="U59" s="84"/>
      <c r="V59" s="84"/>
      <c r="W59" s="84"/>
      <c r="X59" s="84"/>
      <c r="Y59" s="84"/>
      <c r="Z59" s="84"/>
    </row>
    <row r="60" spans="1:26" x14ac:dyDescent="0.2">
      <c r="A60" s="56"/>
      <c r="H60"/>
      <c r="T60" s="84"/>
      <c r="U60" s="84"/>
      <c r="V60" s="84"/>
      <c r="W60" s="84"/>
      <c r="X60" s="84"/>
      <c r="Y60" s="84"/>
      <c r="Z60" s="84"/>
    </row>
    <row r="61" spans="1:26" x14ac:dyDescent="0.2">
      <c r="A61" s="56"/>
      <c r="H61"/>
      <c r="T61" s="84"/>
      <c r="U61" s="84"/>
      <c r="V61" s="84"/>
      <c r="W61" s="84"/>
      <c r="X61" s="84"/>
      <c r="Y61" s="84"/>
      <c r="Z61" s="84"/>
    </row>
    <row r="62" spans="1:26" x14ac:dyDescent="0.2">
      <c r="A62" s="56"/>
      <c r="H62"/>
      <c r="T62" s="84"/>
      <c r="U62" s="84"/>
      <c r="V62" s="84"/>
      <c r="W62" s="84"/>
      <c r="X62" s="84"/>
      <c r="Y62" s="84"/>
      <c r="Z62" s="84"/>
    </row>
    <row r="63" spans="1:26" x14ac:dyDescent="0.2">
      <c r="A63" s="56"/>
      <c r="H63"/>
      <c r="T63" s="84"/>
      <c r="U63" s="84"/>
      <c r="V63" s="84"/>
      <c r="W63" s="84"/>
      <c r="X63" s="84"/>
      <c r="Y63" s="84"/>
      <c r="Z63" s="84"/>
    </row>
    <row r="64" spans="1:26" x14ac:dyDescent="0.2">
      <c r="A64" s="56"/>
      <c r="H64"/>
      <c r="T64" s="84"/>
      <c r="U64" s="84"/>
      <c r="V64" s="84"/>
      <c r="W64" s="84"/>
      <c r="X64" s="84"/>
      <c r="Y64" s="84"/>
      <c r="Z64" s="84"/>
    </row>
    <row r="65" spans="1:26" x14ac:dyDescent="0.2">
      <c r="A65" s="56"/>
      <c r="H65"/>
      <c r="T65" s="84"/>
      <c r="U65" s="84"/>
      <c r="V65" s="84"/>
      <c r="W65" s="84"/>
      <c r="X65" s="84"/>
      <c r="Y65" s="84"/>
      <c r="Z65" s="84"/>
    </row>
    <row r="66" spans="1:26" x14ac:dyDescent="0.2">
      <c r="A66" s="56"/>
      <c r="H66"/>
      <c r="T66" s="84"/>
      <c r="U66" s="84"/>
      <c r="V66" s="84"/>
      <c r="W66" s="84"/>
      <c r="X66" s="84"/>
      <c r="Y66" s="84"/>
      <c r="Z66" s="84"/>
    </row>
    <row r="67" spans="1:26" x14ac:dyDescent="0.2">
      <c r="A67" s="56"/>
      <c r="H67"/>
      <c r="T67" s="84"/>
      <c r="U67" s="84"/>
      <c r="V67" s="84"/>
      <c r="W67" s="84"/>
      <c r="X67" s="84"/>
      <c r="Y67" s="84"/>
      <c r="Z67" s="84"/>
    </row>
    <row r="68" spans="1:26" x14ac:dyDescent="0.2">
      <c r="A68" s="56"/>
      <c r="H68"/>
      <c r="T68" s="84"/>
      <c r="U68" s="84"/>
      <c r="V68" s="84"/>
      <c r="W68" s="84"/>
      <c r="X68" s="84"/>
      <c r="Y68" s="84"/>
      <c r="Z68" s="84"/>
    </row>
    <row r="69" spans="1:26" x14ac:dyDescent="0.2">
      <c r="A69" s="56"/>
      <c r="H69"/>
      <c r="T69" s="84"/>
      <c r="U69" s="84"/>
      <c r="V69" s="84"/>
      <c r="W69" s="84"/>
      <c r="X69" s="84"/>
      <c r="Y69" s="84"/>
      <c r="Z69" s="84"/>
    </row>
    <row r="70" spans="1:26" x14ac:dyDescent="0.2">
      <c r="A70" s="56"/>
      <c r="H70"/>
      <c r="T70" s="84"/>
      <c r="U70" s="84"/>
      <c r="V70" s="84"/>
      <c r="W70" s="84"/>
      <c r="X70" s="84"/>
      <c r="Y70" s="84"/>
      <c r="Z70" s="84"/>
    </row>
    <row r="71" spans="1:26" x14ac:dyDescent="0.2">
      <c r="A71" s="56"/>
      <c r="H71"/>
      <c r="T71" s="84"/>
      <c r="U71" s="84"/>
      <c r="V71" s="84"/>
      <c r="W71" s="84"/>
      <c r="X71" s="84"/>
      <c r="Y71" s="84"/>
      <c r="Z71" s="84"/>
    </row>
    <row r="72" spans="1:26" x14ac:dyDescent="0.2">
      <c r="A72" s="56"/>
      <c r="H72"/>
      <c r="T72" s="84"/>
      <c r="U72" s="84"/>
      <c r="V72" s="84"/>
      <c r="W72" s="84"/>
      <c r="X72" s="84"/>
      <c r="Y72" s="84"/>
      <c r="Z72" s="84"/>
    </row>
    <row r="73" spans="1:26" x14ac:dyDescent="0.2">
      <c r="A73" s="56"/>
      <c r="H73"/>
      <c r="T73" s="84"/>
      <c r="U73" s="84"/>
      <c r="V73" s="84"/>
      <c r="W73" s="84"/>
      <c r="X73" s="84"/>
      <c r="Y73" s="84"/>
      <c r="Z73" s="84"/>
    </row>
    <row r="74" spans="1:26" x14ac:dyDescent="0.2">
      <c r="A74" s="56"/>
      <c r="H74"/>
      <c r="T74" s="84"/>
      <c r="U74" s="84"/>
      <c r="V74" s="84"/>
      <c r="W74" s="84"/>
      <c r="X74" s="84"/>
      <c r="Y74" s="84"/>
      <c r="Z74" s="84"/>
    </row>
    <row r="75" spans="1:26" x14ac:dyDescent="0.2">
      <c r="A75" s="56"/>
      <c r="H75"/>
      <c r="T75" s="84"/>
      <c r="U75" s="84"/>
      <c r="V75" s="84"/>
      <c r="W75" s="84"/>
      <c r="X75" s="84"/>
      <c r="Y75" s="84"/>
      <c r="Z75" s="84"/>
    </row>
    <row r="76" spans="1:26" x14ac:dyDescent="0.2">
      <c r="A76" s="56"/>
      <c r="H76"/>
      <c r="T76" s="84"/>
      <c r="U76" s="84"/>
      <c r="V76" s="84"/>
      <c r="W76" s="84"/>
      <c r="X76" s="84"/>
      <c r="Y76" s="84"/>
      <c r="Z76" s="84"/>
    </row>
    <row r="77" spans="1:26" x14ac:dyDescent="0.2">
      <c r="A77" s="56"/>
      <c r="H77"/>
      <c r="T77" s="84"/>
      <c r="U77" s="84"/>
      <c r="V77" s="84"/>
      <c r="W77" s="84"/>
      <c r="X77" s="84"/>
      <c r="Y77" s="84"/>
      <c r="Z77" s="84"/>
    </row>
    <row r="78" spans="1:26" x14ac:dyDescent="0.2">
      <c r="A78" s="56"/>
      <c r="H78"/>
      <c r="T78" s="84"/>
      <c r="U78" s="84"/>
      <c r="V78" s="84"/>
      <c r="W78" s="84"/>
      <c r="X78" s="84"/>
      <c r="Y78" s="84"/>
      <c r="Z78" s="84"/>
    </row>
    <row r="79" spans="1:26" x14ac:dyDescent="0.2">
      <c r="A79" s="56"/>
      <c r="H79"/>
      <c r="T79" s="84"/>
      <c r="U79" s="84"/>
      <c r="V79" s="84"/>
      <c r="W79" s="84"/>
      <c r="X79" s="84"/>
      <c r="Y79" s="84"/>
      <c r="Z79" s="84"/>
    </row>
    <row r="80" spans="1:26" x14ac:dyDescent="0.2">
      <c r="A80" s="56"/>
      <c r="H80"/>
      <c r="T80" s="84"/>
      <c r="U80" s="84"/>
      <c r="V80" s="84"/>
      <c r="W80" s="84"/>
      <c r="X80" s="84"/>
      <c r="Y80" s="84"/>
      <c r="Z80" s="84"/>
    </row>
    <row r="81" spans="1:26" x14ac:dyDescent="0.2">
      <c r="A81" s="56"/>
      <c r="H81"/>
      <c r="T81" s="84"/>
      <c r="U81" s="84"/>
      <c r="V81" s="84"/>
      <c r="W81" s="84"/>
      <c r="X81" s="84"/>
      <c r="Y81" s="84"/>
      <c r="Z81" s="84"/>
    </row>
    <row r="82" spans="1:26" x14ac:dyDescent="0.2">
      <c r="A82" s="56"/>
      <c r="H82"/>
      <c r="T82" s="84"/>
      <c r="U82" s="84"/>
      <c r="V82" s="84"/>
      <c r="W82" s="84"/>
      <c r="X82" s="84"/>
      <c r="Y82" s="84"/>
      <c r="Z82" s="84"/>
    </row>
    <row r="83" spans="1:26" x14ac:dyDescent="0.2">
      <c r="A83" s="56"/>
      <c r="H83"/>
      <c r="T83" s="84"/>
      <c r="U83" s="84"/>
      <c r="V83" s="84"/>
      <c r="W83" s="84"/>
      <c r="X83" s="84"/>
      <c r="Y83" s="84"/>
      <c r="Z83" s="84"/>
    </row>
    <row r="84" spans="1:26" x14ac:dyDescent="0.2">
      <c r="A84" s="56"/>
      <c r="H84"/>
      <c r="T84" s="84"/>
      <c r="U84" s="84"/>
      <c r="V84" s="84"/>
      <c r="W84" s="84"/>
      <c r="X84" s="84"/>
      <c r="Y84" s="84"/>
      <c r="Z84" s="84"/>
    </row>
    <row r="85" spans="1:26" x14ac:dyDescent="0.2">
      <c r="A85" s="56"/>
      <c r="H85"/>
      <c r="T85" s="84"/>
      <c r="U85" s="84"/>
      <c r="V85" s="84"/>
      <c r="W85" s="84"/>
      <c r="X85" s="84"/>
      <c r="Y85" s="84"/>
      <c r="Z85" s="84"/>
    </row>
    <row r="86" spans="1:26" x14ac:dyDescent="0.2">
      <c r="A86" s="56"/>
      <c r="H86"/>
      <c r="T86" s="84"/>
      <c r="U86" s="84"/>
      <c r="V86" s="84"/>
      <c r="W86" s="84"/>
      <c r="X86" s="84"/>
      <c r="Y86" s="84"/>
      <c r="Z86" s="84"/>
    </row>
    <row r="87" spans="1:26" x14ac:dyDescent="0.2">
      <c r="A87" s="56"/>
      <c r="H87"/>
      <c r="T87" s="84"/>
      <c r="U87" s="84"/>
      <c r="V87" s="84"/>
      <c r="W87" s="84"/>
      <c r="X87" s="84"/>
      <c r="Y87" s="84"/>
      <c r="Z87" s="84"/>
    </row>
    <row r="88" spans="1:26" x14ac:dyDescent="0.2">
      <c r="A88" s="56"/>
      <c r="H88"/>
      <c r="T88" s="84"/>
      <c r="U88" s="84"/>
      <c r="V88" s="84"/>
      <c r="W88" s="84"/>
      <c r="X88" s="84"/>
      <c r="Y88" s="84"/>
      <c r="Z88" s="84"/>
    </row>
    <row r="89" spans="1:26" x14ac:dyDescent="0.2">
      <c r="A89" s="56"/>
      <c r="H89"/>
      <c r="T89" s="84"/>
      <c r="U89" s="84"/>
      <c r="V89" s="84"/>
      <c r="W89" s="84"/>
      <c r="X89" s="84"/>
      <c r="Y89" s="84"/>
      <c r="Z89" s="84"/>
    </row>
    <row r="90" spans="1:26" x14ac:dyDescent="0.2">
      <c r="A90" s="56"/>
      <c r="H90"/>
      <c r="T90" s="84"/>
      <c r="U90" s="84"/>
      <c r="V90" s="84"/>
      <c r="W90" s="84"/>
      <c r="X90" s="84"/>
      <c r="Y90" s="84"/>
      <c r="Z90" s="84"/>
    </row>
    <row r="91" spans="1:26" x14ac:dyDescent="0.2">
      <c r="A91" s="56"/>
      <c r="H91"/>
      <c r="T91" s="84"/>
      <c r="U91" s="84"/>
      <c r="V91" s="84"/>
      <c r="W91" s="84"/>
      <c r="X91" s="84"/>
      <c r="Y91" s="84"/>
      <c r="Z91" s="84"/>
    </row>
    <row r="92" spans="1:26" x14ac:dyDescent="0.2">
      <c r="A92" s="56"/>
      <c r="H92"/>
      <c r="T92" s="84"/>
      <c r="U92" s="84"/>
      <c r="V92" s="84"/>
      <c r="W92" s="84"/>
      <c r="X92" s="84"/>
      <c r="Y92" s="84"/>
      <c r="Z92" s="84"/>
    </row>
    <row r="93" spans="1:26" x14ac:dyDescent="0.2">
      <c r="A93" s="56"/>
      <c r="H93"/>
      <c r="T93" s="84"/>
      <c r="U93" s="84"/>
      <c r="V93" s="84"/>
      <c r="W93" s="84"/>
      <c r="X93" s="84"/>
      <c r="Y93" s="84"/>
      <c r="Z93" s="84"/>
    </row>
    <row r="94" spans="1:26" x14ac:dyDescent="0.2">
      <c r="A94" s="56"/>
      <c r="H94"/>
      <c r="T94" s="84"/>
      <c r="U94" s="84"/>
      <c r="V94" s="84"/>
      <c r="W94" s="84"/>
      <c r="X94" s="84"/>
      <c r="Y94" s="84"/>
      <c r="Z94" s="84"/>
    </row>
    <row r="95" spans="1:26" x14ac:dyDescent="0.2">
      <c r="A95" s="56"/>
      <c r="H95"/>
      <c r="T95" s="84"/>
      <c r="U95" s="84"/>
      <c r="V95" s="84"/>
      <c r="W95" s="84"/>
      <c r="X95" s="84"/>
      <c r="Y95" s="84"/>
      <c r="Z95" s="84"/>
    </row>
    <row r="96" spans="1:26" x14ac:dyDescent="0.2">
      <c r="A96" s="56"/>
      <c r="H96"/>
      <c r="T96" s="84"/>
      <c r="U96" s="84"/>
      <c r="V96" s="84"/>
      <c r="W96" s="84"/>
      <c r="X96" s="84"/>
      <c r="Y96" s="84"/>
      <c r="Z96" s="84"/>
    </row>
    <row r="97" spans="1:26" x14ac:dyDescent="0.2">
      <c r="A97" s="56"/>
      <c r="H97"/>
      <c r="T97" s="84"/>
      <c r="U97" s="84"/>
      <c r="V97" s="84"/>
      <c r="W97" s="84"/>
      <c r="X97" s="84"/>
      <c r="Y97" s="84"/>
      <c r="Z97" s="84"/>
    </row>
    <row r="98" spans="1:26" x14ac:dyDescent="0.2">
      <c r="A98" s="56"/>
      <c r="H98"/>
      <c r="T98" s="84"/>
      <c r="U98" s="84"/>
      <c r="V98" s="84"/>
      <c r="W98" s="84"/>
      <c r="X98" s="84"/>
      <c r="Y98" s="84"/>
      <c r="Z98" s="84"/>
    </row>
    <row r="99" spans="1:26" x14ac:dyDescent="0.2">
      <c r="A99" s="56"/>
      <c r="H99"/>
      <c r="T99" s="84"/>
      <c r="U99" s="84"/>
      <c r="V99" s="84"/>
      <c r="W99" s="84"/>
      <c r="X99" s="84"/>
      <c r="Y99" s="84"/>
      <c r="Z99" s="84"/>
    </row>
    <row r="100" spans="1:26" x14ac:dyDescent="0.2">
      <c r="A100" s="56"/>
      <c r="H100"/>
      <c r="T100" s="84"/>
      <c r="U100" s="84"/>
      <c r="V100" s="84"/>
      <c r="W100" s="84"/>
      <c r="X100" s="84"/>
      <c r="Y100" s="84"/>
      <c r="Z100" s="84"/>
    </row>
    <row r="101" spans="1:26" hidden="1" x14ac:dyDescent="0.2">
      <c r="A101" s="56"/>
      <c r="H101"/>
      <c r="T101" s="84"/>
      <c r="U101" s="84"/>
      <c r="V101" s="84"/>
      <c r="W101" s="84"/>
      <c r="X101" s="84"/>
      <c r="Y101" s="84"/>
      <c r="Z101" s="84"/>
    </row>
    <row r="102" spans="1:26" hidden="1" x14ac:dyDescent="0.2">
      <c r="A102" s="56"/>
      <c r="H102"/>
      <c r="T102" s="84"/>
      <c r="U102" s="84"/>
      <c r="V102" s="84"/>
      <c r="W102" s="84"/>
      <c r="X102" s="84"/>
      <c r="Y102" s="84"/>
      <c r="Z102" s="84"/>
    </row>
    <row r="103" spans="1:26" hidden="1" x14ac:dyDescent="0.2">
      <c r="A103" s="56"/>
      <c r="H103"/>
      <c r="T103" s="84"/>
      <c r="U103" s="84"/>
      <c r="V103" s="84"/>
      <c r="W103" s="84"/>
      <c r="X103" s="84"/>
      <c r="Y103" s="84"/>
      <c r="Z103" s="84"/>
    </row>
    <row r="104" spans="1:26" hidden="1" x14ac:dyDescent="0.2">
      <c r="A104" s="56"/>
      <c r="H104"/>
      <c r="T104" s="84"/>
      <c r="U104" s="84"/>
      <c r="V104" s="84"/>
      <c r="W104" s="84"/>
      <c r="X104" s="84"/>
      <c r="Y104" s="84"/>
      <c r="Z104" s="84"/>
    </row>
    <row r="105" spans="1:26" hidden="1" x14ac:dyDescent="0.2">
      <c r="A105" s="56"/>
      <c r="H105"/>
      <c r="T105" s="84"/>
      <c r="U105" s="84"/>
      <c r="V105" s="84"/>
      <c r="W105" s="84"/>
      <c r="X105" s="84"/>
      <c r="Y105" s="84"/>
      <c r="Z105" s="84"/>
    </row>
    <row r="106" spans="1:26" hidden="1" x14ac:dyDescent="0.2">
      <c r="A106" s="56"/>
      <c r="H106"/>
      <c r="T106" s="84"/>
      <c r="U106" s="84"/>
      <c r="V106" s="84"/>
      <c r="W106" s="84"/>
      <c r="X106" s="84"/>
      <c r="Y106" s="84"/>
      <c r="Z106" s="84"/>
    </row>
    <row r="107" spans="1:26" hidden="1" x14ac:dyDescent="0.2">
      <c r="A107" s="56"/>
      <c r="H107"/>
      <c r="T107" s="84"/>
      <c r="U107" s="84"/>
      <c r="V107" s="84"/>
      <c r="W107" s="84"/>
      <c r="X107" s="84"/>
      <c r="Y107" s="84"/>
      <c r="Z107" s="84"/>
    </row>
    <row r="108" spans="1:26" hidden="1" x14ac:dyDescent="0.2">
      <c r="A108" s="56"/>
      <c r="H108"/>
      <c r="T108" s="84"/>
      <c r="U108" s="84"/>
      <c r="V108" s="84"/>
      <c r="W108" s="84"/>
      <c r="X108" s="84"/>
      <c r="Y108" s="84"/>
      <c r="Z108" s="84"/>
    </row>
    <row r="109" spans="1:26" hidden="1" x14ac:dyDescent="0.2">
      <c r="A109" s="56"/>
      <c r="H109"/>
      <c r="T109" s="84"/>
      <c r="U109" s="84"/>
      <c r="V109" s="84"/>
      <c r="W109" s="84"/>
      <c r="X109" s="84"/>
      <c r="Y109" s="84"/>
      <c r="Z109" s="84"/>
    </row>
    <row r="110" spans="1:26" hidden="1" x14ac:dyDescent="0.2">
      <c r="A110" s="56"/>
      <c r="H110"/>
      <c r="T110" s="84"/>
      <c r="U110" s="84"/>
      <c r="V110" s="84"/>
      <c r="W110" s="84"/>
      <c r="X110" s="84"/>
      <c r="Y110" s="84"/>
      <c r="Z110" s="84"/>
    </row>
    <row r="111" spans="1:26" hidden="1" x14ac:dyDescent="0.2">
      <c r="A111" s="56"/>
      <c r="H111"/>
      <c r="T111" s="84"/>
      <c r="U111" s="84"/>
      <c r="V111" s="84"/>
      <c r="W111" s="84"/>
      <c r="X111" s="84"/>
      <c r="Y111" s="84"/>
      <c r="Z111" s="84"/>
    </row>
    <row r="112" spans="1:26" hidden="1" x14ac:dyDescent="0.2">
      <c r="A112" s="56"/>
      <c r="H112"/>
      <c r="T112" s="84"/>
      <c r="U112" s="84"/>
      <c r="V112" s="84"/>
      <c r="W112" s="84"/>
      <c r="X112" s="84"/>
      <c r="Y112" s="84"/>
      <c r="Z112" s="84"/>
    </row>
    <row r="113" spans="1:26" hidden="1" x14ac:dyDescent="0.2">
      <c r="A113" s="56"/>
      <c r="H113"/>
      <c r="T113" s="84"/>
      <c r="U113" s="84"/>
      <c r="V113" s="84"/>
      <c r="W113" s="84"/>
      <c r="X113" s="84"/>
      <c r="Y113" s="84"/>
      <c r="Z113" s="84"/>
    </row>
    <row r="114" spans="1:26" hidden="1" x14ac:dyDescent="0.2">
      <c r="A114" s="56"/>
      <c r="H114"/>
      <c r="T114" s="84"/>
      <c r="U114" s="84"/>
      <c r="V114" s="84"/>
      <c r="W114" s="84"/>
      <c r="X114" s="84"/>
      <c r="Y114" s="84"/>
      <c r="Z114" s="84"/>
    </row>
    <row r="115" spans="1:26" hidden="1" x14ac:dyDescent="0.2">
      <c r="A115" s="56"/>
      <c r="H115"/>
      <c r="T115" s="84"/>
      <c r="U115" s="84"/>
      <c r="V115" s="84"/>
      <c r="W115" s="84"/>
      <c r="X115" s="84"/>
      <c r="Y115" s="84"/>
      <c r="Z115" s="84"/>
    </row>
    <row r="116" spans="1:26" hidden="1" x14ac:dyDescent="0.2">
      <c r="A116" s="56"/>
      <c r="H116"/>
      <c r="T116" s="84"/>
      <c r="U116" s="84"/>
      <c r="V116" s="84"/>
      <c r="W116" s="84"/>
      <c r="X116" s="84"/>
      <c r="Y116" s="84"/>
      <c r="Z116" s="84"/>
    </row>
    <row r="117" spans="1:26" hidden="1" x14ac:dyDescent="0.2">
      <c r="A117" s="56"/>
      <c r="H117"/>
      <c r="T117" s="84"/>
      <c r="U117" s="84"/>
      <c r="V117" s="84"/>
      <c r="W117" s="84"/>
      <c r="X117" s="84"/>
      <c r="Y117" s="84"/>
      <c r="Z117" s="84"/>
    </row>
    <row r="118" spans="1:26" hidden="1" x14ac:dyDescent="0.2">
      <c r="A118" s="56"/>
      <c r="H118"/>
      <c r="T118" s="84"/>
      <c r="U118" s="84"/>
      <c r="V118" s="84"/>
      <c r="W118" s="84"/>
      <c r="X118" s="84"/>
      <c r="Y118" s="84"/>
      <c r="Z118" s="84"/>
    </row>
    <row r="119" spans="1:26" hidden="1" x14ac:dyDescent="0.2">
      <c r="A119" s="56"/>
      <c r="H119"/>
      <c r="T119" s="84"/>
      <c r="U119" s="84"/>
      <c r="V119" s="84"/>
      <c r="W119" s="84"/>
      <c r="X119" s="84"/>
      <c r="Y119" s="84"/>
      <c r="Z119" s="84"/>
    </row>
    <row r="120" spans="1:26" hidden="1" x14ac:dyDescent="0.2">
      <c r="A120" s="56"/>
      <c r="H120"/>
      <c r="T120" s="84"/>
      <c r="U120" s="84"/>
      <c r="V120" s="84"/>
      <c r="W120" s="84"/>
      <c r="X120" s="84"/>
      <c r="Y120" s="84"/>
      <c r="Z120" s="84"/>
    </row>
    <row r="121" spans="1:26" hidden="1" x14ac:dyDescent="0.2">
      <c r="A121" s="56"/>
      <c r="H121"/>
      <c r="T121" s="84"/>
      <c r="U121" s="84"/>
      <c r="V121" s="84"/>
      <c r="W121" s="84"/>
      <c r="X121" s="84"/>
      <c r="Y121" s="84"/>
      <c r="Z121" s="84"/>
    </row>
    <row r="122" spans="1:26" hidden="1" x14ac:dyDescent="0.2">
      <c r="A122" s="56"/>
      <c r="H122"/>
      <c r="T122" s="84"/>
      <c r="U122" s="84"/>
      <c r="V122" s="84"/>
      <c r="W122" s="84"/>
      <c r="X122" s="84"/>
      <c r="Y122" s="84"/>
      <c r="Z122" s="84"/>
    </row>
    <row r="123" spans="1:26" hidden="1" x14ac:dyDescent="0.2">
      <c r="A123" s="56"/>
      <c r="H123"/>
      <c r="T123" s="84"/>
      <c r="U123" s="84"/>
      <c r="V123" s="84"/>
      <c r="W123" s="84"/>
      <c r="X123" s="84"/>
      <c r="Y123" s="84"/>
      <c r="Z123" s="84"/>
    </row>
    <row r="124" spans="1:26" hidden="1" x14ac:dyDescent="0.2">
      <c r="A124" s="56"/>
      <c r="H124"/>
      <c r="T124" s="84"/>
      <c r="U124" s="84"/>
      <c r="V124" s="84"/>
      <c r="W124" s="84"/>
      <c r="X124" s="84"/>
      <c r="Y124" s="84"/>
      <c r="Z124" s="84"/>
    </row>
    <row r="125" spans="1:26" hidden="1" x14ac:dyDescent="0.2">
      <c r="A125" s="56"/>
      <c r="H125"/>
      <c r="T125" s="84"/>
      <c r="U125" s="84"/>
      <c r="V125" s="84"/>
      <c r="W125" s="84"/>
      <c r="X125" s="84"/>
      <c r="Y125" s="84"/>
      <c r="Z125" s="84"/>
    </row>
    <row r="126" spans="1:26" hidden="1" x14ac:dyDescent="0.2">
      <c r="A126" s="56"/>
      <c r="H126"/>
      <c r="T126" s="84"/>
      <c r="U126" s="84"/>
      <c r="V126" s="84"/>
      <c r="W126" s="84"/>
      <c r="X126" s="84"/>
      <c r="Y126" s="84"/>
      <c r="Z126" s="84"/>
    </row>
    <row r="127" spans="1:26" hidden="1" x14ac:dyDescent="0.2">
      <c r="A127" s="56"/>
      <c r="H127"/>
      <c r="T127" s="84"/>
      <c r="U127" s="84"/>
      <c r="V127" s="84"/>
      <c r="W127" s="84"/>
      <c r="X127" s="84"/>
      <c r="Y127" s="84"/>
      <c r="Z127" s="84"/>
    </row>
    <row r="128" spans="1:26" hidden="1" x14ac:dyDescent="0.2">
      <c r="A128" s="56"/>
      <c r="H128"/>
      <c r="T128" s="84"/>
      <c r="U128" s="84"/>
      <c r="V128" s="84"/>
      <c r="W128" s="84"/>
      <c r="X128" s="84"/>
      <c r="Y128" s="84"/>
      <c r="Z128" s="84"/>
    </row>
    <row r="129" spans="1:26" hidden="1" x14ac:dyDescent="0.2">
      <c r="A129" s="56"/>
      <c r="H129"/>
      <c r="T129" s="84"/>
      <c r="U129" s="84"/>
      <c r="V129" s="84"/>
      <c r="W129" s="84"/>
      <c r="X129" s="84"/>
      <c r="Y129" s="84"/>
      <c r="Z129" s="84"/>
    </row>
    <row r="130" spans="1:26" hidden="1" x14ac:dyDescent="0.2">
      <c r="A130" s="56"/>
      <c r="H130"/>
      <c r="T130" s="84"/>
      <c r="U130" s="84"/>
      <c r="V130" s="84"/>
      <c r="W130" s="84"/>
      <c r="X130" s="84"/>
      <c r="Y130" s="84"/>
      <c r="Z130" s="84"/>
    </row>
    <row r="131" spans="1:26" hidden="1" x14ac:dyDescent="0.2">
      <c r="A131" s="56"/>
      <c r="H131"/>
      <c r="T131" s="84"/>
      <c r="U131" s="84"/>
      <c r="V131" s="84"/>
      <c r="W131" s="84"/>
      <c r="X131" s="84"/>
      <c r="Y131" s="84"/>
      <c r="Z131" s="84"/>
    </row>
    <row r="132" spans="1:26" hidden="1" x14ac:dyDescent="0.2">
      <c r="A132" s="56"/>
      <c r="H132"/>
      <c r="T132" s="84"/>
      <c r="U132" s="84"/>
      <c r="V132" s="84"/>
      <c r="W132" s="84"/>
      <c r="X132" s="84"/>
      <c r="Y132" s="84"/>
      <c r="Z132" s="84"/>
    </row>
    <row r="133" spans="1:26" hidden="1" x14ac:dyDescent="0.2">
      <c r="A133" s="56"/>
      <c r="H133"/>
      <c r="T133" s="84"/>
      <c r="U133" s="84"/>
      <c r="V133" s="84"/>
      <c r="W133" s="84"/>
      <c r="X133" s="84"/>
      <c r="Y133" s="84"/>
      <c r="Z133" s="84"/>
    </row>
    <row r="134" spans="1:26" hidden="1" x14ac:dyDescent="0.2">
      <c r="A134" s="56"/>
      <c r="H134"/>
      <c r="T134" s="84"/>
      <c r="U134" s="84"/>
      <c r="V134" s="84"/>
      <c r="W134" s="84"/>
      <c r="X134" s="84"/>
      <c r="Y134" s="84"/>
      <c r="Z134" s="84"/>
    </row>
    <row r="135" spans="1:26" hidden="1" x14ac:dyDescent="0.2">
      <c r="A135" s="56"/>
      <c r="H135"/>
      <c r="T135" s="84"/>
      <c r="U135" s="84"/>
      <c r="V135" s="84"/>
      <c r="W135" s="84"/>
      <c r="X135" s="84"/>
      <c r="Y135" s="84"/>
      <c r="Z135" s="84"/>
    </row>
    <row r="136" spans="1:26" hidden="1" x14ac:dyDescent="0.2">
      <c r="A136" s="56"/>
      <c r="H136"/>
      <c r="T136" s="84"/>
      <c r="U136" s="84"/>
      <c r="V136" s="84"/>
      <c r="W136" s="84"/>
      <c r="X136" s="84"/>
      <c r="Y136" s="84"/>
      <c r="Z136" s="84"/>
    </row>
    <row r="137" spans="1:26" hidden="1" x14ac:dyDescent="0.2">
      <c r="A137" s="56"/>
      <c r="H137"/>
      <c r="T137" s="84"/>
      <c r="U137" s="84"/>
      <c r="V137" s="84"/>
      <c r="W137" s="84"/>
      <c r="X137" s="84"/>
      <c r="Y137" s="84"/>
      <c r="Z137" s="84"/>
    </row>
    <row r="138" spans="1:26" hidden="1" x14ac:dyDescent="0.2">
      <c r="A138" s="56"/>
      <c r="H138"/>
      <c r="T138" s="84"/>
      <c r="U138" s="84"/>
      <c r="V138" s="84"/>
      <c r="W138" s="84"/>
      <c r="X138" s="84"/>
      <c r="Y138" s="84"/>
      <c r="Z138" s="84"/>
    </row>
    <row r="139" spans="1:26" hidden="1" x14ac:dyDescent="0.2">
      <c r="A139" s="56"/>
      <c r="H139"/>
      <c r="T139" s="84"/>
      <c r="U139" s="84"/>
      <c r="V139" s="84"/>
      <c r="W139" s="84"/>
      <c r="X139" s="84"/>
      <c r="Y139" s="84"/>
      <c r="Z139" s="84"/>
    </row>
    <row r="140" spans="1:26" hidden="1" x14ac:dyDescent="0.2">
      <c r="A140" s="56"/>
      <c r="H140"/>
      <c r="T140" s="84"/>
      <c r="U140" s="84"/>
      <c r="V140" s="84"/>
      <c r="W140" s="84"/>
      <c r="X140" s="84"/>
      <c r="Y140" s="84"/>
      <c r="Z140" s="84"/>
    </row>
    <row r="141" spans="1:26" hidden="1" x14ac:dyDescent="0.2">
      <c r="A141" s="56"/>
      <c r="H141"/>
      <c r="T141" s="84"/>
      <c r="U141" s="84"/>
      <c r="V141" s="84"/>
      <c r="W141" s="84"/>
      <c r="X141" s="84"/>
      <c r="Y141" s="84"/>
      <c r="Z141" s="84"/>
    </row>
    <row r="142" spans="1:26" hidden="1" x14ac:dyDescent="0.2">
      <c r="A142" s="56"/>
      <c r="H142"/>
      <c r="T142" s="84"/>
      <c r="U142" s="84"/>
      <c r="V142" s="84"/>
      <c r="W142" s="84"/>
      <c r="X142" s="84"/>
      <c r="Y142" s="84"/>
      <c r="Z142" s="84"/>
    </row>
    <row r="143" spans="1:26" hidden="1" x14ac:dyDescent="0.2">
      <c r="A143" s="56"/>
      <c r="H143"/>
      <c r="T143" s="84"/>
      <c r="U143" s="84"/>
      <c r="V143" s="84"/>
      <c r="W143" s="84"/>
      <c r="X143" s="84"/>
      <c r="Y143" s="84"/>
      <c r="Z143" s="84"/>
    </row>
    <row r="144" spans="1:26" hidden="1" x14ac:dyDescent="0.2">
      <c r="A144" s="56"/>
      <c r="H144"/>
      <c r="T144" s="84"/>
      <c r="U144" s="84"/>
      <c r="V144" s="84"/>
      <c r="W144" s="84"/>
      <c r="X144" s="84"/>
      <c r="Y144" s="84"/>
      <c r="Z144" s="84"/>
    </row>
    <row r="145" spans="1:26" hidden="1" x14ac:dyDescent="0.2">
      <c r="A145" s="56"/>
      <c r="H145"/>
      <c r="T145" s="84"/>
      <c r="U145" s="84"/>
      <c r="V145" s="84"/>
      <c r="W145" s="84"/>
      <c r="X145" s="84"/>
      <c r="Y145" s="84"/>
      <c r="Z145" s="84"/>
    </row>
    <row r="146" spans="1:26" hidden="1" x14ac:dyDescent="0.2">
      <c r="A146" s="56"/>
      <c r="H146"/>
      <c r="T146" s="84"/>
      <c r="U146" s="84"/>
      <c r="V146" s="84"/>
      <c r="W146" s="84"/>
      <c r="X146" s="84"/>
      <c r="Y146" s="84"/>
      <c r="Z146" s="84"/>
    </row>
    <row r="147" spans="1:26" hidden="1" x14ac:dyDescent="0.2">
      <c r="A147" s="56"/>
      <c r="H147"/>
      <c r="T147" s="84"/>
      <c r="U147" s="84"/>
      <c r="V147" s="84"/>
      <c r="W147" s="84"/>
      <c r="X147" s="84"/>
      <c r="Y147" s="84"/>
      <c r="Z147" s="84"/>
    </row>
    <row r="148" spans="1:26" hidden="1" x14ac:dyDescent="0.2">
      <c r="A148" s="56"/>
      <c r="H148"/>
      <c r="T148" s="84"/>
      <c r="U148" s="84"/>
      <c r="V148" s="84"/>
      <c r="W148" s="84"/>
      <c r="X148" s="84"/>
      <c r="Y148" s="84"/>
      <c r="Z148" s="84"/>
    </row>
    <row r="149" spans="1:26" hidden="1" x14ac:dyDescent="0.2">
      <c r="A149" s="56"/>
      <c r="H149"/>
      <c r="T149" s="84"/>
      <c r="U149" s="84"/>
      <c r="V149" s="84"/>
      <c r="W149" s="84"/>
      <c r="X149" s="84"/>
      <c r="Y149" s="84"/>
      <c r="Z149" s="84"/>
    </row>
    <row r="150" spans="1:26" hidden="1" x14ac:dyDescent="0.2">
      <c r="A150" s="56"/>
      <c r="H150"/>
      <c r="T150" s="84"/>
      <c r="U150" s="84"/>
      <c r="V150" s="84"/>
      <c r="W150" s="84"/>
      <c r="X150" s="84"/>
      <c r="Y150" s="84"/>
      <c r="Z150" s="84"/>
    </row>
    <row r="151" spans="1:26" hidden="1" x14ac:dyDescent="0.2">
      <c r="A151" s="56"/>
      <c r="H151"/>
      <c r="T151" s="84"/>
      <c r="U151" s="84"/>
      <c r="V151" s="84"/>
      <c r="W151" s="84"/>
      <c r="X151" s="84"/>
      <c r="Y151" s="84"/>
      <c r="Z151" s="84"/>
    </row>
    <row r="152" spans="1:26" hidden="1" x14ac:dyDescent="0.2">
      <c r="A152" s="56"/>
      <c r="H152"/>
      <c r="T152" s="84"/>
      <c r="U152" s="84"/>
      <c r="V152" s="84"/>
      <c r="W152" s="84"/>
      <c r="X152" s="84"/>
      <c r="Y152" s="84"/>
      <c r="Z152" s="84"/>
    </row>
    <row r="153" spans="1:26" hidden="1" x14ac:dyDescent="0.2">
      <c r="A153" s="56"/>
      <c r="H153"/>
      <c r="T153" s="84"/>
      <c r="U153" s="84"/>
      <c r="V153" s="84"/>
      <c r="W153" s="84"/>
      <c r="X153" s="84"/>
      <c r="Y153" s="84"/>
      <c r="Z153" s="84"/>
    </row>
    <row r="154" spans="1:26" hidden="1" x14ac:dyDescent="0.2">
      <c r="A154" s="56"/>
      <c r="H154"/>
      <c r="T154" s="84"/>
      <c r="U154" s="84"/>
      <c r="V154" s="84"/>
      <c r="W154" s="84"/>
      <c r="X154" s="84"/>
      <c r="Y154" s="84"/>
      <c r="Z154" s="84"/>
    </row>
    <row r="155" spans="1:26" hidden="1" x14ac:dyDescent="0.2">
      <c r="A155" s="56"/>
      <c r="H155"/>
      <c r="T155" s="84"/>
      <c r="U155" s="84"/>
      <c r="V155" s="84"/>
      <c r="W155" s="84"/>
      <c r="X155" s="84"/>
      <c r="Y155" s="84"/>
      <c r="Z155" s="84"/>
    </row>
    <row r="156" spans="1:26" hidden="1" x14ac:dyDescent="0.2">
      <c r="A156" s="56"/>
      <c r="H156"/>
      <c r="T156" s="84"/>
      <c r="U156" s="84"/>
      <c r="V156" s="84"/>
      <c r="W156" s="84"/>
      <c r="X156" s="84"/>
      <c r="Y156" s="84"/>
      <c r="Z156" s="84"/>
    </row>
    <row r="157" spans="1:26" hidden="1" x14ac:dyDescent="0.2">
      <c r="A157" s="56"/>
      <c r="H157"/>
      <c r="T157" s="84"/>
      <c r="U157" s="84"/>
      <c r="V157" s="84"/>
      <c r="W157" s="84"/>
      <c r="X157" s="84"/>
      <c r="Y157" s="84"/>
      <c r="Z157" s="84"/>
    </row>
    <row r="158" spans="1:26" hidden="1" x14ac:dyDescent="0.2">
      <c r="A158" s="56"/>
      <c r="H158"/>
      <c r="T158" s="84"/>
      <c r="U158" s="84"/>
      <c r="V158" s="84"/>
      <c r="W158" s="84"/>
      <c r="X158" s="84"/>
      <c r="Y158" s="84"/>
      <c r="Z158" s="84"/>
    </row>
    <row r="159" spans="1:26" hidden="1" x14ac:dyDescent="0.2">
      <c r="A159" s="56"/>
      <c r="H159"/>
      <c r="T159" s="84"/>
      <c r="U159" s="84"/>
      <c r="V159" s="84"/>
      <c r="W159" s="84"/>
      <c r="X159" s="84"/>
      <c r="Y159" s="84"/>
      <c r="Z159" s="84"/>
    </row>
    <row r="160" spans="1:26" hidden="1" x14ac:dyDescent="0.2">
      <c r="A160" s="56"/>
      <c r="H160"/>
      <c r="T160" s="84"/>
      <c r="U160" s="84"/>
      <c r="V160" s="84"/>
      <c r="W160" s="84"/>
      <c r="X160" s="84"/>
      <c r="Y160" s="84"/>
      <c r="Z160" s="84"/>
    </row>
    <row r="161" spans="1:26" hidden="1" x14ac:dyDescent="0.2">
      <c r="A161" s="56"/>
      <c r="H161"/>
      <c r="T161" s="84"/>
      <c r="U161" s="84"/>
      <c r="V161" s="84"/>
      <c r="W161" s="84"/>
      <c r="X161" s="84"/>
      <c r="Y161" s="84"/>
      <c r="Z161" s="84"/>
    </row>
    <row r="162" spans="1:26" hidden="1" x14ac:dyDescent="0.2">
      <c r="A162" s="56"/>
      <c r="H162"/>
      <c r="T162" s="84"/>
      <c r="U162" s="84"/>
      <c r="V162" s="84"/>
      <c r="W162" s="84"/>
      <c r="X162" s="84"/>
      <c r="Y162" s="84"/>
      <c r="Z162" s="84"/>
    </row>
    <row r="163" spans="1:26" hidden="1" x14ac:dyDescent="0.2">
      <c r="A163" s="56"/>
      <c r="H163"/>
      <c r="T163" s="84"/>
      <c r="U163" s="84"/>
      <c r="V163" s="84"/>
      <c r="W163" s="84"/>
      <c r="X163" s="84"/>
      <c r="Y163" s="84"/>
      <c r="Z163" s="84"/>
    </row>
    <row r="164" spans="1:26" hidden="1" x14ac:dyDescent="0.2">
      <c r="A164" s="56"/>
      <c r="H164"/>
      <c r="T164" s="84"/>
      <c r="U164" s="84"/>
      <c r="V164" s="84"/>
      <c r="W164" s="84"/>
      <c r="X164" s="84"/>
      <c r="Y164" s="84"/>
      <c r="Z164" s="84"/>
    </row>
    <row r="165" spans="1:26" hidden="1" x14ac:dyDescent="0.2">
      <c r="A165" s="56"/>
      <c r="H165"/>
      <c r="T165" s="84"/>
      <c r="U165" s="84"/>
      <c r="V165" s="84"/>
      <c r="W165" s="84"/>
      <c r="X165" s="84"/>
      <c r="Y165" s="84"/>
      <c r="Z165" s="84"/>
    </row>
    <row r="166" spans="1:26" hidden="1" x14ac:dyDescent="0.2">
      <c r="A166" s="56"/>
      <c r="H166"/>
      <c r="T166" s="84"/>
      <c r="U166" s="84"/>
      <c r="V166" s="84"/>
      <c r="W166" s="84"/>
      <c r="X166" s="84"/>
      <c r="Y166" s="84"/>
      <c r="Z166" s="84"/>
    </row>
    <row r="167" spans="1:26" hidden="1" x14ac:dyDescent="0.2">
      <c r="A167" s="56"/>
      <c r="H167"/>
      <c r="T167" s="84"/>
      <c r="U167" s="84"/>
      <c r="V167" s="84"/>
      <c r="W167" s="84"/>
      <c r="X167" s="84"/>
      <c r="Y167" s="84"/>
      <c r="Z167" s="84"/>
    </row>
    <row r="168" spans="1:26" hidden="1" x14ac:dyDescent="0.2">
      <c r="A168" s="56"/>
      <c r="H168"/>
      <c r="T168" s="84"/>
      <c r="U168" s="84"/>
      <c r="V168" s="84"/>
      <c r="W168" s="84"/>
      <c r="X168" s="84"/>
      <c r="Y168" s="84"/>
      <c r="Z168" s="84"/>
    </row>
    <row r="169" spans="1:26" hidden="1" x14ac:dyDescent="0.2">
      <c r="A169" s="56"/>
      <c r="H169"/>
      <c r="T169" s="84"/>
      <c r="U169" s="84"/>
      <c r="V169" s="84"/>
      <c r="W169" s="84"/>
      <c r="X169" s="84"/>
      <c r="Y169" s="84"/>
      <c r="Z169" s="84"/>
    </row>
    <row r="170" spans="1:26" hidden="1" x14ac:dyDescent="0.2">
      <c r="A170" s="56"/>
      <c r="H170"/>
      <c r="T170" s="84"/>
      <c r="U170" s="84"/>
      <c r="V170" s="84"/>
      <c r="W170" s="84"/>
      <c r="X170" s="84"/>
      <c r="Y170" s="84"/>
      <c r="Z170" s="84"/>
    </row>
    <row r="171" spans="1:26" hidden="1" x14ac:dyDescent="0.2">
      <c r="A171" s="56"/>
      <c r="H171"/>
      <c r="T171" s="84"/>
      <c r="U171" s="84"/>
      <c r="V171" s="84"/>
      <c r="W171" s="84"/>
      <c r="X171" s="84"/>
      <c r="Y171" s="84"/>
      <c r="Z171" s="84"/>
    </row>
    <row r="172" spans="1:26" hidden="1" x14ac:dyDescent="0.2">
      <c r="A172" s="56"/>
      <c r="H172"/>
      <c r="T172" s="84"/>
      <c r="U172" s="84"/>
      <c r="V172" s="84"/>
      <c r="W172" s="84"/>
      <c r="X172" s="84"/>
      <c r="Y172" s="84"/>
      <c r="Z172" s="84"/>
    </row>
    <row r="173" spans="1:26" hidden="1" x14ac:dyDescent="0.2">
      <c r="A173" s="56"/>
      <c r="H173"/>
      <c r="T173" s="84"/>
      <c r="U173" s="84"/>
      <c r="V173" s="84"/>
      <c r="W173" s="84"/>
      <c r="X173" s="84"/>
      <c r="Y173" s="84"/>
      <c r="Z173" s="84"/>
    </row>
    <row r="174" spans="1:26" hidden="1" x14ac:dyDescent="0.2">
      <c r="A174" s="56"/>
      <c r="H174"/>
      <c r="T174" s="84"/>
      <c r="U174" s="84"/>
      <c r="V174" s="84"/>
      <c r="W174" s="84"/>
      <c r="X174" s="84"/>
      <c r="Y174" s="84"/>
      <c r="Z174" s="84"/>
    </row>
    <row r="175" spans="1:26" hidden="1" x14ac:dyDescent="0.2">
      <c r="A175" s="56"/>
      <c r="H175"/>
      <c r="T175" s="84"/>
      <c r="U175" s="84"/>
      <c r="V175" s="84"/>
      <c r="W175" s="84"/>
      <c r="X175" s="84"/>
      <c r="Y175" s="84"/>
      <c r="Z175" s="84"/>
    </row>
    <row r="176" spans="1:26" hidden="1" x14ac:dyDescent="0.2">
      <c r="A176" s="56"/>
      <c r="H176"/>
      <c r="T176" s="84"/>
      <c r="U176" s="84"/>
      <c r="V176" s="84"/>
      <c r="W176" s="84"/>
      <c r="X176" s="84"/>
      <c r="Y176" s="84"/>
      <c r="Z176" s="84"/>
    </row>
    <row r="177" spans="1:26" hidden="1" x14ac:dyDescent="0.2">
      <c r="A177" s="56"/>
      <c r="H177"/>
      <c r="T177" s="84"/>
      <c r="U177" s="84"/>
      <c r="V177" s="84"/>
      <c r="W177" s="84"/>
      <c r="X177" s="84"/>
      <c r="Y177" s="84"/>
      <c r="Z177" s="84"/>
    </row>
    <row r="178" spans="1:26" hidden="1" x14ac:dyDescent="0.2">
      <c r="A178" s="56"/>
      <c r="H178"/>
      <c r="T178" s="84"/>
      <c r="U178" s="84"/>
      <c r="V178" s="84"/>
      <c r="W178" s="84"/>
      <c r="X178" s="84"/>
      <c r="Y178" s="84"/>
      <c r="Z178" s="84"/>
    </row>
    <row r="179" spans="1:26" hidden="1" x14ac:dyDescent="0.2">
      <c r="A179" s="56"/>
      <c r="H179"/>
      <c r="T179" s="84"/>
      <c r="U179" s="84"/>
      <c r="V179" s="84"/>
      <c r="W179" s="84"/>
      <c r="X179" s="84"/>
      <c r="Y179" s="84"/>
      <c r="Z179" s="84"/>
    </row>
    <row r="180" spans="1:26" hidden="1" x14ac:dyDescent="0.2">
      <c r="A180" s="56"/>
      <c r="H180"/>
      <c r="T180" s="84"/>
      <c r="U180" s="84"/>
      <c r="V180" s="84"/>
      <c r="W180" s="84"/>
      <c r="X180" s="84"/>
      <c r="Y180" s="84"/>
      <c r="Z180" s="84"/>
    </row>
    <row r="181" spans="1:26" hidden="1" x14ac:dyDescent="0.2">
      <c r="A181" s="56"/>
      <c r="H181"/>
      <c r="T181" s="84"/>
      <c r="U181" s="84"/>
      <c r="V181" s="84"/>
      <c r="W181" s="84"/>
      <c r="X181" s="84"/>
      <c r="Y181" s="84"/>
      <c r="Z181" s="84"/>
    </row>
    <row r="182" spans="1:26" hidden="1" x14ac:dyDescent="0.2">
      <c r="A182" s="56"/>
      <c r="H182"/>
      <c r="T182" s="84"/>
      <c r="U182" s="84"/>
      <c r="V182" s="84"/>
      <c r="W182" s="84"/>
      <c r="X182" s="84"/>
      <c r="Y182" s="84"/>
      <c r="Z182" s="84"/>
    </row>
    <row r="183" spans="1:26" hidden="1" x14ac:dyDescent="0.2">
      <c r="A183" s="56"/>
      <c r="H183"/>
      <c r="T183" s="84"/>
      <c r="U183" s="84"/>
      <c r="V183" s="84"/>
      <c r="W183" s="84"/>
      <c r="X183" s="84"/>
      <c r="Y183" s="84"/>
      <c r="Z183" s="84"/>
    </row>
    <row r="184" spans="1:26" hidden="1" x14ac:dyDescent="0.2">
      <c r="A184" s="56"/>
      <c r="H184"/>
      <c r="T184" s="84"/>
      <c r="U184" s="84"/>
      <c r="V184" s="84"/>
      <c r="W184" s="84"/>
      <c r="X184" s="84"/>
      <c r="Y184" s="84"/>
      <c r="Z184" s="84"/>
    </row>
    <row r="185" spans="1:26" hidden="1" x14ac:dyDescent="0.2">
      <c r="A185" s="56"/>
      <c r="H185"/>
      <c r="T185" s="84"/>
      <c r="U185" s="84"/>
      <c r="V185" s="84"/>
      <c r="W185" s="84"/>
      <c r="X185" s="84"/>
      <c r="Y185" s="84"/>
      <c r="Z185" s="84"/>
    </row>
    <row r="186" spans="1:26" hidden="1" x14ac:dyDescent="0.2">
      <c r="A186" s="56"/>
      <c r="H186"/>
      <c r="T186" s="84"/>
      <c r="U186" s="84"/>
      <c r="V186" s="84"/>
      <c r="W186" s="84"/>
      <c r="X186" s="84"/>
      <c r="Y186" s="84"/>
      <c r="Z186" s="84"/>
    </row>
    <row r="187" spans="1:26" hidden="1" x14ac:dyDescent="0.2">
      <c r="A187" s="56"/>
      <c r="H187"/>
      <c r="T187" s="84"/>
      <c r="U187" s="84"/>
      <c r="V187" s="84"/>
      <c r="W187" s="84"/>
      <c r="X187" s="84"/>
      <c r="Y187" s="84"/>
      <c r="Z187" s="84"/>
    </row>
    <row r="188" spans="1:26" hidden="1" x14ac:dyDescent="0.2">
      <c r="A188" s="56"/>
      <c r="H188"/>
      <c r="T188" s="84"/>
      <c r="U188" s="84"/>
      <c r="V188" s="84"/>
      <c r="W188" s="84"/>
      <c r="X188" s="84"/>
      <c r="Y188" s="84"/>
      <c r="Z188" s="84"/>
    </row>
    <row r="189" spans="1:26" hidden="1" x14ac:dyDescent="0.2">
      <c r="A189" s="56"/>
      <c r="H189"/>
      <c r="T189" s="84"/>
      <c r="U189" s="84"/>
      <c r="V189" s="84"/>
      <c r="W189" s="84"/>
      <c r="X189" s="84"/>
      <c r="Y189" s="84"/>
      <c r="Z189" s="84"/>
    </row>
    <row r="190" spans="1:26" hidden="1" x14ac:dyDescent="0.2">
      <c r="A190" s="56"/>
      <c r="H190"/>
      <c r="T190" s="84"/>
      <c r="U190" s="84"/>
      <c r="V190" s="84"/>
      <c r="W190" s="84"/>
      <c r="X190" s="84"/>
      <c r="Y190" s="84"/>
      <c r="Z190" s="84"/>
    </row>
    <row r="191" spans="1:26" hidden="1" x14ac:dyDescent="0.2">
      <c r="A191" s="56"/>
      <c r="H191"/>
      <c r="T191" s="84"/>
      <c r="U191" s="84"/>
      <c r="V191" s="84"/>
      <c r="W191" s="84"/>
      <c r="X191" s="84"/>
      <c r="Y191" s="84"/>
      <c r="Z191" s="84"/>
    </row>
    <row r="192" spans="1:26" hidden="1" x14ac:dyDescent="0.2">
      <c r="A192" s="56"/>
      <c r="H192"/>
      <c r="T192" s="84"/>
      <c r="U192" s="84"/>
      <c r="V192" s="84"/>
      <c r="W192" s="84"/>
      <c r="X192" s="84"/>
      <c r="Y192" s="84"/>
      <c r="Z192" s="84"/>
    </row>
    <row r="193" spans="1:26" hidden="1" x14ac:dyDescent="0.2">
      <c r="A193" s="56"/>
      <c r="H193"/>
      <c r="T193" s="84"/>
      <c r="U193" s="84"/>
      <c r="V193" s="84"/>
      <c r="W193" s="84"/>
      <c r="X193" s="84"/>
      <c r="Y193" s="84"/>
      <c r="Z193" s="84"/>
    </row>
    <row r="194" spans="1:26" hidden="1" x14ac:dyDescent="0.2">
      <c r="A194" s="56"/>
      <c r="H194"/>
      <c r="T194" s="84"/>
      <c r="U194" s="84"/>
      <c r="V194" s="84"/>
      <c r="W194" s="84"/>
      <c r="X194" s="84"/>
      <c r="Y194" s="84"/>
      <c r="Z194" s="84"/>
    </row>
    <row r="195" spans="1:26" hidden="1" x14ac:dyDescent="0.2">
      <c r="A195" s="56"/>
      <c r="H195"/>
      <c r="T195" s="84"/>
      <c r="U195" s="84"/>
      <c r="V195" s="84"/>
      <c r="W195" s="84"/>
      <c r="X195" s="84"/>
      <c r="Y195" s="84"/>
      <c r="Z195" s="84"/>
    </row>
    <row r="196" spans="1:26" hidden="1" x14ac:dyDescent="0.2">
      <c r="A196" s="56"/>
      <c r="H196"/>
      <c r="T196" s="84"/>
      <c r="U196" s="84"/>
      <c r="V196" s="84"/>
      <c r="W196" s="84"/>
      <c r="X196" s="84"/>
      <c r="Y196" s="84"/>
      <c r="Z196" s="84"/>
    </row>
    <row r="197" spans="1:26" hidden="1" x14ac:dyDescent="0.2">
      <c r="A197" s="56"/>
      <c r="H197"/>
      <c r="T197" s="84"/>
      <c r="U197" s="84"/>
      <c r="V197" s="84"/>
      <c r="W197" s="84"/>
      <c r="X197" s="84"/>
      <c r="Y197" s="84"/>
      <c r="Z197" s="84"/>
    </row>
    <row r="198" spans="1:26" hidden="1" x14ac:dyDescent="0.2">
      <c r="A198" s="56"/>
      <c r="H198"/>
      <c r="T198" s="84"/>
      <c r="U198" s="84"/>
      <c r="V198" s="84"/>
      <c r="W198" s="84"/>
      <c r="X198" s="84"/>
      <c r="Y198" s="84"/>
      <c r="Z198" s="84"/>
    </row>
    <row r="199" spans="1:26" hidden="1" x14ac:dyDescent="0.2">
      <c r="A199" s="56"/>
      <c r="H199"/>
      <c r="T199" s="84"/>
      <c r="U199" s="84"/>
      <c r="V199" s="84"/>
      <c r="W199" s="84"/>
      <c r="X199" s="84"/>
      <c r="Y199" s="84"/>
      <c r="Z199" s="84"/>
    </row>
    <row r="200" spans="1:26" hidden="1" x14ac:dyDescent="0.2">
      <c r="A200" s="56"/>
      <c r="H200"/>
      <c r="T200" s="84"/>
      <c r="U200" s="84"/>
      <c r="V200" s="84"/>
      <c r="W200" s="84"/>
      <c r="X200" s="84"/>
      <c r="Y200" s="84"/>
      <c r="Z200" s="84"/>
    </row>
    <row r="201" spans="1:26" hidden="1" x14ac:dyDescent="0.2">
      <c r="H201"/>
      <c r="T201" s="84"/>
      <c r="U201" s="84"/>
      <c r="V201" s="84"/>
      <c r="W201" s="84"/>
      <c r="X201" s="84"/>
      <c r="Y201" s="84"/>
      <c r="Z201" s="84"/>
    </row>
    <row r="202" spans="1:26" hidden="1" x14ac:dyDescent="0.2">
      <c r="H202"/>
    </row>
    <row r="203" spans="1:26" hidden="1" x14ac:dyDescent="0.2">
      <c r="H203"/>
    </row>
    <row r="204" spans="1:26" hidden="1" x14ac:dyDescent="0.2">
      <c r="H204"/>
    </row>
    <row r="205" spans="1:26" hidden="1" x14ac:dyDescent="0.2">
      <c r="H205"/>
    </row>
    <row r="206" spans="1:26" hidden="1" x14ac:dyDescent="0.2">
      <c r="H206"/>
    </row>
    <row r="207" spans="1:26" hidden="1" x14ac:dyDescent="0.2">
      <c r="F207" s="50"/>
      <c r="H207"/>
    </row>
    <row r="208" spans="1:26" hidden="1" x14ac:dyDescent="0.2">
      <c r="H208"/>
    </row>
    <row r="209" spans="6:8" hidden="1" x14ac:dyDescent="0.2">
      <c r="H209"/>
    </row>
    <row r="210" spans="6:8" hidden="1" x14ac:dyDescent="0.2">
      <c r="F210" s="50"/>
      <c r="H210"/>
    </row>
    <row r="211" spans="6:8" hidden="1" x14ac:dyDescent="0.2">
      <c r="H211"/>
    </row>
    <row r="212" spans="6:8" hidden="1" x14ac:dyDescent="0.2">
      <c r="H212"/>
    </row>
    <row r="213" spans="6:8" hidden="1" x14ac:dyDescent="0.2">
      <c r="H213"/>
    </row>
    <row r="214" spans="6:8" hidden="1" x14ac:dyDescent="0.2">
      <c r="H214"/>
    </row>
    <row r="215" spans="6:8" hidden="1" x14ac:dyDescent="0.2">
      <c r="H215"/>
    </row>
    <row r="216" spans="6:8" hidden="1" x14ac:dyDescent="0.2">
      <c r="H216"/>
    </row>
    <row r="217" spans="6:8" hidden="1" x14ac:dyDescent="0.2">
      <c r="H217"/>
    </row>
    <row r="218" spans="6:8" hidden="1" x14ac:dyDescent="0.2">
      <c r="H218"/>
    </row>
    <row r="219" spans="6:8" hidden="1" x14ac:dyDescent="0.2">
      <c r="H219"/>
    </row>
    <row r="220" spans="6:8" hidden="1" x14ac:dyDescent="0.2">
      <c r="H220"/>
    </row>
    <row r="221" spans="6:8" hidden="1" x14ac:dyDescent="0.2">
      <c r="H221"/>
    </row>
    <row r="222" spans="6:8" hidden="1" x14ac:dyDescent="0.2">
      <c r="H222"/>
    </row>
    <row r="223" spans="6:8" hidden="1" x14ac:dyDescent="0.2">
      <c r="H223"/>
    </row>
    <row r="224" spans="6:8" hidden="1" x14ac:dyDescent="0.2">
      <c r="H224"/>
    </row>
    <row r="225" spans="6:8" hidden="1" x14ac:dyDescent="0.2">
      <c r="H225"/>
    </row>
    <row r="226" spans="6:8" hidden="1" x14ac:dyDescent="0.2">
      <c r="H226"/>
    </row>
    <row r="227" spans="6:8" hidden="1" x14ac:dyDescent="0.2">
      <c r="H227"/>
    </row>
    <row r="228" spans="6:8" hidden="1" x14ac:dyDescent="0.2">
      <c r="F228" s="50"/>
      <c r="H228"/>
    </row>
    <row r="229" spans="6:8" hidden="1" x14ac:dyDescent="0.2">
      <c r="H229"/>
    </row>
    <row r="230" spans="6:8" hidden="1" x14ac:dyDescent="0.2">
      <c r="H230"/>
    </row>
    <row r="231" spans="6:8" hidden="1" x14ac:dyDescent="0.2">
      <c r="F231" s="50"/>
      <c r="H231"/>
    </row>
    <row r="232" spans="6:8" hidden="1" x14ac:dyDescent="0.2">
      <c r="H232"/>
    </row>
    <row r="233" spans="6:8" hidden="1" x14ac:dyDescent="0.2">
      <c r="H233"/>
    </row>
    <row r="234" spans="6:8" hidden="1" x14ac:dyDescent="0.2">
      <c r="H234"/>
    </row>
    <row r="235" spans="6:8" hidden="1" x14ac:dyDescent="0.2">
      <c r="H235"/>
    </row>
    <row r="236" spans="6:8" hidden="1" x14ac:dyDescent="0.2">
      <c r="H236"/>
    </row>
    <row r="237" spans="6:8" hidden="1" x14ac:dyDescent="0.2">
      <c r="H237"/>
    </row>
    <row r="238" spans="6:8" hidden="1" x14ac:dyDescent="0.2">
      <c r="H238"/>
    </row>
    <row r="239" spans="6:8" hidden="1" x14ac:dyDescent="0.2">
      <c r="H239"/>
    </row>
    <row r="240" spans="6:8" hidden="1" x14ac:dyDescent="0.2">
      <c r="H240"/>
    </row>
    <row r="241" spans="8:8" hidden="1" x14ac:dyDescent="0.2">
      <c r="H241"/>
    </row>
    <row r="242" spans="8:8" hidden="1" x14ac:dyDescent="0.2">
      <c r="H242"/>
    </row>
    <row r="243" spans="8:8" hidden="1" x14ac:dyDescent="0.2">
      <c r="H243"/>
    </row>
    <row r="244" spans="8:8" hidden="1" x14ac:dyDescent="0.2">
      <c r="H244"/>
    </row>
    <row r="245" spans="8:8" hidden="1" x14ac:dyDescent="0.2">
      <c r="H245"/>
    </row>
    <row r="246" spans="8:8" hidden="1" x14ac:dyDescent="0.2">
      <c r="H246"/>
    </row>
    <row r="247" spans="8:8" hidden="1" x14ac:dyDescent="0.2">
      <c r="H247"/>
    </row>
    <row r="248" spans="8:8" hidden="1" x14ac:dyDescent="0.2">
      <c r="H248"/>
    </row>
    <row r="249" spans="8:8" hidden="1" x14ac:dyDescent="0.2">
      <c r="H249"/>
    </row>
    <row r="250" spans="8:8" hidden="1" x14ac:dyDescent="0.2">
      <c r="H250"/>
    </row>
    <row r="251" spans="8:8" hidden="1" x14ac:dyDescent="0.2">
      <c r="H251"/>
    </row>
    <row r="252" spans="8:8" hidden="1" x14ac:dyDescent="0.2">
      <c r="H252"/>
    </row>
    <row r="253" spans="8:8" hidden="1" x14ac:dyDescent="0.2">
      <c r="H253"/>
    </row>
    <row r="254" spans="8:8" hidden="1" x14ac:dyDescent="0.2">
      <c r="H254"/>
    </row>
    <row r="255" spans="8:8" hidden="1" x14ac:dyDescent="0.2">
      <c r="H255"/>
    </row>
    <row r="256" spans="8:8" hidden="1" x14ac:dyDescent="0.2">
      <c r="H256"/>
    </row>
    <row r="257" spans="8:8" hidden="1" x14ac:dyDescent="0.2">
      <c r="H257"/>
    </row>
    <row r="258" spans="8:8" hidden="1" x14ac:dyDescent="0.2">
      <c r="H258"/>
    </row>
    <row r="259" spans="8:8" hidden="1" x14ac:dyDescent="0.2">
      <c r="H259"/>
    </row>
    <row r="260" spans="8:8" hidden="1" x14ac:dyDescent="0.2">
      <c r="H260"/>
    </row>
    <row r="261" spans="8:8" hidden="1" x14ac:dyDescent="0.2">
      <c r="H261"/>
    </row>
    <row r="262" spans="8:8" hidden="1" x14ac:dyDescent="0.2">
      <c r="H262"/>
    </row>
    <row r="263" spans="8:8" hidden="1" x14ac:dyDescent="0.2">
      <c r="H263"/>
    </row>
    <row r="264" spans="8:8" hidden="1" x14ac:dyDescent="0.2">
      <c r="H264"/>
    </row>
    <row r="265" spans="8:8" hidden="1" x14ac:dyDescent="0.2">
      <c r="H265"/>
    </row>
    <row r="266" spans="8:8" hidden="1" x14ac:dyDescent="0.2">
      <c r="H266"/>
    </row>
    <row r="267" spans="8:8" hidden="1" x14ac:dyDescent="0.2">
      <c r="H267"/>
    </row>
    <row r="268" spans="8:8" hidden="1" x14ac:dyDescent="0.2">
      <c r="H268"/>
    </row>
    <row r="269" spans="8:8" hidden="1" x14ac:dyDescent="0.2">
      <c r="H269"/>
    </row>
    <row r="270" spans="8:8" hidden="1" x14ac:dyDescent="0.2">
      <c r="H270"/>
    </row>
    <row r="271" spans="8:8" hidden="1" x14ac:dyDescent="0.2">
      <c r="H271"/>
    </row>
    <row r="272" spans="8:8" hidden="1" x14ac:dyDescent="0.2">
      <c r="H272"/>
    </row>
    <row r="273" spans="6:8" hidden="1" x14ac:dyDescent="0.2">
      <c r="H273"/>
    </row>
    <row r="274" spans="6:8" hidden="1" x14ac:dyDescent="0.2">
      <c r="H274"/>
    </row>
    <row r="275" spans="6:8" hidden="1" x14ac:dyDescent="0.2">
      <c r="F275" s="50"/>
      <c r="H275"/>
    </row>
    <row r="276" spans="6:8" hidden="1" x14ac:dyDescent="0.2">
      <c r="H276"/>
    </row>
    <row r="277" spans="6:8" hidden="1" x14ac:dyDescent="0.2">
      <c r="H277"/>
    </row>
    <row r="278" spans="6:8" hidden="1" x14ac:dyDescent="0.2">
      <c r="H278"/>
    </row>
    <row r="279" spans="6:8" hidden="1" x14ac:dyDescent="0.2">
      <c r="F279" s="50"/>
      <c r="H279" s="50"/>
    </row>
    <row r="280" spans="6:8" hidden="1" x14ac:dyDescent="0.2">
      <c r="H280"/>
    </row>
    <row r="281" spans="6:8" hidden="1" x14ac:dyDescent="0.2">
      <c r="H281"/>
    </row>
    <row r="282" spans="6:8" hidden="1" x14ac:dyDescent="0.2">
      <c r="H282"/>
    </row>
    <row r="283" spans="6:8" hidden="1" x14ac:dyDescent="0.2">
      <c r="H283"/>
    </row>
    <row r="284" spans="6:8" hidden="1" x14ac:dyDescent="0.2">
      <c r="H284"/>
    </row>
    <row r="285" spans="6:8" hidden="1" x14ac:dyDescent="0.2">
      <c r="H285"/>
    </row>
    <row r="286" spans="6:8" hidden="1" x14ac:dyDescent="0.2">
      <c r="F286" s="2"/>
      <c r="H286"/>
    </row>
    <row r="287" spans="6:8" hidden="1" x14ac:dyDescent="0.2">
      <c r="H287"/>
    </row>
    <row r="288" spans="6:8" hidden="1" x14ac:dyDescent="0.2">
      <c r="H288"/>
    </row>
    <row r="289" spans="6:8" hidden="1" x14ac:dyDescent="0.2">
      <c r="H289"/>
    </row>
    <row r="290" spans="6:8" hidden="1" x14ac:dyDescent="0.2">
      <c r="F290" s="50"/>
      <c r="H290"/>
    </row>
    <row r="291" spans="6:8" hidden="1" x14ac:dyDescent="0.2">
      <c r="H291"/>
    </row>
    <row r="292" spans="6:8" hidden="1" x14ac:dyDescent="0.2">
      <c r="H292"/>
    </row>
    <row r="293" spans="6:8" hidden="1" x14ac:dyDescent="0.2">
      <c r="H293"/>
    </row>
    <row r="294" spans="6:8" hidden="1" x14ac:dyDescent="0.2">
      <c r="H294"/>
    </row>
    <row r="295" spans="6:8" hidden="1" x14ac:dyDescent="0.2">
      <c r="H295"/>
    </row>
    <row r="296" spans="6:8" hidden="1" x14ac:dyDescent="0.2">
      <c r="H296"/>
    </row>
    <row r="297" spans="6:8" hidden="1" x14ac:dyDescent="0.2">
      <c r="H297"/>
    </row>
    <row r="298" spans="6:8" hidden="1" x14ac:dyDescent="0.2">
      <c r="H298"/>
    </row>
    <row r="299" spans="6:8" hidden="1" x14ac:dyDescent="0.2">
      <c r="H299"/>
    </row>
    <row r="300" spans="6:8" hidden="1" x14ac:dyDescent="0.2">
      <c r="H300"/>
    </row>
    <row r="301" spans="6:8" hidden="1" x14ac:dyDescent="0.2">
      <c r="H301"/>
    </row>
    <row r="302" spans="6:8" hidden="1" x14ac:dyDescent="0.2">
      <c r="H302"/>
    </row>
    <row r="303" spans="6:8" hidden="1" x14ac:dyDescent="0.2">
      <c r="F303" s="50"/>
      <c r="H303"/>
    </row>
    <row r="304" spans="6:8" hidden="1" x14ac:dyDescent="0.2">
      <c r="H304"/>
    </row>
    <row r="305" spans="6:8" hidden="1" x14ac:dyDescent="0.2">
      <c r="F305" s="50"/>
      <c r="H305"/>
    </row>
    <row r="306" spans="6:8" hidden="1" x14ac:dyDescent="0.2">
      <c r="F306" s="50"/>
      <c r="H306"/>
    </row>
    <row r="307" spans="6:8" hidden="1" x14ac:dyDescent="0.2">
      <c r="F307" s="50"/>
      <c r="H307"/>
    </row>
    <row r="308" spans="6:8" hidden="1" x14ac:dyDescent="0.2">
      <c r="F308" s="50"/>
      <c r="H308" s="50"/>
    </row>
    <row r="309" spans="6:8" hidden="1" x14ac:dyDescent="0.2">
      <c r="F309" s="50"/>
      <c r="H309" s="50"/>
    </row>
    <row r="310" spans="6:8" hidden="1" x14ac:dyDescent="0.2">
      <c r="F310" s="50"/>
      <c r="H310" s="50"/>
    </row>
    <row r="311" spans="6:8" hidden="1" x14ac:dyDescent="0.2">
      <c r="F311" s="50"/>
      <c r="H311" s="50"/>
    </row>
    <row r="312" spans="6:8" hidden="1" x14ac:dyDescent="0.2">
      <c r="F312" s="50"/>
      <c r="H312" s="50"/>
    </row>
    <row r="313" spans="6:8" hidden="1" x14ac:dyDescent="0.2">
      <c r="F313" s="50"/>
      <c r="H313"/>
    </row>
    <row r="314" spans="6:8" hidden="1" x14ac:dyDescent="0.2">
      <c r="F314" s="50"/>
      <c r="H314"/>
    </row>
    <row r="315" spans="6:8" hidden="1" x14ac:dyDescent="0.2">
      <c r="F315" s="50"/>
      <c r="H315"/>
    </row>
    <row r="316" spans="6:8" hidden="1" x14ac:dyDescent="0.2">
      <c r="F316" s="50"/>
      <c r="H316" s="50"/>
    </row>
    <row r="317" spans="6:8" hidden="1" x14ac:dyDescent="0.2">
      <c r="F317" s="50"/>
      <c r="H317"/>
    </row>
    <row r="318" spans="6:8" hidden="1" x14ac:dyDescent="0.2">
      <c r="F318" s="50"/>
      <c r="H318"/>
    </row>
    <row r="319" spans="6:8" hidden="1" x14ac:dyDescent="0.2">
      <c r="F319" s="50"/>
      <c r="H319"/>
    </row>
    <row r="320" spans="6:8" hidden="1" x14ac:dyDescent="0.2">
      <c r="F320" s="50"/>
      <c r="H320"/>
    </row>
    <row r="321" spans="6:8" hidden="1" x14ac:dyDescent="0.2">
      <c r="F321" s="50"/>
      <c r="H321"/>
    </row>
    <row r="322" spans="6:8" hidden="1" x14ac:dyDescent="0.2">
      <c r="F322" s="50"/>
      <c r="H322"/>
    </row>
    <row r="323" spans="6:8" hidden="1" x14ac:dyDescent="0.2">
      <c r="F323" s="50"/>
      <c r="H323"/>
    </row>
    <row r="324" spans="6:8" hidden="1" x14ac:dyDescent="0.2">
      <c r="F324" s="50"/>
      <c r="H324"/>
    </row>
    <row r="325" spans="6:8" hidden="1" x14ac:dyDescent="0.2">
      <c r="F325" s="50"/>
      <c r="H325"/>
    </row>
    <row r="326" spans="6:8" hidden="1" x14ac:dyDescent="0.2">
      <c r="F326" s="50"/>
      <c r="H326"/>
    </row>
    <row r="327" spans="6:8" hidden="1" x14ac:dyDescent="0.2">
      <c r="F327" s="50"/>
      <c r="H327"/>
    </row>
    <row r="328" spans="6:8" hidden="1" x14ac:dyDescent="0.2">
      <c r="F328" s="50"/>
      <c r="H328" s="50"/>
    </row>
    <row r="329" spans="6:8" hidden="1" x14ac:dyDescent="0.2">
      <c r="F329" s="50"/>
      <c r="H329"/>
    </row>
    <row r="330" spans="6:8" hidden="1" x14ac:dyDescent="0.2">
      <c r="H330"/>
    </row>
    <row r="331" spans="6:8" hidden="1" x14ac:dyDescent="0.2">
      <c r="F331" s="50"/>
      <c r="H331"/>
    </row>
    <row r="332" spans="6:8" hidden="1" x14ac:dyDescent="0.2">
      <c r="F332" s="50"/>
      <c r="H332"/>
    </row>
    <row r="333" spans="6:8" hidden="1" x14ac:dyDescent="0.2">
      <c r="F333" s="50"/>
      <c r="H333"/>
    </row>
    <row r="334" spans="6:8" hidden="1" x14ac:dyDescent="0.2">
      <c r="F334" s="50"/>
      <c r="H334"/>
    </row>
    <row r="335" spans="6:8" hidden="1" x14ac:dyDescent="0.2">
      <c r="F335" s="50"/>
      <c r="H335"/>
    </row>
    <row r="336" spans="6:8" hidden="1" x14ac:dyDescent="0.2">
      <c r="F336" s="50"/>
      <c r="H336"/>
    </row>
    <row r="337" spans="6:8" hidden="1" x14ac:dyDescent="0.2">
      <c r="F337" s="50"/>
      <c r="H337"/>
    </row>
    <row r="338" spans="6:8" hidden="1" x14ac:dyDescent="0.2">
      <c r="F338" s="50"/>
      <c r="H338"/>
    </row>
    <row r="339" spans="6:8" hidden="1" x14ac:dyDescent="0.2">
      <c r="F339" s="50"/>
      <c r="H339" s="50"/>
    </row>
    <row r="340" spans="6:8" hidden="1" x14ac:dyDescent="0.2">
      <c r="F340" s="50"/>
      <c r="H340" s="50"/>
    </row>
    <row r="341" spans="6:8" hidden="1" x14ac:dyDescent="0.2">
      <c r="F341" s="50"/>
      <c r="H341"/>
    </row>
    <row r="342" spans="6:8" hidden="1" x14ac:dyDescent="0.2">
      <c r="F342" s="50"/>
      <c r="H342"/>
    </row>
    <row r="343" spans="6:8" hidden="1" x14ac:dyDescent="0.2">
      <c r="F343" s="50"/>
      <c r="H343" s="50"/>
    </row>
    <row r="344" spans="6:8" hidden="1" x14ac:dyDescent="0.2">
      <c r="F344" s="50"/>
      <c r="H344"/>
    </row>
    <row r="345" spans="6:8" hidden="1" x14ac:dyDescent="0.2">
      <c r="F345" s="50"/>
      <c r="H345" s="50"/>
    </row>
    <row r="346" spans="6:8" hidden="1" x14ac:dyDescent="0.2">
      <c r="H346"/>
    </row>
    <row r="347" spans="6:8" hidden="1" x14ac:dyDescent="0.2">
      <c r="H347"/>
    </row>
    <row r="348" spans="6:8" hidden="1" x14ac:dyDescent="0.2">
      <c r="H348"/>
    </row>
    <row r="349" spans="6:8" hidden="1" x14ac:dyDescent="0.2">
      <c r="F349" s="50"/>
      <c r="H349"/>
    </row>
    <row r="350" spans="6:8" hidden="1" x14ac:dyDescent="0.2">
      <c r="F350" s="50"/>
      <c r="H350"/>
    </row>
    <row r="351" spans="6:8" hidden="1" x14ac:dyDescent="0.2">
      <c r="F351" s="50"/>
      <c r="H351" s="50"/>
    </row>
    <row r="352" spans="6:8" hidden="1" x14ac:dyDescent="0.2">
      <c r="F352" s="50"/>
      <c r="H352" s="50"/>
    </row>
    <row r="353" spans="6:8" hidden="1" x14ac:dyDescent="0.2">
      <c r="F353" s="50"/>
      <c r="H353" s="50"/>
    </row>
    <row r="354" spans="6:8" hidden="1" x14ac:dyDescent="0.2">
      <c r="F354" s="50"/>
      <c r="H354" s="50"/>
    </row>
    <row r="355" spans="6:8" hidden="1" x14ac:dyDescent="0.2">
      <c r="F355" s="50"/>
      <c r="H355"/>
    </row>
    <row r="356" spans="6:8" hidden="1" x14ac:dyDescent="0.2">
      <c r="F356" s="50"/>
      <c r="H356"/>
    </row>
    <row r="357" spans="6:8" hidden="1" x14ac:dyDescent="0.2">
      <c r="F357" s="50"/>
      <c r="H357" s="50"/>
    </row>
    <row r="358" spans="6:8" hidden="1" x14ac:dyDescent="0.2">
      <c r="F358" s="50"/>
      <c r="H358" s="50"/>
    </row>
    <row r="359" spans="6:8" hidden="1" x14ac:dyDescent="0.2">
      <c r="F359" s="50"/>
      <c r="H359" s="50"/>
    </row>
    <row r="360" spans="6:8" hidden="1" x14ac:dyDescent="0.2">
      <c r="F360" s="50"/>
      <c r="H360"/>
    </row>
    <row r="361" spans="6:8" hidden="1" x14ac:dyDescent="0.2">
      <c r="F361" s="50"/>
      <c r="H361"/>
    </row>
    <row r="362" spans="6:8" hidden="1" x14ac:dyDescent="0.2">
      <c r="F362" s="50"/>
      <c r="H362"/>
    </row>
    <row r="363" spans="6:8" hidden="1" x14ac:dyDescent="0.2">
      <c r="F363" s="50"/>
      <c r="H363"/>
    </row>
    <row r="364" spans="6:8" hidden="1" x14ac:dyDescent="0.2">
      <c r="F364" s="50"/>
      <c r="H364"/>
    </row>
    <row r="365" spans="6:8" hidden="1" x14ac:dyDescent="0.2">
      <c r="F365" s="50"/>
      <c r="H365"/>
    </row>
    <row r="366" spans="6:8" hidden="1" x14ac:dyDescent="0.2">
      <c r="F366" s="50"/>
      <c r="H366"/>
    </row>
    <row r="367" spans="6:8" hidden="1" x14ac:dyDescent="0.2">
      <c r="F367" s="50"/>
      <c r="H367"/>
    </row>
    <row r="368" spans="6:8" hidden="1" x14ac:dyDescent="0.2">
      <c r="F368" s="50"/>
      <c r="H368" s="50"/>
    </row>
    <row r="369" spans="6:8" hidden="1" x14ac:dyDescent="0.2">
      <c r="F369" s="50"/>
      <c r="H369"/>
    </row>
    <row r="370" spans="6:8" hidden="1" x14ac:dyDescent="0.2">
      <c r="F370" s="50"/>
      <c r="H370"/>
    </row>
    <row r="371" spans="6:8" hidden="1" x14ac:dyDescent="0.2">
      <c r="F371" s="50"/>
      <c r="H371"/>
    </row>
    <row r="372" spans="6:8" hidden="1" x14ac:dyDescent="0.2">
      <c r="F372" s="50"/>
      <c r="H372"/>
    </row>
    <row r="373" spans="6:8" hidden="1" x14ac:dyDescent="0.2">
      <c r="F373" s="50"/>
      <c r="H373"/>
    </row>
    <row r="374" spans="6:8" hidden="1" x14ac:dyDescent="0.2">
      <c r="F374" s="50"/>
      <c r="H374"/>
    </row>
    <row r="375" spans="6:8" hidden="1" x14ac:dyDescent="0.2">
      <c r="F375" s="50"/>
      <c r="H375"/>
    </row>
    <row r="376" spans="6:8" hidden="1" x14ac:dyDescent="0.2">
      <c r="F376" s="50"/>
      <c r="H376" s="50"/>
    </row>
    <row r="377" spans="6:8" hidden="1" x14ac:dyDescent="0.2">
      <c r="F377" s="50"/>
      <c r="H377" s="50"/>
    </row>
    <row r="378" spans="6:8" hidden="1" x14ac:dyDescent="0.2">
      <c r="F378" s="50"/>
      <c r="H378"/>
    </row>
    <row r="379" spans="6:8" hidden="1" x14ac:dyDescent="0.2">
      <c r="F379" s="50"/>
      <c r="H379"/>
    </row>
    <row r="380" spans="6:8" hidden="1" x14ac:dyDescent="0.2">
      <c r="F380" s="50"/>
      <c r="H380"/>
    </row>
    <row r="381" spans="6:8" hidden="1" x14ac:dyDescent="0.2">
      <c r="F381" s="50"/>
      <c r="H381"/>
    </row>
    <row r="382" spans="6:8" hidden="1" x14ac:dyDescent="0.2">
      <c r="F382" s="50"/>
      <c r="H382"/>
    </row>
    <row r="383" spans="6:8" hidden="1" x14ac:dyDescent="0.2">
      <c r="F383" s="50"/>
      <c r="H383" s="50"/>
    </row>
    <row r="384" spans="6:8" hidden="1" x14ac:dyDescent="0.2">
      <c r="F384" s="50"/>
      <c r="H384"/>
    </row>
    <row r="385" spans="6:8" hidden="1" x14ac:dyDescent="0.2">
      <c r="F385" s="50"/>
      <c r="H385"/>
    </row>
    <row r="386" spans="6:8" hidden="1" x14ac:dyDescent="0.2">
      <c r="F386" s="50"/>
      <c r="H386" s="50"/>
    </row>
    <row r="387" spans="6:8" hidden="1" x14ac:dyDescent="0.2">
      <c r="F387" s="50"/>
      <c r="H387"/>
    </row>
    <row r="388" spans="6:8" hidden="1" x14ac:dyDescent="0.2">
      <c r="F388" s="50"/>
      <c r="H388"/>
    </row>
    <row r="389" spans="6:8" hidden="1" x14ac:dyDescent="0.2">
      <c r="F389" s="50"/>
      <c r="H389"/>
    </row>
    <row r="390" spans="6:8" hidden="1" x14ac:dyDescent="0.2">
      <c r="F390" s="50"/>
      <c r="H390"/>
    </row>
    <row r="391" spans="6:8" hidden="1" x14ac:dyDescent="0.2">
      <c r="F391" s="50"/>
      <c r="H391"/>
    </row>
    <row r="392" spans="6:8" hidden="1" x14ac:dyDescent="0.2">
      <c r="F392" s="50"/>
      <c r="H392"/>
    </row>
    <row r="393" spans="6:8" hidden="1" x14ac:dyDescent="0.2">
      <c r="F393" s="50"/>
      <c r="H393"/>
    </row>
    <row r="394" spans="6:8" hidden="1" x14ac:dyDescent="0.2">
      <c r="F394" s="50"/>
      <c r="H394"/>
    </row>
    <row r="395" spans="6:8" hidden="1" x14ac:dyDescent="0.2">
      <c r="F395" s="50"/>
      <c r="H395"/>
    </row>
    <row r="396" spans="6:8" hidden="1" x14ac:dyDescent="0.2">
      <c r="F396" s="50"/>
      <c r="H396" s="50"/>
    </row>
    <row r="397" spans="6:8" hidden="1" x14ac:dyDescent="0.2">
      <c r="F397" s="50"/>
      <c r="H397"/>
    </row>
    <row r="398" spans="6:8" hidden="1" x14ac:dyDescent="0.2">
      <c r="F398" s="50"/>
      <c r="H398"/>
    </row>
    <row r="399" spans="6:8" hidden="1" x14ac:dyDescent="0.2">
      <c r="F399" s="50"/>
      <c r="H399"/>
    </row>
    <row r="400" spans="6:8" hidden="1" x14ac:dyDescent="0.2">
      <c r="F400" s="50"/>
      <c r="H400"/>
    </row>
    <row r="401" spans="6:8" hidden="1" x14ac:dyDescent="0.2">
      <c r="F401" s="50"/>
      <c r="H401"/>
    </row>
    <row r="402" spans="6:8" hidden="1" x14ac:dyDescent="0.2">
      <c r="F402" s="50"/>
      <c r="H402"/>
    </row>
    <row r="403" spans="6:8" hidden="1" x14ac:dyDescent="0.2">
      <c r="F403" s="50"/>
      <c r="H403"/>
    </row>
    <row r="404" spans="6:8" hidden="1" x14ac:dyDescent="0.2">
      <c r="F404" s="50"/>
      <c r="H404" s="50"/>
    </row>
    <row r="405" spans="6:8" hidden="1" x14ac:dyDescent="0.2">
      <c r="F405" s="50"/>
      <c r="H405" s="50"/>
    </row>
    <row r="406" spans="6:8" hidden="1" x14ac:dyDescent="0.2">
      <c r="F406" s="50"/>
      <c r="H406"/>
    </row>
    <row r="407" spans="6:8" hidden="1" x14ac:dyDescent="0.2">
      <c r="F407" s="50"/>
      <c r="H407"/>
    </row>
    <row r="408" spans="6:8" hidden="1" x14ac:dyDescent="0.2">
      <c r="F408" s="50"/>
      <c r="H408"/>
    </row>
    <row r="409" spans="6:8" hidden="1" x14ac:dyDescent="0.2">
      <c r="F409" s="50"/>
      <c r="H409"/>
    </row>
    <row r="410" spans="6:8" hidden="1" x14ac:dyDescent="0.2">
      <c r="F410" s="50"/>
      <c r="H410"/>
    </row>
    <row r="411" spans="6:8" hidden="1" x14ac:dyDescent="0.2">
      <c r="F411" s="50"/>
      <c r="H411"/>
    </row>
    <row r="412" spans="6:8" hidden="1" x14ac:dyDescent="0.2">
      <c r="F412" s="50"/>
      <c r="H412"/>
    </row>
    <row r="413" spans="6:8" hidden="1" x14ac:dyDescent="0.2">
      <c r="F413" s="50"/>
      <c r="H413"/>
    </row>
    <row r="414" spans="6:8" hidden="1" x14ac:dyDescent="0.2">
      <c r="F414" s="50"/>
      <c r="H414"/>
    </row>
    <row r="415" spans="6:8" hidden="1" x14ac:dyDescent="0.2">
      <c r="F415" s="50"/>
      <c r="H415"/>
    </row>
    <row r="416" spans="6:8" hidden="1" x14ac:dyDescent="0.2">
      <c r="F416" s="50"/>
      <c r="H416"/>
    </row>
    <row r="417" spans="6:8" hidden="1" x14ac:dyDescent="0.2">
      <c r="F417" s="50"/>
      <c r="H417"/>
    </row>
    <row r="418" spans="6:8" hidden="1" x14ac:dyDescent="0.2">
      <c r="F418" s="50"/>
      <c r="H418"/>
    </row>
    <row r="419" spans="6:8" hidden="1" x14ac:dyDescent="0.2">
      <c r="F419" s="50"/>
      <c r="H419"/>
    </row>
    <row r="420" spans="6:8" hidden="1" x14ac:dyDescent="0.2">
      <c r="F420" s="50"/>
      <c r="H420"/>
    </row>
    <row r="421" spans="6:8" hidden="1" x14ac:dyDescent="0.2">
      <c r="F421" s="50"/>
      <c r="H421"/>
    </row>
    <row r="422" spans="6:8" hidden="1" x14ac:dyDescent="0.2">
      <c r="F422" s="50"/>
      <c r="H422"/>
    </row>
    <row r="423" spans="6:8" hidden="1" x14ac:dyDescent="0.2">
      <c r="F423" s="50"/>
      <c r="H423"/>
    </row>
    <row r="424" spans="6:8" hidden="1" x14ac:dyDescent="0.2">
      <c r="F424" s="50"/>
      <c r="H424"/>
    </row>
    <row r="425" spans="6:8" hidden="1" x14ac:dyDescent="0.2">
      <c r="F425" s="50"/>
      <c r="H425"/>
    </row>
    <row r="426" spans="6:8" hidden="1" x14ac:dyDescent="0.2">
      <c r="F426" s="50"/>
      <c r="H426"/>
    </row>
    <row r="427" spans="6:8" hidden="1" x14ac:dyDescent="0.2">
      <c r="F427" s="50"/>
      <c r="H427" s="50"/>
    </row>
    <row r="428" spans="6:8" hidden="1" x14ac:dyDescent="0.2">
      <c r="F428" s="50"/>
      <c r="H428"/>
    </row>
    <row r="429" spans="6:8" hidden="1" x14ac:dyDescent="0.2">
      <c r="F429" s="50"/>
      <c r="H429"/>
    </row>
    <row r="430" spans="6:8" hidden="1" x14ac:dyDescent="0.2">
      <c r="F430" s="50"/>
      <c r="H430"/>
    </row>
    <row r="431" spans="6:8" hidden="1" x14ac:dyDescent="0.2">
      <c r="F431" s="50"/>
      <c r="H431"/>
    </row>
    <row r="432" spans="6:8" hidden="1" x14ac:dyDescent="0.2">
      <c r="F432" s="50"/>
      <c r="H432"/>
    </row>
    <row r="433" spans="6:8" hidden="1" x14ac:dyDescent="0.2">
      <c r="F433" s="50"/>
      <c r="H433"/>
    </row>
    <row r="434" spans="6:8" hidden="1" x14ac:dyDescent="0.2">
      <c r="F434" s="50"/>
      <c r="H434"/>
    </row>
    <row r="435" spans="6:8" hidden="1" x14ac:dyDescent="0.2">
      <c r="F435" s="50"/>
      <c r="H435"/>
    </row>
    <row r="436" spans="6:8" hidden="1" x14ac:dyDescent="0.2">
      <c r="F436" s="50"/>
      <c r="H436"/>
    </row>
    <row r="437" spans="6:8" hidden="1" x14ac:dyDescent="0.2">
      <c r="F437" s="50"/>
      <c r="H437" s="50"/>
    </row>
    <row r="438" spans="6:8" hidden="1" x14ac:dyDescent="0.2">
      <c r="F438" s="50"/>
      <c r="H438"/>
    </row>
    <row r="439" spans="6:8" hidden="1" x14ac:dyDescent="0.2">
      <c r="F439" s="50"/>
      <c r="H439"/>
    </row>
    <row r="440" spans="6:8" hidden="1" x14ac:dyDescent="0.2">
      <c r="F440" s="50"/>
      <c r="H440"/>
    </row>
    <row r="441" spans="6:8" hidden="1" x14ac:dyDescent="0.2">
      <c r="F441" s="50"/>
      <c r="H441" s="50"/>
    </row>
    <row r="442" spans="6:8" hidden="1" x14ac:dyDescent="0.2">
      <c r="F442" s="50"/>
      <c r="H442"/>
    </row>
    <row r="443" spans="6:8" hidden="1" x14ac:dyDescent="0.2">
      <c r="F443" s="50"/>
      <c r="H443"/>
    </row>
    <row r="444" spans="6:8" hidden="1" x14ac:dyDescent="0.2">
      <c r="F444" s="50"/>
      <c r="H444"/>
    </row>
    <row r="445" spans="6:8" hidden="1" x14ac:dyDescent="0.2">
      <c r="F445" s="50"/>
      <c r="H445"/>
    </row>
    <row r="446" spans="6:8" hidden="1" x14ac:dyDescent="0.2">
      <c r="F446" s="50"/>
      <c r="H446" s="50"/>
    </row>
    <row r="447" spans="6:8" hidden="1" x14ac:dyDescent="0.2">
      <c r="F447" s="50"/>
      <c r="H447"/>
    </row>
    <row r="448" spans="6:8" hidden="1" x14ac:dyDescent="0.2">
      <c r="F448" s="50"/>
      <c r="H448"/>
    </row>
    <row r="449" spans="6:8" hidden="1" x14ac:dyDescent="0.2">
      <c r="F449" s="50"/>
      <c r="H449"/>
    </row>
    <row r="450" spans="6:8" hidden="1" x14ac:dyDescent="0.2">
      <c r="F450" s="50"/>
      <c r="H450"/>
    </row>
    <row r="451" spans="6:8" hidden="1" x14ac:dyDescent="0.2">
      <c r="F451" s="50"/>
      <c r="H451"/>
    </row>
    <row r="452" spans="6:8" hidden="1" x14ac:dyDescent="0.2">
      <c r="F452" s="50"/>
      <c r="H452" s="50"/>
    </row>
    <row r="453" spans="6:8" hidden="1" x14ac:dyDescent="0.2">
      <c r="F453" s="50"/>
      <c r="H453" s="50"/>
    </row>
    <row r="454" spans="6:8" hidden="1" x14ac:dyDescent="0.2">
      <c r="F454" s="50"/>
      <c r="H454" s="50"/>
    </row>
    <row r="455" spans="6:8" hidden="1" x14ac:dyDescent="0.2">
      <c r="F455" s="50"/>
      <c r="H455"/>
    </row>
    <row r="456" spans="6:8" hidden="1" x14ac:dyDescent="0.2">
      <c r="F456" s="50"/>
      <c r="H456"/>
    </row>
    <row r="457" spans="6:8" hidden="1" x14ac:dyDescent="0.2">
      <c r="F457" s="50"/>
      <c r="H457" s="50"/>
    </row>
    <row r="458" spans="6:8" hidden="1" x14ac:dyDescent="0.2">
      <c r="F458" s="50"/>
      <c r="H458" s="50"/>
    </row>
    <row r="459" spans="6:8" hidden="1" x14ac:dyDescent="0.2">
      <c r="F459" s="50"/>
      <c r="H459"/>
    </row>
    <row r="460" spans="6:8" hidden="1" x14ac:dyDescent="0.2">
      <c r="F460" s="50"/>
      <c r="H460" s="50"/>
    </row>
    <row r="461" spans="6:8" hidden="1" x14ac:dyDescent="0.2">
      <c r="F461" s="50"/>
      <c r="H461"/>
    </row>
    <row r="462" spans="6:8" hidden="1" x14ac:dyDescent="0.2">
      <c r="F462" s="50"/>
      <c r="H462"/>
    </row>
    <row r="463" spans="6:8" hidden="1" x14ac:dyDescent="0.2">
      <c r="F463" s="50"/>
      <c r="H463"/>
    </row>
    <row r="464" spans="6:8" hidden="1" x14ac:dyDescent="0.2">
      <c r="F464" s="50"/>
      <c r="H464"/>
    </row>
    <row r="465" spans="6:8" hidden="1" x14ac:dyDescent="0.2">
      <c r="F465" s="50"/>
      <c r="H465"/>
    </row>
    <row r="466" spans="6:8" hidden="1" x14ac:dyDescent="0.2">
      <c r="F466" s="50"/>
      <c r="H466"/>
    </row>
    <row r="467" spans="6:8" hidden="1" x14ac:dyDescent="0.2">
      <c r="F467" s="50"/>
      <c r="H467"/>
    </row>
    <row r="468" spans="6:8" hidden="1" x14ac:dyDescent="0.2">
      <c r="F468" s="50"/>
      <c r="H468"/>
    </row>
    <row r="469" spans="6:8" hidden="1" x14ac:dyDescent="0.2">
      <c r="F469" s="50"/>
      <c r="H469"/>
    </row>
    <row r="470" spans="6:8" hidden="1" x14ac:dyDescent="0.2">
      <c r="F470" s="50"/>
      <c r="H470"/>
    </row>
    <row r="471" spans="6:8" hidden="1" x14ac:dyDescent="0.2">
      <c r="F471" s="50"/>
      <c r="H471"/>
    </row>
    <row r="472" spans="6:8" hidden="1" x14ac:dyDescent="0.2">
      <c r="F472" s="50"/>
      <c r="H472"/>
    </row>
    <row r="473" spans="6:8" hidden="1" x14ac:dyDescent="0.2">
      <c r="F473" s="50"/>
      <c r="H473"/>
    </row>
    <row r="474" spans="6:8" hidden="1" x14ac:dyDescent="0.2">
      <c r="F474" s="50"/>
      <c r="H474"/>
    </row>
    <row r="475" spans="6:8" hidden="1" x14ac:dyDescent="0.2">
      <c r="F475" s="50"/>
      <c r="H475"/>
    </row>
    <row r="476" spans="6:8" hidden="1" x14ac:dyDescent="0.2">
      <c r="F476" s="50"/>
      <c r="H476"/>
    </row>
    <row r="477" spans="6:8" hidden="1" x14ac:dyDescent="0.2">
      <c r="F477" s="50"/>
      <c r="H477"/>
    </row>
    <row r="478" spans="6:8" hidden="1" x14ac:dyDescent="0.2">
      <c r="F478" s="50"/>
      <c r="H478"/>
    </row>
    <row r="479" spans="6:8" hidden="1" x14ac:dyDescent="0.2">
      <c r="F479" s="50"/>
      <c r="H479"/>
    </row>
    <row r="480" spans="6:8" hidden="1" x14ac:dyDescent="0.2">
      <c r="F480" s="50"/>
      <c r="H480" s="50"/>
    </row>
    <row r="481" spans="6:8" hidden="1" x14ac:dyDescent="0.2">
      <c r="F481" s="50"/>
      <c r="H481" s="50"/>
    </row>
    <row r="482" spans="6:8" hidden="1" x14ac:dyDescent="0.2">
      <c r="F482" s="50"/>
      <c r="H482"/>
    </row>
    <row r="483" spans="6:8" hidden="1" x14ac:dyDescent="0.2">
      <c r="F483" s="50"/>
      <c r="H483"/>
    </row>
    <row r="484" spans="6:8" hidden="1" x14ac:dyDescent="0.2">
      <c r="F484" s="50"/>
      <c r="H484"/>
    </row>
    <row r="485" spans="6:8" hidden="1" x14ac:dyDescent="0.2">
      <c r="F485" s="50"/>
      <c r="H485"/>
    </row>
    <row r="486" spans="6:8" hidden="1" x14ac:dyDescent="0.2">
      <c r="F486" s="50"/>
      <c r="H486"/>
    </row>
    <row r="487" spans="6:8" hidden="1" x14ac:dyDescent="0.2">
      <c r="F487" s="50"/>
      <c r="H487"/>
    </row>
    <row r="488" spans="6:8" hidden="1" x14ac:dyDescent="0.2">
      <c r="F488" s="50"/>
      <c r="H488" s="50"/>
    </row>
    <row r="489" spans="6:8" hidden="1" x14ac:dyDescent="0.2">
      <c r="F489" s="50"/>
      <c r="H489"/>
    </row>
    <row r="490" spans="6:8" hidden="1" x14ac:dyDescent="0.2">
      <c r="F490" s="50"/>
      <c r="H490"/>
    </row>
    <row r="491" spans="6:8" hidden="1" x14ac:dyDescent="0.2">
      <c r="F491" s="50"/>
      <c r="H491"/>
    </row>
    <row r="492" spans="6:8" hidden="1" x14ac:dyDescent="0.2">
      <c r="H492"/>
    </row>
    <row r="493" spans="6:8" hidden="1" x14ac:dyDescent="0.2">
      <c r="F493" s="50"/>
      <c r="H493"/>
    </row>
    <row r="494" spans="6:8" hidden="1" x14ac:dyDescent="0.2">
      <c r="F494" s="50"/>
      <c r="H494"/>
    </row>
    <row r="495" spans="6:8" hidden="1" x14ac:dyDescent="0.2">
      <c r="F495" s="50"/>
      <c r="H495"/>
    </row>
    <row r="496" spans="6:8" hidden="1" x14ac:dyDescent="0.2">
      <c r="F496" s="50"/>
      <c r="H496"/>
    </row>
    <row r="497" spans="6:8" hidden="1" x14ac:dyDescent="0.2">
      <c r="F497" s="50"/>
      <c r="H497"/>
    </row>
    <row r="498" spans="6:8" hidden="1" x14ac:dyDescent="0.2">
      <c r="F498" s="50"/>
      <c r="H498"/>
    </row>
    <row r="499" spans="6:8" hidden="1" x14ac:dyDescent="0.2">
      <c r="F499" s="50"/>
      <c r="H499"/>
    </row>
    <row r="500" spans="6:8" hidden="1" x14ac:dyDescent="0.2">
      <c r="F500" s="50"/>
      <c r="H500" s="50"/>
    </row>
    <row r="501" spans="6:8" hidden="1" x14ac:dyDescent="0.2">
      <c r="F501" s="50"/>
      <c r="H501" s="50"/>
    </row>
    <row r="502" spans="6:8" hidden="1" x14ac:dyDescent="0.2">
      <c r="F502" s="50"/>
      <c r="H502"/>
    </row>
    <row r="503" spans="6:8" hidden="1" x14ac:dyDescent="0.2">
      <c r="F503" s="50"/>
      <c r="H503"/>
    </row>
    <row r="504" spans="6:8" hidden="1" x14ac:dyDescent="0.2">
      <c r="F504" s="50"/>
      <c r="H504" s="50"/>
    </row>
    <row r="505" spans="6:8" hidden="1" x14ac:dyDescent="0.2">
      <c r="F505" s="50"/>
      <c r="H505"/>
    </row>
    <row r="506" spans="6:8" hidden="1" x14ac:dyDescent="0.2">
      <c r="F506" s="50"/>
      <c r="H506"/>
    </row>
    <row r="507" spans="6:8" hidden="1" x14ac:dyDescent="0.2">
      <c r="F507" s="50"/>
      <c r="H507" s="50"/>
    </row>
    <row r="508" spans="6:8" hidden="1" x14ac:dyDescent="0.2">
      <c r="F508" s="50"/>
      <c r="H508"/>
    </row>
    <row r="509" spans="6:8" hidden="1" x14ac:dyDescent="0.2">
      <c r="F509" s="50"/>
      <c r="H509"/>
    </row>
    <row r="510" spans="6:8" hidden="1" x14ac:dyDescent="0.2">
      <c r="F510" s="50"/>
      <c r="H510"/>
    </row>
    <row r="511" spans="6:8" hidden="1" x14ac:dyDescent="0.2">
      <c r="F511" s="50"/>
      <c r="H511"/>
    </row>
    <row r="512" spans="6:8" hidden="1" x14ac:dyDescent="0.2">
      <c r="F512" s="50"/>
      <c r="H512"/>
    </row>
    <row r="513" spans="6:8" hidden="1" x14ac:dyDescent="0.2">
      <c r="F513" s="50"/>
      <c r="H513" s="50"/>
    </row>
    <row r="514" spans="6:8" hidden="1" x14ac:dyDescent="0.2">
      <c r="F514" s="50"/>
      <c r="H514" s="50"/>
    </row>
    <row r="515" spans="6:8" hidden="1" x14ac:dyDescent="0.2">
      <c r="F515" s="50"/>
      <c r="H515"/>
    </row>
    <row r="516" spans="6:8" hidden="1" x14ac:dyDescent="0.2">
      <c r="F516" s="50"/>
      <c r="H516" s="50"/>
    </row>
    <row r="517" spans="6:8" hidden="1" x14ac:dyDescent="0.2">
      <c r="F517" s="50"/>
      <c r="H517"/>
    </row>
    <row r="518" spans="6:8" hidden="1" x14ac:dyDescent="0.2">
      <c r="F518" s="50"/>
      <c r="H518"/>
    </row>
    <row r="519" spans="6:8" hidden="1" x14ac:dyDescent="0.2">
      <c r="F519" s="50"/>
      <c r="H519"/>
    </row>
    <row r="520" spans="6:8" hidden="1" x14ac:dyDescent="0.2">
      <c r="F520" s="50"/>
      <c r="H520" s="50"/>
    </row>
    <row r="521" spans="6:8" hidden="1" x14ac:dyDescent="0.2">
      <c r="F521" s="50"/>
      <c r="H521"/>
    </row>
    <row r="522" spans="6:8" hidden="1" x14ac:dyDescent="0.2">
      <c r="F522" s="50"/>
      <c r="H522" s="50"/>
    </row>
    <row r="523" spans="6:8" hidden="1" x14ac:dyDescent="0.2">
      <c r="F523" s="50"/>
      <c r="H523"/>
    </row>
    <row r="524" spans="6:8" hidden="1" x14ac:dyDescent="0.2">
      <c r="F524" s="50"/>
      <c r="H524" s="50"/>
    </row>
    <row r="525" spans="6:8" hidden="1" x14ac:dyDescent="0.2">
      <c r="F525" s="50"/>
      <c r="H525"/>
    </row>
    <row r="526" spans="6:8" hidden="1" x14ac:dyDescent="0.2">
      <c r="F526" s="50"/>
      <c r="H526"/>
    </row>
    <row r="527" spans="6:8" hidden="1" x14ac:dyDescent="0.2">
      <c r="F527" s="50"/>
      <c r="H527"/>
    </row>
    <row r="528" spans="6:8" hidden="1" x14ac:dyDescent="0.2">
      <c r="F528" s="50"/>
      <c r="H528"/>
    </row>
    <row r="529" spans="6:8" hidden="1" x14ac:dyDescent="0.2">
      <c r="F529" s="50"/>
      <c r="H529"/>
    </row>
    <row r="530" spans="6:8" hidden="1" x14ac:dyDescent="0.2">
      <c r="F530" s="50"/>
      <c r="H530"/>
    </row>
    <row r="531" spans="6:8" hidden="1" x14ac:dyDescent="0.2">
      <c r="F531" s="50"/>
      <c r="H531"/>
    </row>
    <row r="532" spans="6:8" hidden="1" x14ac:dyDescent="0.2">
      <c r="F532" s="50"/>
      <c r="H532"/>
    </row>
    <row r="533" spans="6:8" hidden="1" x14ac:dyDescent="0.2">
      <c r="F533" s="50"/>
      <c r="H533"/>
    </row>
    <row r="534" spans="6:8" hidden="1" x14ac:dyDescent="0.2">
      <c r="F534" s="50"/>
      <c r="H534"/>
    </row>
    <row r="535" spans="6:8" hidden="1" x14ac:dyDescent="0.2">
      <c r="F535" s="50"/>
      <c r="H535"/>
    </row>
    <row r="536" spans="6:8" hidden="1" x14ac:dyDescent="0.2">
      <c r="F536" s="50"/>
      <c r="H536"/>
    </row>
    <row r="537" spans="6:8" hidden="1" x14ac:dyDescent="0.2">
      <c r="F537" s="50"/>
      <c r="H537"/>
    </row>
    <row r="538" spans="6:8" hidden="1" x14ac:dyDescent="0.2">
      <c r="F538" s="50"/>
      <c r="H538" s="50"/>
    </row>
    <row r="539" spans="6:8" hidden="1" x14ac:dyDescent="0.2">
      <c r="F539" s="50"/>
      <c r="H539" s="50"/>
    </row>
    <row r="540" spans="6:8" hidden="1" x14ac:dyDescent="0.2">
      <c r="F540" s="50"/>
      <c r="H540" s="50"/>
    </row>
    <row r="541" spans="6:8" hidden="1" x14ac:dyDescent="0.2">
      <c r="F541" s="50"/>
      <c r="H541"/>
    </row>
    <row r="542" spans="6:8" hidden="1" x14ac:dyDescent="0.2">
      <c r="F542" s="50"/>
      <c r="H542"/>
    </row>
    <row r="543" spans="6:8" hidden="1" x14ac:dyDescent="0.2">
      <c r="F543" s="50"/>
      <c r="H543" s="50"/>
    </row>
    <row r="544" spans="6:8" hidden="1" x14ac:dyDescent="0.2">
      <c r="F544" s="50"/>
      <c r="H544"/>
    </row>
    <row r="545" spans="6:8" hidden="1" x14ac:dyDescent="0.2">
      <c r="F545" s="50"/>
      <c r="H545" s="50"/>
    </row>
    <row r="546" spans="6:8" hidden="1" x14ac:dyDescent="0.2">
      <c r="F546" s="50"/>
      <c r="H546"/>
    </row>
    <row r="547" spans="6:8" hidden="1" x14ac:dyDescent="0.2">
      <c r="H547"/>
    </row>
    <row r="548" spans="6:8" hidden="1" x14ac:dyDescent="0.2">
      <c r="H548"/>
    </row>
    <row r="549" spans="6:8" hidden="1" x14ac:dyDescent="0.2">
      <c r="F549" s="50"/>
      <c r="H549" s="50"/>
    </row>
    <row r="550" spans="6:8" hidden="1" x14ac:dyDescent="0.2">
      <c r="F550" s="50"/>
      <c r="H550" s="50"/>
    </row>
    <row r="551" spans="6:8" hidden="1" x14ac:dyDescent="0.2">
      <c r="F551" s="50"/>
      <c r="H551"/>
    </row>
    <row r="552" spans="6:8" hidden="1" x14ac:dyDescent="0.2">
      <c r="F552" s="50"/>
      <c r="H552" s="50"/>
    </row>
    <row r="553" spans="6:8" hidden="1" x14ac:dyDescent="0.2">
      <c r="F553" s="50"/>
      <c r="H553" s="50"/>
    </row>
    <row r="554" spans="6:8" hidden="1" x14ac:dyDescent="0.2">
      <c r="F554" s="50"/>
      <c r="H554"/>
    </row>
    <row r="555" spans="6:8" hidden="1" x14ac:dyDescent="0.2">
      <c r="F555" s="50"/>
      <c r="H555"/>
    </row>
    <row r="556" spans="6:8" hidden="1" x14ac:dyDescent="0.2">
      <c r="F556" s="50"/>
      <c r="H556"/>
    </row>
    <row r="557" spans="6:8" hidden="1" x14ac:dyDescent="0.2">
      <c r="F557" s="50"/>
      <c r="H557"/>
    </row>
    <row r="558" spans="6:8" hidden="1" x14ac:dyDescent="0.2">
      <c r="F558" s="50"/>
      <c r="H558"/>
    </row>
    <row r="559" spans="6:8" hidden="1" x14ac:dyDescent="0.2">
      <c r="F559" s="50"/>
      <c r="H559"/>
    </row>
    <row r="560" spans="6:8" hidden="1" x14ac:dyDescent="0.2">
      <c r="F560" s="50"/>
      <c r="H560"/>
    </row>
    <row r="561" spans="6:8" hidden="1" x14ac:dyDescent="0.2">
      <c r="F561" s="50"/>
      <c r="H561"/>
    </row>
    <row r="562" spans="6:8" hidden="1" x14ac:dyDescent="0.2">
      <c r="F562" s="50"/>
      <c r="H562"/>
    </row>
    <row r="563" spans="6:8" hidden="1" x14ac:dyDescent="0.2">
      <c r="F563" s="50"/>
      <c r="H563"/>
    </row>
    <row r="564" spans="6:8" hidden="1" x14ac:dyDescent="0.2">
      <c r="F564" s="50"/>
      <c r="H564"/>
    </row>
    <row r="565" spans="6:8" hidden="1" x14ac:dyDescent="0.2">
      <c r="F565" s="50"/>
      <c r="H565"/>
    </row>
    <row r="566" spans="6:8" hidden="1" x14ac:dyDescent="0.2">
      <c r="F566" s="50"/>
      <c r="H566"/>
    </row>
    <row r="567" spans="6:8" hidden="1" x14ac:dyDescent="0.2">
      <c r="F567" s="50"/>
      <c r="H567"/>
    </row>
    <row r="568" spans="6:8" hidden="1" x14ac:dyDescent="0.2">
      <c r="F568" s="50"/>
      <c r="H568"/>
    </row>
    <row r="569" spans="6:8" hidden="1" x14ac:dyDescent="0.2">
      <c r="F569" s="50"/>
      <c r="H569"/>
    </row>
    <row r="570" spans="6:8" hidden="1" x14ac:dyDescent="0.2">
      <c r="F570" s="50"/>
      <c r="H570"/>
    </row>
    <row r="571" spans="6:8" hidden="1" x14ac:dyDescent="0.2">
      <c r="F571" s="50"/>
      <c r="H571"/>
    </row>
    <row r="572" spans="6:8" hidden="1" x14ac:dyDescent="0.2">
      <c r="F572" s="50"/>
      <c r="H572"/>
    </row>
    <row r="573" spans="6:8" hidden="1" x14ac:dyDescent="0.2">
      <c r="F573" s="50"/>
      <c r="H573"/>
    </row>
    <row r="574" spans="6:8" hidden="1" x14ac:dyDescent="0.2">
      <c r="F574" s="50"/>
      <c r="H574"/>
    </row>
    <row r="575" spans="6:8" hidden="1" x14ac:dyDescent="0.2">
      <c r="F575" s="50"/>
      <c r="H575"/>
    </row>
    <row r="576" spans="6:8" hidden="1" x14ac:dyDescent="0.2">
      <c r="F576" s="50"/>
      <c r="H576"/>
    </row>
    <row r="577" spans="6:8" hidden="1" x14ac:dyDescent="0.2">
      <c r="F577" s="50"/>
      <c r="H577"/>
    </row>
    <row r="578" spans="6:8" hidden="1" x14ac:dyDescent="0.2">
      <c r="F578" s="50"/>
      <c r="H578"/>
    </row>
    <row r="579" spans="6:8" hidden="1" x14ac:dyDescent="0.2">
      <c r="F579" s="50"/>
      <c r="H579"/>
    </row>
    <row r="580" spans="6:8" hidden="1" x14ac:dyDescent="0.2">
      <c r="F580" s="50"/>
      <c r="H580"/>
    </row>
    <row r="581" spans="6:8" hidden="1" x14ac:dyDescent="0.2">
      <c r="F581" s="50"/>
      <c r="H581"/>
    </row>
    <row r="582" spans="6:8" hidden="1" x14ac:dyDescent="0.2">
      <c r="F582" s="50"/>
      <c r="H582"/>
    </row>
    <row r="583" spans="6:8" hidden="1" x14ac:dyDescent="0.2">
      <c r="F583" s="50"/>
      <c r="H583"/>
    </row>
    <row r="584" spans="6:8" hidden="1" x14ac:dyDescent="0.2">
      <c r="F584" s="50"/>
      <c r="H584" s="50"/>
    </row>
    <row r="585" spans="6:8" hidden="1" x14ac:dyDescent="0.2">
      <c r="F585" s="50"/>
      <c r="H585"/>
    </row>
    <row r="586" spans="6:8" hidden="1" x14ac:dyDescent="0.2">
      <c r="F586" s="50"/>
      <c r="H586"/>
    </row>
    <row r="587" spans="6:8" hidden="1" x14ac:dyDescent="0.2">
      <c r="F587" s="50"/>
      <c r="H587" s="50"/>
    </row>
    <row r="588" spans="6:8" hidden="1" x14ac:dyDescent="0.2">
      <c r="F588" s="50"/>
      <c r="H588"/>
    </row>
    <row r="589" spans="6:8" hidden="1" x14ac:dyDescent="0.2">
      <c r="F589" s="50"/>
      <c r="H589"/>
    </row>
    <row r="590" spans="6:8" hidden="1" x14ac:dyDescent="0.2">
      <c r="F590" s="50"/>
      <c r="H590" s="50"/>
    </row>
    <row r="591" spans="6:8" hidden="1" x14ac:dyDescent="0.2">
      <c r="F591" s="50"/>
      <c r="H591"/>
    </row>
    <row r="592" spans="6:8" hidden="1" x14ac:dyDescent="0.2">
      <c r="F592" s="50"/>
      <c r="H592"/>
    </row>
    <row r="593" spans="6:8" hidden="1" x14ac:dyDescent="0.2">
      <c r="F593" s="50"/>
      <c r="H593"/>
    </row>
    <row r="594" spans="6:8" hidden="1" x14ac:dyDescent="0.2">
      <c r="F594" s="50"/>
      <c r="H594"/>
    </row>
    <row r="595" spans="6:8" hidden="1" x14ac:dyDescent="0.2">
      <c r="F595" s="50"/>
      <c r="H595"/>
    </row>
    <row r="596" spans="6:8" hidden="1" x14ac:dyDescent="0.2">
      <c r="F596" s="50"/>
      <c r="H596"/>
    </row>
    <row r="597" spans="6:8" hidden="1" x14ac:dyDescent="0.2">
      <c r="F597" s="50"/>
      <c r="H597"/>
    </row>
    <row r="598" spans="6:8" hidden="1" x14ac:dyDescent="0.2">
      <c r="F598" s="50"/>
      <c r="H598"/>
    </row>
    <row r="599" spans="6:8" hidden="1" x14ac:dyDescent="0.2">
      <c r="F599" s="50"/>
      <c r="H599"/>
    </row>
    <row r="600" spans="6:8" hidden="1" x14ac:dyDescent="0.2">
      <c r="F600" s="50"/>
      <c r="H600"/>
    </row>
    <row r="601" spans="6:8" hidden="1" x14ac:dyDescent="0.2">
      <c r="F601" s="50"/>
      <c r="H601"/>
    </row>
    <row r="602" spans="6:8" hidden="1" x14ac:dyDescent="0.2">
      <c r="F602" s="50"/>
      <c r="H602" s="50"/>
    </row>
    <row r="603" spans="6:8" hidden="1" x14ac:dyDescent="0.2">
      <c r="F603" s="50"/>
      <c r="H603"/>
    </row>
    <row r="604" spans="6:8" hidden="1" x14ac:dyDescent="0.2">
      <c r="F604" s="50"/>
      <c r="H604"/>
    </row>
    <row r="605" spans="6:8" hidden="1" x14ac:dyDescent="0.2">
      <c r="F605" s="50"/>
      <c r="H605"/>
    </row>
    <row r="606" spans="6:8" hidden="1" x14ac:dyDescent="0.2">
      <c r="F606" s="50"/>
      <c r="H606"/>
    </row>
    <row r="607" spans="6:8" hidden="1" x14ac:dyDescent="0.2">
      <c r="F607" s="50"/>
      <c r="H607"/>
    </row>
    <row r="608" spans="6:8" hidden="1" x14ac:dyDescent="0.2">
      <c r="F608" s="50"/>
      <c r="H608"/>
    </row>
    <row r="609" spans="6:8" hidden="1" x14ac:dyDescent="0.2">
      <c r="F609" s="50"/>
      <c r="H609"/>
    </row>
    <row r="610" spans="6:8" hidden="1" x14ac:dyDescent="0.2">
      <c r="F610" s="50"/>
      <c r="H610"/>
    </row>
    <row r="611" spans="6:8" hidden="1" x14ac:dyDescent="0.2">
      <c r="F611" s="50"/>
      <c r="H611"/>
    </row>
    <row r="612" spans="6:8" hidden="1" x14ac:dyDescent="0.2">
      <c r="F612" s="50"/>
      <c r="H612" s="50"/>
    </row>
    <row r="613" spans="6:8" hidden="1" x14ac:dyDescent="0.2">
      <c r="F613" s="50"/>
      <c r="H613"/>
    </row>
    <row r="614" spans="6:8" hidden="1" x14ac:dyDescent="0.2">
      <c r="F614" s="50"/>
      <c r="H614"/>
    </row>
    <row r="615" spans="6:8" hidden="1" x14ac:dyDescent="0.2">
      <c r="F615" s="50"/>
      <c r="H615"/>
    </row>
    <row r="616" spans="6:8" hidden="1" x14ac:dyDescent="0.2">
      <c r="F616" s="50"/>
      <c r="H616"/>
    </row>
    <row r="617" spans="6:8" hidden="1" x14ac:dyDescent="0.2">
      <c r="F617" s="50"/>
      <c r="H617"/>
    </row>
    <row r="618" spans="6:8" hidden="1" x14ac:dyDescent="0.2">
      <c r="F618" s="50"/>
      <c r="H618" s="50"/>
    </row>
    <row r="619" spans="6:8" hidden="1" x14ac:dyDescent="0.2">
      <c r="F619" s="50"/>
      <c r="H619"/>
    </row>
    <row r="620" spans="6:8" hidden="1" x14ac:dyDescent="0.2">
      <c r="F620" s="50"/>
      <c r="H620"/>
    </row>
    <row r="621" spans="6:8" hidden="1" x14ac:dyDescent="0.2">
      <c r="F621" s="50"/>
      <c r="H621"/>
    </row>
    <row r="622" spans="6:8" hidden="1" x14ac:dyDescent="0.2">
      <c r="F622" s="50"/>
      <c r="H622" s="50"/>
    </row>
    <row r="623" spans="6:8" hidden="1" x14ac:dyDescent="0.2">
      <c r="F623" s="50"/>
      <c r="H623"/>
    </row>
    <row r="624" spans="6:8" hidden="1" x14ac:dyDescent="0.2">
      <c r="F624" s="50"/>
      <c r="H624"/>
    </row>
    <row r="625" spans="6:8" hidden="1" x14ac:dyDescent="0.2">
      <c r="F625" s="50"/>
      <c r="H625" s="50"/>
    </row>
    <row r="626" spans="6:8" hidden="1" x14ac:dyDescent="0.2">
      <c r="F626" s="50"/>
      <c r="H626" s="50"/>
    </row>
    <row r="627" spans="6:8" hidden="1" x14ac:dyDescent="0.2">
      <c r="F627" s="50"/>
      <c r="H627" s="50"/>
    </row>
    <row r="628" spans="6:8" hidden="1" x14ac:dyDescent="0.2">
      <c r="F628" s="50"/>
      <c r="H628" s="50"/>
    </row>
    <row r="629" spans="6:8" hidden="1" x14ac:dyDescent="0.2">
      <c r="F629" s="50"/>
      <c r="H629" s="50"/>
    </row>
    <row r="630" spans="6:8" hidden="1" x14ac:dyDescent="0.2">
      <c r="F630" s="50"/>
      <c r="H630" s="50"/>
    </row>
    <row r="631" spans="6:8" hidden="1" x14ac:dyDescent="0.2">
      <c r="F631" s="50"/>
      <c r="H631"/>
    </row>
    <row r="632" spans="6:8" hidden="1" x14ac:dyDescent="0.2">
      <c r="F632" s="50"/>
      <c r="H632" s="50"/>
    </row>
    <row r="633" spans="6:8" hidden="1" x14ac:dyDescent="0.2">
      <c r="F633" s="50"/>
      <c r="H633"/>
    </row>
    <row r="634" spans="6:8" hidden="1" x14ac:dyDescent="0.2">
      <c r="F634" s="50"/>
      <c r="H634" s="50"/>
    </row>
    <row r="635" spans="6:8" hidden="1" x14ac:dyDescent="0.2">
      <c r="F635" s="50"/>
      <c r="H635"/>
    </row>
    <row r="636" spans="6:8" hidden="1" x14ac:dyDescent="0.2">
      <c r="F636" s="50"/>
      <c r="H636" s="50"/>
    </row>
    <row r="637" spans="6:8" hidden="1" x14ac:dyDescent="0.2">
      <c r="F637" s="50"/>
      <c r="H637"/>
    </row>
    <row r="638" spans="6:8" hidden="1" x14ac:dyDescent="0.2">
      <c r="F638" s="50"/>
      <c r="H638"/>
    </row>
    <row r="639" spans="6:8" hidden="1" x14ac:dyDescent="0.2">
      <c r="F639" s="50"/>
      <c r="H639"/>
    </row>
    <row r="640" spans="6:8" hidden="1" x14ac:dyDescent="0.2">
      <c r="F640" s="50"/>
      <c r="H640"/>
    </row>
    <row r="641" spans="6:8" hidden="1" x14ac:dyDescent="0.2">
      <c r="F641" s="50"/>
      <c r="H641"/>
    </row>
    <row r="642" spans="6:8" hidden="1" x14ac:dyDescent="0.2">
      <c r="F642" s="50"/>
      <c r="H642"/>
    </row>
    <row r="643" spans="6:8" hidden="1" x14ac:dyDescent="0.2">
      <c r="F643" s="50"/>
      <c r="H643"/>
    </row>
    <row r="644" spans="6:8" hidden="1" x14ac:dyDescent="0.2">
      <c r="F644" s="50"/>
      <c r="H644"/>
    </row>
    <row r="645" spans="6:8" hidden="1" x14ac:dyDescent="0.2">
      <c r="H645"/>
    </row>
    <row r="646" spans="6:8" hidden="1" x14ac:dyDescent="0.2">
      <c r="H646"/>
    </row>
    <row r="647" spans="6:8" hidden="1" x14ac:dyDescent="0.2">
      <c r="F647" s="50"/>
      <c r="H647"/>
    </row>
    <row r="648" spans="6:8" hidden="1" x14ac:dyDescent="0.2">
      <c r="F648" s="50"/>
      <c r="H648" s="50"/>
    </row>
    <row r="649" spans="6:8" hidden="1" x14ac:dyDescent="0.2">
      <c r="F649" s="50"/>
      <c r="H649"/>
    </row>
    <row r="650" spans="6:8" hidden="1" x14ac:dyDescent="0.2">
      <c r="F650" s="50"/>
      <c r="H650"/>
    </row>
    <row r="651" spans="6:8" hidden="1" x14ac:dyDescent="0.2">
      <c r="F651" s="50"/>
      <c r="H651"/>
    </row>
    <row r="652" spans="6:8" hidden="1" x14ac:dyDescent="0.2">
      <c r="F652" s="50"/>
      <c r="H652"/>
    </row>
    <row r="653" spans="6:8" hidden="1" x14ac:dyDescent="0.2">
      <c r="F653" s="50"/>
      <c r="H653"/>
    </row>
    <row r="654" spans="6:8" hidden="1" x14ac:dyDescent="0.2">
      <c r="F654" s="50"/>
      <c r="H654" s="50"/>
    </row>
    <row r="655" spans="6:8" hidden="1" x14ac:dyDescent="0.2">
      <c r="F655" s="50"/>
      <c r="H655"/>
    </row>
    <row r="656" spans="6:8" hidden="1" x14ac:dyDescent="0.2">
      <c r="F656" s="50"/>
      <c r="H656"/>
    </row>
    <row r="657" spans="6:8" hidden="1" x14ac:dyDescent="0.2">
      <c r="F657" s="50"/>
      <c r="H657"/>
    </row>
    <row r="658" spans="6:8" hidden="1" x14ac:dyDescent="0.2">
      <c r="F658" s="50"/>
      <c r="H658" s="50"/>
    </row>
    <row r="659" spans="6:8" hidden="1" x14ac:dyDescent="0.2">
      <c r="H659"/>
    </row>
    <row r="660" spans="6:8" hidden="1" x14ac:dyDescent="0.2">
      <c r="F660" s="50"/>
      <c r="H660"/>
    </row>
    <row r="661" spans="6:8" hidden="1" x14ac:dyDescent="0.2">
      <c r="F661" s="50"/>
      <c r="H661"/>
    </row>
    <row r="662" spans="6:8" hidden="1" x14ac:dyDescent="0.2">
      <c r="F662" s="50"/>
      <c r="H662"/>
    </row>
    <row r="663" spans="6:8" hidden="1" x14ac:dyDescent="0.2">
      <c r="F663" s="50"/>
      <c r="H663" s="50"/>
    </row>
    <row r="664" spans="6:8" hidden="1" x14ac:dyDescent="0.2">
      <c r="F664" s="50"/>
      <c r="H664"/>
    </row>
    <row r="665" spans="6:8" hidden="1" x14ac:dyDescent="0.2">
      <c r="F665" s="50"/>
      <c r="H665"/>
    </row>
    <row r="666" spans="6:8" hidden="1" x14ac:dyDescent="0.2">
      <c r="F666" s="50"/>
      <c r="H666" s="50"/>
    </row>
    <row r="667" spans="6:8" hidden="1" x14ac:dyDescent="0.2">
      <c r="F667" s="50"/>
      <c r="H667"/>
    </row>
    <row r="668" spans="6:8" hidden="1" x14ac:dyDescent="0.2">
      <c r="F668" s="50"/>
      <c r="H668"/>
    </row>
    <row r="669" spans="6:8" hidden="1" x14ac:dyDescent="0.2">
      <c r="F669" s="50"/>
      <c r="H669" s="50"/>
    </row>
    <row r="670" spans="6:8" hidden="1" x14ac:dyDescent="0.2">
      <c r="F670" s="50"/>
      <c r="H670"/>
    </row>
    <row r="671" spans="6:8" hidden="1" x14ac:dyDescent="0.2">
      <c r="F671" s="50"/>
      <c r="H671"/>
    </row>
    <row r="672" spans="6:8" hidden="1" x14ac:dyDescent="0.2">
      <c r="F672" s="50"/>
      <c r="H672" s="50"/>
    </row>
    <row r="673" spans="6:8" hidden="1" x14ac:dyDescent="0.2">
      <c r="F673" s="50"/>
      <c r="H673"/>
    </row>
    <row r="674" spans="6:8" hidden="1" x14ac:dyDescent="0.2">
      <c r="F674" s="50"/>
      <c r="H674" s="50"/>
    </row>
    <row r="675" spans="6:8" hidden="1" x14ac:dyDescent="0.2">
      <c r="F675" s="50"/>
      <c r="H675" s="50"/>
    </row>
    <row r="676" spans="6:8" hidden="1" x14ac:dyDescent="0.2">
      <c r="F676" s="50"/>
      <c r="H676"/>
    </row>
    <row r="677" spans="6:8" hidden="1" x14ac:dyDescent="0.2">
      <c r="F677" s="50"/>
      <c r="H677"/>
    </row>
    <row r="678" spans="6:8" hidden="1" x14ac:dyDescent="0.2">
      <c r="F678" s="50"/>
      <c r="H678"/>
    </row>
    <row r="679" spans="6:8" hidden="1" x14ac:dyDescent="0.2">
      <c r="F679" s="50"/>
      <c r="H679" s="50"/>
    </row>
    <row r="680" spans="6:8" hidden="1" x14ac:dyDescent="0.2">
      <c r="F680" s="50"/>
      <c r="H680" s="50"/>
    </row>
    <row r="681" spans="6:8" hidden="1" x14ac:dyDescent="0.2">
      <c r="F681" s="50"/>
      <c r="H681"/>
    </row>
    <row r="682" spans="6:8" hidden="1" x14ac:dyDescent="0.2">
      <c r="F682" s="50"/>
      <c r="H682"/>
    </row>
    <row r="683" spans="6:8" hidden="1" x14ac:dyDescent="0.2">
      <c r="F683" s="50"/>
      <c r="H683" s="50"/>
    </row>
    <row r="684" spans="6:8" hidden="1" x14ac:dyDescent="0.2">
      <c r="F684" s="50"/>
      <c r="H684"/>
    </row>
    <row r="685" spans="6:8" hidden="1" x14ac:dyDescent="0.2">
      <c r="F685" s="50"/>
      <c r="H685"/>
    </row>
    <row r="686" spans="6:8" hidden="1" x14ac:dyDescent="0.2">
      <c r="F686" s="50"/>
      <c r="H686"/>
    </row>
    <row r="687" spans="6:8" hidden="1" x14ac:dyDescent="0.2">
      <c r="F687" s="50"/>
      <c r="H687"/>
    </row>
    <row r="688" spans="6:8" hidden="1" x14ac:dyDescent="0.2">
      <c r="F688" s="50"/>
      <c r="H688"/>
    </row>
    <row r="689" spans="6:8" hidden="1" x14ac:dyDescent="0.2">
      <c r="F689" s="50"/>
      <c r="H689"/>
    </row>
    <row r="690" spans="6:8" hidden="1" x14ac:dyDescent="0.2">
      <c r="F690" s="50"/>
      <c r="H690" s="50"/>
    </row>
    <row r="691" spans="6:8" hidden="1" x14ac:dyDescent="0.2">
      <c r="F691" s="50"/>
      <c r="H691"/>
    </row>
    <row r="692" spans="6:8" hidden="1" x14ac:dyDescent="0.2">
      <c r="F692" s="50"/>
      <c r="H692"/>
    </row>
    <row r="693" spans="6:8" hidden="1" x14ac:dyDescent="0.2">
      <c r="F693" s="50"/>
      <c r="H693"/>
    </row>
    <row r="694" spans="6:8" hidden="1" x14ac:dyDescent="0.2">
      <c r="F694" s="50"/>
      <c r="H694" s="50"/>
    </row>
    <row r="695" spans="6:8" hidden="1" x14ac:dyDescent="0.2">
      <c r="F695" s="50"/>
      <c r="H695" s="50"/>
    </row>
    <row r="696" spans="6:8" hidden="1" x14ac:dyDescent="0.2">
      <c r="F696" s="50"/>
      <c r="H696"/>
    </row>
    <row r="697" spans="6:8" hidden="1" x14ac:dyDescent="0.2">
      <c r="F697" s="50"/>
      <c r="H697"/>
    </row>
    <row r="698" spans="6:8" hidden="1" x14ac:dyDescent="0.2">
      <c r="F698" s="50"/>
      <c r="H698"/>
    </row>
    <row r="699" spans="6:8" hidden="1" x14ac:dyDescent="0.2">
      <c r="F699" s="50"/>
      <c r="H699" s="50"/>
    </row>
    <row r="700" spans="6:8" hidden="1" x14ac:dyDescent="0.2">
      <c r="F700" s="50"/>
      <c r="H700"/>
    </row>
    <row r="701" spans="6:8" hidden="1" x14ac:dyDescent="0.2">
      <c r="F701" s="50"/>
      <c r="H701" s="50"/>
    </row>
    <row r="702" spans="6:8" hidden="1" x14ac:dyDescent="0.2">
      <c r="F702" s="50"/>
      <c r="H702" s="50"/>
    </row>
    <row r="703" spans="6:8" hidden="1" x14ac:dyDescent="0.2">
      <c r="F703" s="50"/>
      <c r="H703" s="50"/>
    </row>
    <row r="704" spans="6:8" hidden="1" x14ac:dyDescent="0.2">
      <c r="F704" s="50"/>
      <c r="H704"/>
    </row>
    <row r="705" spans="6:8" hidden="1" x14ac:dyDescent="0.2">
      <c r="F705" s="50"/>
      <c r="H705" s="50"/>
    </row>
    <row r="706" spans="6:8" hidden="1" x14ac:dyDescent="0.2">
      <c r="F706" s="50"/>
      <c r="H706" s="50"/>
    </row>
    <row r="707" spans="6:8" hidden="1" x14ac:dyDescent="0.2">
      <c r="F707" s="50"/>
      <c r="H707" s="50"/>
    </row>
    <row r="708" spans="6:8" hidden="1" x14ac:dyDescent="0.2">
      <c r="F708" s="50"/>
      <c r="H708" s="50"/>
    </row>
    <row r="709" spans="6:8" hidden="1" x14ac:dyDescent="0.2">
      <c r="F709" s="50"/>
      <c r="H709"/>
    </row>
    <row r="710" spans="6:8" hidden="1" x14ac:dyDescent="0.2">
      <c r="F710" s="50"/>
      <c r="H710"/>
    </row>
    <row r="711" spans="6:8" hidden="1" x14ac:dyDescent="0.2">
      <c r="F711" s="50"/>
      <c r="H711"/>
    </row>
    <row r="712" spans="6:8" hidden="1" x14ac:dyDescent="0.2">
      <c r="F712" s="50"/>
      <c r="H712"/>
    </row>
    <row r="713" spans="6:8" hidden="1" x14ac:dyDescent="0.2">
      <c r="F713" s="50"/>
      <c r="H713"/>
    </row>
    <row r="714" spans="6:8" hidden="1" x14ac:dyDescent="0.2">
      <c r="F714" s="50"/>
      <c r="H714"/>
    </row>
    <row r="715" spans="6:8" hidden="1" x14ac:dyDescent="0.2">
      <c r="F715" s="50"/>
      <c r="H715"/>
    </row>
    <row r="716" spans="6:8" hidden="1" x14ac:dyDescent="0.2">
      <c r="F716" s="50"/>
      <c r="H716"/>
    </row>
    <row r="717" spans="6:8" hidden="1" x14ac:dyDescent="0.2">
      <c r="F717" s="50"/>
      <c r="H717"/>
    </row>
    <row r="718" spans="6:8" hidden="1" x14ac:dyDescent="0.2">
      <c r="F718" s="50"/>
      <c r="H718" s="50"/>
    </row>
    <row r="719" spans="6:8" hidden="1" x14ac:dyDescent="0.2">
      <c r="F719" s="50"/>
      <c r="H719" s="50"/>
    </row>
    <row r="720" spans="6:8" hidden="1" x14ac:dyDescent="0.2">
      <c r="F720" s="50"/>
      <c r="H720"/>
    </row>
    <row r="721" spans="6:8" hidden="1" x14ac:dyDescent="0.2">
      <c r="F721" s="50"/>
      <c r="H721"/>
    </row>
    <row r="722" spans="6:8" hidden="1" x14ac:dyDescent="0.2">
      <c r="F722" s="50"/>
      <c r="H722"/>
    </row>
    <row r="723" spans="6:8" hidden="1" x14ac:dyDescent="0.2">
      <c r="F723" s="50"/>
      <c r="H723"/>
    </row>
    <row r="724" spans="6:8" hidden="1" x14ac:dyDescent="0.2">
      <c r="F724" s="50"/>
      <c r="H724"/>
    </row>
    <row r="725" spans="6:8" hidden="1" x14ac:dyDescent="0.2">
      <c r="F725" s="50"/>
      <c r="H725" s="50"/>
    </row>
    <row r="726" spans="6:8" hidden="1" x14ac:dyDescent="0.2">
      <c r="F726" s="50"/>
      <c r="H726"/>
    </row>
    <row r="727" spans="6:8" hidden="1" x14ac:dyDescent="0.2">
      <c r="H727"/>
    </row>
    <row r="728" spans="6:8" hidden="1" x14ac:dyDescent="0.2">
      <c r="F728" s="50"/>
      <c r="H728"/>
    </row>
    <row r="729" spans="6:8" hidden="1" x14ac:dyDescent="0.2">
      <c r="H729"/>
    </row>
    <row r="730" spans="6:8" hidden="1" x14ac:dyDescent="0.2">
      <c r="F730" s="50"/>
      <c r="H730" s="50"/>
    </row>
    <row r="731" spans="6:8" hidden="1" x14ac:dyDescent="0.2">
      <c r="F731" s="50"/>
      <c r="H731" s="50"/>
    </row>
    <row r="732" spans="6:8" hidden="1" x14ac:dyDescent="0.2">
      <c r="F732" s="50"/>
      <c r="H732" s="50"/>
    </row>
    <row r="733" spans="6:8" hidden="1" x14ac:dyDescent="0.2">
      <c r="F733" s="50"/>
      <c r="H733" s="50"/>
    </row>
    <row r="734" spans="6:8" hidden="1" x14ac:dyDescent="0.2">
      <c r="F734" s="50"/>
      <c r="H734"/>
    </row>
    <row r="735" spans="6:8" hidden="1" x14ac:dyDescent="0.2">
      <c r="F735" s="50"/>
      <c r="H735"/>
    </row>
    <row r="736" spans="6:8" hidden="1" x14ac:dyDescent="0.2">
      <c r="F736" s="50"/>
      <c r="H736"/>
    </row>
    <row r="737" spans="6:8" hidden="1" x14ac:dyDescent="0.2">
      <c r="F737" s="50"/>
      <c r="H737"/>
    </row>
    <row r="738" spans="6:8" hidden="1" x14ac:dyDescent="0.2">
      <c r="F738" s="50"/>
      <c r="H738" s="50"/>
    </row>
    <row r="739" spans="6:8" hidden="1" x14ac:dyDescent="0.2">
      <c r="F739" s="50"/>
      <c r="H739"/>
    </row>
    <row r="740" spans="6:8" hidden="1" x14ac:dyDescent="0.2">
      <c r="F740" s="50"/>
      <c r="H740" s="50"/>
    </row>
    <row r="741" spans="6:8" hidden="1" x14ac:dyDescent="0.2">
      <c r="F741" s="50"/>
      <c r="H741" s="50"/>
    </row>
    <row r="742" spans="6:8" hidden="1" x14ac:dyDescent="0.2">
      <c r="F742" s="50"/>
      <c r="H742"/>
    </row>
    <row r="743" spans="6:8" hidden="1" x14ac:dyDescent="0.2">
      <c r="F743" s="50"/>
      <c r="H743"/>
    </row>
    <row r="744" spans="6:8" hidden="1" x14ac:dyDescent="0.2">
      <c r="F744" s="50"/>
      <c r="H744"/>
    </row>
    <row r="745" spans="6:8" hidden="1" x14ac:dyDescent="0.2">
      <c r="F745" s="50"/>
      <c r="H745"/>
    </row>
    <row r="746" spans="6:8" hidden="1" x14ac:dyDescent="0.2">
      <c r="F746" s="50"/>
      <c r="H746"/>
    </row>
    <row r="747" spans="6:8" hidden="1" x14ac:dyDescent="0.2">
      <c r="F747" s="50"/>
      <c r="H747"/>
    </row>
    <row r="748" spans="6:8" hidden="1" x14ac:dyDescent="0.2">
      <c r="F748" s="50"/>
      <c r="H748"/>
    </row>
    <row r="749" spans="6:8" ht="15" hidden="1" x14ac:dyDescent="0.25">
      <c r="F749" s="50"/>
      <c r="H749" s="61"/>
    </row>
    <row r="750" spans="6:8" hidden="1" x14ac:dyDescent="0.2">
      <c r="F750" s="50"/>
      <c r="H750"/>
    </row>
    <row r="751" spans="6:8" hidden="1" x14ac:dyDescent="0.2">
      <c r="F751" s="50"/>
      <c r="H751"/>
    </row>
    <row r="752" spans="6:8" hidden="1" x14ac:dyDescent="0.2">
      <c r="F752" s="50"/>
      <c r="H752"/>
    </row>
    <row r="753" spans="6:8" hidden="1" x14ac:dyDescent="0.2">
      <c r="F753" s="50"/>
      <c r="H753"/>
    </row>
    <row r="754" spans="6:8" hidden="1" x14ac:dyDescent="0.2">
      <c r="F754" s="50"/>
      <c r="H754" s="50"/>
    </row>
    <row r="755" spans="6:8" hidden="1" x14ac:dyDescent="0.2">
      <c r="F755" s="50"/>
      <c r="H755"/>
    </row>
    <row r="756" spans="6:8" hidden="1" x14ac:dyDescent="0.2">
      <c r="F756" s="50"/>
      <c r="H756"/>
    </row>
    <row r="757" spans="6:8" hidden="1" x14ac:dyDescent="0.2">
      <c r="F757" s="50"/>
      <c r="H757" s="50"/>
    </row>
    <row r="758" spans="6:8" hidden="1" x14ac:dyDescent="0.2">
      <c r="F758" s="50"/>
      <c r="H758"/>
    </row>
    <row r="759" spans="6:8" hidden="1" x14ac:dyDescent="0.2">
      <c r="F759" s="50"/>
      <c r="H759"/>
    </row>
    <row r="760" spans="6:8" hidden="1" x14ac:dyDescent="0.2">
      <c r="F760" s="50"/>
      <c r="H760"/>
    </row>
    <row r="761" spans="6:8" hidden="1" x14ac:dyDescent="0.2">
      <c r="F761" s="50"/>
      <c r="H761"/>
    </row>
    <row r="762" spans="6:8" hidden="1" x14ac:dyDescent="0.2">
      <c r="F762" s="50"/>
      <c r="H762"/>
    </row>
    <row r="763" spans="6:8" hidden="1" x14ac:dyDescent="0.2">
      <c r="F763" s="50"/>
      <c r="H763"/>
    </row>
    <row r="764" spans="6:8" hidden="1" x14ac:dyDescent="0.2">
      <c r="F764" s="50"/>
      <c r="H764"/>
    </row>
    <row r="765" spans="6:8" hidden="1" x14ac:dyDescent="0.2">
      <c r="F765" s="50"/>
      <c r="H765" s="50"/>
    </row>
    <row r="766" spans="6:8" hidden="1" x14ac:dyDescent="0.2">
      <c r="F766" s="50"/>
      <c r="H766" s="50"/>
    </row>
    <row r="767" spans="6:8" hidden="1" x14ac:dyDescent="0.2">
      <c r="F767" s="50"/>
      <c r="H767" s="50"/>
    </row>
    <row r="768" spans="6:8" hidden="1" x14ac:dyDescent="0.2">
      <c r="F768" s="50"/>
      <c r="H768"/>
    </row>
    <row r="769" spans="6:8" hidden="1" x14ac:dyDescent="0.2">
      <c r="F769" s="50"/>
      <c r="H769"/>
    </row>
    <row r="770" spans="6:8" hidden="1" x14ac:dyDescent="0.2">
      <c r="F770" s="50"/>
      <c r="H770"/>
    </row>
    <row r="771" spans="6:8" hidden="1" x14ac:dyDescent="0.2">
      <c r="F771" s="50"/>
      <c r="H771"/>
    </row>
    <row r="772" spans="6:8" hidden="1" x14ac:dyDescent="0.2">
      <c r="F772" s="50"/>
      <c r="H772" s="50"/>
    </row>
    <row r="773" spans="6:8" hidden="1" x14ac:dyDescent="0.2">
      <c r="F773" s="50"/>
      <c r="H773" s="50"/>
    </row>
    <row r="774" spans="6:8" hidden="1" x14ac:dyDescent="0.2">
      <c r="F774" s="50"/>
      <c r="H774"/>
    </row>
    <row r="775" spans="6:8" hidden="1" x14ac:dyDescent="0.2">
      <c r="F775" s="50"/>
      <c r="H775"/>
    </row>
    <row r="776" spans="6:8" hidden="1" x14ac:dyDescent="0.2">
      <c r="F776" s="50"/>
      <c r="H776"/>
    </row>
    <row r="777" spans="6:8" hidden="1" x14ac:dyDescent="0.2">
      <c r="F777" s="50"/>
      <c r="H777"/>
    </row>
    <row r="778" spans="6:8" hidden="1" x14ac:dyDescent="0.2">
      <c r="F778" s="50"/>
      <c r="H778"/>
    </row>
    <row r="779" spans="6:8" hidden="1" x14ac:dyDescent="0.2">
      <c r="F779" s="50"/>
      <c r="H779"/>
    </row>
    <row r="780" spans="6:8" hidden="1" x14ac:dyDescent="0.2">
      <c r="F780" s="50"/>
      <c r="H780"/>
    </row>
    <row r="781" spans="6:8" hidden="1" x14ac:dyDescent="0.2">
      <c r="F781" s="50"/>
      <c r="H781"/>
    </row>
    <row r="782" spans="6:8" hidden="1" x14ac:dyDescent="0.2">
      <c r="F782" s="50"/>
      <c r="H782"/>
    </row>
    <row r="783" spans="6:8" hidden="1" x14ac:dyDescent="0.2">
      <c r="F783" s="50"/>
      <c r="H783"/>
    </row>
    <row r="784" spans="6:8" hidden="1" x14ac:dyDescent="0.2">
      <c r="F784" s="50"/>
      <c r="H784"/>
    </row>
    <row r="785" spans="6:8" hidden="1" x14ac:dyDescent="0.2">
      <c r="F785" s="50"/>
      <c r="H785"/>
    </row>
    <row r="786" spans="6:8" hidden="1" x14ac:dyDescent="0.2">
      <c r="F786" s="50"/>
      <c r="H786"/>
    </row>
    <row r="787" spans="6:8" hidden="1" x14ac:dyDescent="0.2">
      <c r="F787" s="50"/>
      <c r="H787"/>
    </row>
    <row r="788" spans="6:8" hidden="1" x14ac:dyDescent="0.2">
      <c r="F788" s="50"/>
      <c r="H788" s="50"/>
    </row>
    <row r="789" spans="6:8" hidden="1" x14ac:dyDescent="0.2">
      <c r="F789" s="50"/>
      <c r="H789"/>
    </row>
    <row r="790" spans="6:8" hidden="1" x14ac:dyDescent="0.2">
      <c r="F790" s="50"/>
      <c r="H790"/>
    </row>
    <row r="791" spans="6:8" hidden="1" x14ac:dyDescent="0.2">
      <c r="F791" s="50"/>
      <c r="H791"/>
    </row>
    <row r="792" spans="6:8" hidden="1" x14ac:dyDescent="0.2">
      <c r="H792"/>
    </row>
    <row r="793" spans="6:8" hidden="1" x14ac:dyDescent="0.2">
      <c r="F793" s="50"/>
      <c r="H793"/>
    </row>
    <row r="794" spans="6:8" hidden="1" x14ac:dyDescent="0.2">
      <c r="F794" s="50"/>
      <c r="H794"/>
    </row>
    <row r="795" spans="6:8" hidden="1" x14ac:dyDescent="0.2">
      <c r="F795" s="50"/>
      <c r="H795" s="50"/>
    </row>
    <row r="796" spans="6:8" hidden="1" x14ac:dyDescent="0.2">
      <c r="F796" s="50"/>
      <c r="H796" s="50"/>
    </row>
    <row r="797" spans="6:8" hidden="1" x14ac:dyDescent="0.2">
      <c r="F797" s="50"/>
      <c r="H797"/>
    </row>
    <row r="798" spans="6:8" hidden="1" x14ac:dyDescent="0.2">
      <c r="F798" s="50"/>
      <c r="H798"/>
    </row>
    <row r="799" spans="6:8" hidden="1" x14ac:dyDescent="0.2">
      <c r="F799" s="50"/>
      <c r="H799"/>
    </row>
    <row r="800" spans="6:8" hidden="1" x14ac:dyDescent="0.2">
      <c r="F800" s="50"/>
      <c r="H800"/>
    </row>
    <row r="801" spans="6:8" hidden="1" x14ac:dyDescent="0.2">
      <c r="F801" s="50"/>
      <c r="H801"/>
    </row>
    <row r="802" spans="6:8" hidden="1" x14ac:dyDescent="0.2">
      <c r="F802" s="50"/>
      <c r="H802" s="50"/>
    </row>
    <row r="803" spans="6:8" hidden="1" x14ac:dyDescent="0.2">
      <c r="F803" s="50"/>
      <c r="H803"/>
    </row>
    <row r="804" spans="6:8" hidden="1" x14ac:dyDescent="0.2">
      <c r="F804" s="50"/>
      <c r="H804"/>
    </row>
    <row r="805" spans="6:8" hidden="1" x14ac:dyDescent="0.2">
      <c r="F805" s="50"/>
      <c r="H805"/>
    </row>
    <row r="806" spans="6:8" hidden="1" x14ac:dyDescent="0.2">
      <c r="F806" s="50"/>
      <c r="H806"/>
    </row>
    <row r="807" spans="6:8" hidden="1" x14ac:dyDescent="0.2">
      <c r="F807" s="50"/>
      <c r="H807" s="50"/>
    </row>
    <row r="808" spans="6:8" hidden="1" x14ac:dyDescent="0.2">
      <c r="F808" s="50"/>
      <c r="H808"/>
    </row>
    <row r="809" spans="6:8" hidden="1" x14ac:dyDescent="0.2">
      <c r="F809" s="50"/>
      <c r="H809"/>
    </row>
    <row r="810" spans="6:8" hidden="1" x14ac:dyDescent="0.2">
      <c r="F810" s="50"/>
      <c r="H810"/>
    </row>
    <row r="811" spans="6:8" hidden="1" x14ac:dyDescent="0.2">
      <c r="F811" s="50"/>
      <c r="H811"/>
    </row>
    <row r="812" spans="6:8" hidden="1" x14ac:dyDescent="0.2">
      <c r="F812" s="50"/>
      <c r="H812"/>
    </row>
    <row r="813" spans="6:8" hidden="1" x14ac:dyDescent="0.2">
      <c r="F813" s="50"/>
      <c r="H813"/>
    </row>
    <row r="814" spans="6:8" hidden="1" x14ac:dyDescent="0.2">
      <c r="H814"/>
    </row>
    <row r="815" spans="6:8" hidden="1" x14ac:dyDescent="0.2">
      <c r="F815" s="50"/>
      <c r="H815"/>
    </row>
    <row r="816" spans="6:8" hidden="1" x14ac:dyDescent="0.2">
      <c r="F816" s="50"/>
      <c r="H816"/>
    </row>
    <row r="817" spans="6:8" hidden="1" x14ac:dyDescent="0.2">
      <c r="F817" s="50"/>
      <c r="H817"/>
    </row>
    <row r="818" spans="6:8" hidden="1" x14ac:dyDescent="0.2">
      <c r="F818" s="50"/>
      <c r="H818"/>
    </row>
    <row r="819" spans="6:8" hidden="1" x14ac:dyDescent="0.2">
      <c r="F819" s="50"/>
      <c r="H819" s="50"/>
    </row>
    <row r="820" spans="6:8" hidden="1" x14ac:dyDescent="0.2">
      <c r="F820" s="50"/>
      <c r="H820"/>
    </row>
    <row r="821" spans="6:8" hidden="1" x14ac:dyDescent="0.2">
      <c r="F821" s="50"/>
      <c r="H821"/>
    </row>
    <row r="822" spans="6:8" hidden="1" x14ac:dyDescent="0.2">
      <c r="F822" s="50"/>
      <c r="H822"/>
    </row>
    <row r="823" spans="6:8" hidden="1" x14ac:dyDescent="0.2">
      <c r="F823" s="50"/>
      <c r="H823"/>
    </row>
    <row r="824" spans="6:8" hidden="1" x14ac:dyDescent="0.2">
      <c r="F824" s="50"/>
      <c r="H824"/>
    </row>
    <row r="825" spans="6:8" hidden="1" x14ac:dyDescent="0.2">
      <c r="F825" s="50"/>
      <c r="H825"/>
    </row>
    <row r="826" spans="6:8" hidden="1" x14ac:dyDescent="0.2">
      <c r="F826" s="50"/>
      <c r="H826"/>
    </row>
    <row r="827" spans="6:8" hidden="1" x14ac:dyDescent="0.2">
      <c r="F827" s="50"/>
      <c r="H827"/>
    </row>
    <row r="828" spans="6:8" hidden="1" x14ac:dyDescent="0.2">
      <c r="F828" s="50"/>
      <c r="H828"/>
    </row>
    <row r="829" spans="6:8" hidden="1" x14ac:dyDescent="0.2">
      <c r="H829"/>
    </row>
    <row r="830" spans="6:8" hidden="1" x14ac:dyDescent="0.2">
      <c r="F830" s="50"/>
      <c r="H830"/>
    </row>
    <row r="831" spans="6:8" hidden="1" x14ac:dyDescent="0.2">
      <c r="F831" s="50"/>
      <c r="H831"/>
    </row>
    <row r="832" spans="6:8" hidden="1" x14ac:dyDescent="0.2">
      <c r="F832" s="50"/>
      <c r="H832"/>
    </row>
    <row r="833" spans="6:8" hidden="1" x14ac:dyDescent="0.2">
      <c r="H833"/>
    </row>
    <row r="834" spans="6:8" hidden="1" x14ac:dyDescent="0.2">
      <c r="H834"/>
    </row>
    <row r="835" spans="6:8" hidden="1" x14ac:dyDescent="0.2">
      <c r="H835"/>
    </row>
    <row r="836" spans="6:8" hidden="1" x14ac:dyDescent="0.2">
      <c r="H836"/>
    </row>
    <row r="837" spans="6:8" hidden="1" x14ac:dyDescent="0.2">
      <c r="H837"/>
    </row>
    <row r="838" spans="6:8" hidden="1" x14ac:dyDescent="0.2">
      <c r="H838"/>
    </row>
    <row r="839" spans="6:8" hidden="1" x14ac:dyDescent="0.2">
      <c r="F839" s="50"/>
      <c r="H839"/>
    </row>
    <row r="840" spans="6:8" hidden="1" x14ac:dyDescent="0.2">
      <c r="F840" s="50"/>
      <c r="H840" s="50"/>
    </row>
    <row r="841" spans="6:8" hidden="1" x14ac:dyDescent="0.2">
      <c r="F841" s="50"/>
      <c r="H841"/>
    </row>
    <row r="842" spans="6:8" hidden="1" x14ac:dyDescent="0.2">
      <c r="F842" s="50"/>
      <c r="H842"/>
    </row>
    <row r="843" spans="6:8" hidden="1" x14ac:dyDescent="0.2">
      <c r="F843" s="50"/>
      <c r="H843"/>
    </row>
    <row r="844" spans="6:8" hidden="1" x14ac:dyDescent="0.2">
      <c r="F844" s="50"/>
      <c r="H844"/>
    </row>
    <row r="845" spans="6:8" hidden="1" x14ac:dyDescent="0.2">
      <c r="F845" s="50"/>
      <c r="H845" s="50"/>
    </row>
    <row r="846" spans="6:8" hidden="1" x14ac:dyDescent="0.2">
      <c r="F846" s="50"/>
      <c r="H846" s="50"/>
    </row>
    <row r="847" spans="6:8" hidden="1" x14ac:dyDescent="0.2">
      <c r="F847" s="50"/>
      <c r="H847"/>
    </row>
    <row r="848" spans="6:8" hidden="1" x14ac:dyDescent="0.2">
      <c r="F848" s="50"/>
      <c r="H848" s="50"/>
    </row>
    <row r="849" spans="6:8" hidden="1" x14ac:dyDescent="0.2">
      <c r="F849" s="50"/>
      <c r="H849"/>
    </row>
    <row r="850" spans="6:8" hidden="1" x14ac:dyDescent="0.2">
      <c r="F850" s="50"/>
      <c r="H850"/>
    </row>
    <row r="851" spans="6:8" hidden="1" x14ac:dyDescent="0.2">
      <c r="F851" s="50"/>
      <c r="H851"/>
    </row>
    <row r="852" spans="6:8" hidden="1" x14ac:dyDescent="0.2">
      <c r="F852" s="50"/>
      <c r="H852" s="50"/>
    </row>
    <row r="853" spans="6:8" hidden="1" x14ac:dyDescent="0.2">
      <c r="F853" s="50"/>
      <c r="H853"/>
    </row>
    <row r="854" spans="6:8" hidden="1" x14ac:dyDescent="0.2">
      <c r="F854" s="50"/>
      <c r="H854"/>
    </row>
    <row r="855" spans="6:8" hidden="1" x14ac:dyDescent="0.2">
      <c r="F855" s="50"/>
      <c r="H855"/>
    </row>
    <row r="856" spans="6:8" hidden="1" x14ac:dyDescent="0.2">
      <c r="F856" s="50"/>
      <c r="H856"/>
    </row>
    <row r="857" spans="6:8" hidden="1" x14ac:dyDescent="0.2">
      <c r="F857" s="50"/>
      <c r="H857"/>
    </row>
    <row r="858" spans="6:8" hidden="1" x14ac:dyDescent="0.2">
      <c r="F858" s="50"/>
      <c r="H858"/>
    </row>
    <row r="859" spans="6:8" hidden="1" x14ac:dyDescent="0.2">
      <c r="F859" s="50"/>
      <c r="H859" s="50"/>
    </row>
    <row r="860" spans="6:8" hidden="1" x14ac:dyDescent="0.2">
      <c r="F860" s="50"/>
      <c r="H860"/>
    </row>
    <row r="861" spans="6:8" hidden="1" x14ac:dyDescent="0.2">
      <c r="F861" s="50"/>
      <c r="H861" s="50"/>
    </row>
    <row r="862" spans="6:8" hidden="1" x14ac:dyDescent="0.2">
      <c r="F862" s="50"/>
      <c r="H862" s="50"/>
    </row>
    <row r="863" spans="6:8" hidden="1" x14ac:dyDescent="0.2">
      <c r="F863" s="50"/>
      <c r="H863"/>
    </row>
    <row r="864" spans="6:8" hidden="1" x14ac:dyDescent="0.2">
      <c r="F864" s="50"/>
      <c r="H864"/>
    </row>
    <row r="865" spans="6:8" hidden="1" x14ac:dyDescent="0.2">
      <c r="F865" s="50"/>
      <c r="H865"/>
    </row>
    <row r="866" spans="6:8" hidden="1" x14ac:dyDescent="0.2">
      <c r="F866" s="50"/>
      <c r="H866"/>
    </row>
    <row r="867" spans="6:8" hidden="1" x14ac:dyDescent="0.2">
      <c r="F867" s="50"/>
      <c r="H867"/>
    </row>
    <row r="868" spans="6:8" hidden="1" x14ac:dyDescent="0.2">
      <c r="F868" s="50"/>
      <c r="H868" s="50"/>
    </row>
    <row r="869" spans="6:8" hidden="1" x14ac:dyDescent="0.2">
      <c r="F869" s="50"/>
      <c r="H869" s="50"/>
    </row>
    <row r="870" spans="6:8" hidden="1" x14ac:dyDescent="0.2">
      <c r="F870" s="50"/>
      <c r="H870"/>
    </row>
    <row r="871" spans="6:8" hidden="1" x14ac:dyDescent="0.2">
      <c r="F871" s="50"/>
      <c r="H871"/>
    </row>
    <row r="872" spans="6:8" hidden="1" x14ac:dyDescent="0.2">
      <c r="F872" s="50"/>
      <c r="H872"/>
    </row>
    <row r="873" spans="6:8" hidden="1" x14ac:dyDescent="0.2">
      <c r="F873" s="50"/>
      <c r="H873"/>
    </row>
    <row r="874" spans="6:8" hidden="1" x14ac:dyDescent="0.2">
      <c r="F874" s="50"/>
      <c r="H874" s="50"/>
    </row>
    <row r="875" spans="6:8" hidden="1" x14ac:dyDescent="0.2">
      <c r="F875" s="50"/>
      <c r="H875" s="50"/>
    </row>
    <row r="876" spans="6:8" hidden="1" x14ac:dyDescent="0.2">
      <c r="F876" s="50"/>
      <c r="H876" s="50"/>
    </row>
    <row r="877" spans="6:8" hidden="1" x14ac:dyDescent="0.2">
      <c r="F877" s="50"/>
      <c r="H877"/>
    </row>
    <row r="878" spans="6:8" hidden="1" x14ac:dyDescent="0.2">
      <c r="F878" s="50"/>
      <c r="H878" s="50"/>
    </row>
    <row r="879" spans="6:8" hidden="1" x14ac:dyDescent="0.2">
      <c r="F879" s="50"/>
      <c r="H879" s="50"/>
    </row>
    <row r="880" spans="6:8" hidden="1" x14ac:dyDescent="0.2">
      <c r="F880" s="50"/>
      <c r="H880" s="50"/>
    </row>
    <row r="881" spans="6:8" hidden="1" x14ac:dyDescent="0.2">
      <c r="F881" s="50"/>
      <c r="H881"/>
    </row>
    <row r="882" spans="6:8" hidden="1" x14ac:dyDescent="0.2">
      <c r="F882" s="50"/>
      <c r="H882"/>
    </row>
    <row r="883" spans="6:8" hidden="1" x14ac:dyDescent="0.2">
      <c r="F883" s="50"/>
      <c r="H883"/>
    </row>
    <row r="884" spans="6:8" hidden="1" x14ac:dyDescent="0.2">
      <c r="F884" s="50"/>
      <c r="H884"/>
    </row>
    <row r="885" spans="6:8" hidden="1" x14ac:dyDescent="0.2">
      <c r="F885" s="50"/>
      <c r="H885"/>
    </row>
    <row r="886" spans="6:8" hidden="1" x14ac:dyDescent="0.2">
      <c r="F886" s="50"/>
      <c r="H886"/>
    </row>
    <row r="887" spans="6:8" hidden="1" x14ac:dyDescent="0.2">
      <c r="F887" s="50"/>
      <c r="H887"/>
    </row>
    <row r="888" spans="6:8" hidden="1" x14ac:dyDescent="0.2">
      <c r="F888" s="50"/>
      <c r="H888"/>
    </row>
    <row r="889" spans="6:8" hidden="1" x14ac:dyDescent="0.2">
      <c r="F889" s="50"/>
      <c r="H889" s="50"/>
    </row>
    <row r="890" spans="6:8" hidden="1" x14ac:dyDescent="0.2">
      <c r="F890" s="50"/>
      <c r="H890" s="50"/>
    </row>
    <row r="891" spans="6:8" hidden="1" x14ac:dyDescent="0.2">
      <c r="F891" s="50"/>
      <c r="H891" s="50"/>
    </row>
    <row r="892" spans="6:8" hidden="1" x14ac:dyDescent="0.2">
      <c r="F892" s="50"/>
      <c r="H892" s="50"/>
    </row>
    <row r="893" spans="6:8" hidden="1" x14ac:dyDescent="0.2">
      <c r="F893" s="50"/>
      <c r="H893"/>
    </row>
    <row r="894" spans="6:8" hidden="1" x14ac:dyDescent="0.2">
      <c r="F894" s="50"/>
      <c r="H894"/>
    </row>
    <row r="895" spans="6:8" hidden="1" x14ac:dyDescent="0.2">
      <c r="F895" s="50"/>
      <c r="H895"/>
    </row>
    <row r="896" spans="6:8" hidden="1" x14ac:dyDescent="0.2">
      <c r="F896" s="50"/>
      <c r="H896" s="50"/>
    </row>
    <row r="897" spans="6:8" hidden="1" x14ac:dyDescent="0.2">
      <c r="F897" s="50"/>
      <c r="H897" s="50"/>
    </row>
    <row r="898" spans="6:8" hidden="1" x14ac:dyDescent="0.2">
      <c r="F898" s="50"/>
      <c r="H898" s="50"/>
    </row>
    <row r="899" spans="6:8" hidden="1" x14ac:dyDescent="0.2">
      <c r="F899" s="50"/>
      <c r="H899" s="50"/>
    </row>
    <row r="900" spans="6:8" hidden="1" x14ac:dyDescent="0.2">
      <c r="F900" s="50"/>
      <c r="H900"/>
    </row>
    <row r="901" spans="6:8" hidden="1" x14ac:dyDescent="0.2">
      <c r="F901" s="50"/>
      <c r="H901" s="50"/>
    </row>
    <row r="902" spans="6:8" hidden="1" x14ac:dyDescent="0.2">
      <c r="F902" s="50"/>
      <c r="H902" s="50"/>
    </row>
    <row r="903" spans="6:8" hidden="1" x14ac:dyDescent="0.2">
      <c r="F903" s="50"/>
      <c r="H903"/>
    </row>
    <row r="904" spans="6:8" hidden="1" x14ac:dyDescent="0.2">
      <c r="H904"/>
    </row>
    <row r="905" spans="6:8" hidden="1" x14ac:dyDescent="0.2">
      <c r="F905" s="50"/>
      <c r="H905"/>
    </row>
    <row r="906" spans="6:8" hidden="1" x14ac:dyDescent="0.2">
      <c r="F906" s="50"/>
      <c r="H906" s="50"/>
    </row>
    <row r="907" spans="6:8" hidden="1" x14ac:dyDescent="0.2">
      <c r="F907" s="50"/>
      <c r="H907"/>
    </row>
    <row r="908" spans="6:8" hidden="1" x14ac:dyDescent="0.2">
      <c r="F908" s="50"/>
      <c r="H908"/>
    </row>
    <row r="909" spans="6:8" hidden="1" x14ac:dyDescent="0.2">
      <c r="F909" s="50"/>
      <c r="H909"/>
    </row>
    <row r="910" spans="6:8" hidden="1" x14ac:dyDescent="0.2">
      <c r="F910" s="50"/>
      <c r="H910"/>
    </row>
    <row r="911" spans="6:8" hidden="1" x14ac:dyDescent="0.2">
      <c r="F911" s="50"/>
      <c r="H911"/>
    </row>
    <row r="912" spans="6:8" hidden="1" x14ac:dyDescent="0.2">
      <c r="F912" s="50"/>
      <c r="H912"/>
    </row>
    <row r="913" spans="6:8" hidden="1" x14ac:dyDescent="0.2">
      <c r="F913" s="50"/>
      <c r="H913"/>
    </row>
    <row r="914" spans="6:8" hidden="1" x14ac:dyDescent="0.2">
      <c r="F914" s="50"/>
      <c r="H914" s="50"/>
    </row>
    <row r="915" spans="6:8" hidden="1" x14ac:dyDescent="0.2">
      <c r="F915" s="50"/>
      <c r="H915" s="50"/>
    </row>
    <row r="916" spans="6:8" hidden="1" x14ac:dyDescent="0.2">
      <c r="F916" s="50"/>
      <c r="H916"/>
    </row>
    <row r="917" spans="6:8" hidden="1" x14ac:dyDescent="0.2">
      <c r="F917" s="50"/>
      <c r="H917" s="50"/>
    </row>
    <row r="918" spans="6:8" hidden="1" x14ac:dyDescent="0.2">
      <c r="F918" s="50"/>
      <c r="H918"/>
    </row>
    <row r="919" spans="6:8" hidden="1" x14ac:dyDescent="0.2">
      <c r="F919" s="50"/>
      <c r="H919"/>
    </row>
    <row r="920" spans="6:8" hidden="1" x14ac:dyDescent="0.2">
      <c r="F920" s="50"/>
      <c r="H920"/>
    </row>
    <row r="921" spans="6:8" hidden="1" x14ac:dyDescent="0.2">
      <c r="F921" s="50"/>
      <c r="H921" s="50"/>
    </row>
    <row r="922" spans="6:8" hidden="1" x14ac:dyDescent="0.2">
      <c r="F922" s="50"/>
      <c r="H922"/>
    </row>
    <row r="923" spans="6:8" hidden="1" x14ac:dyDescent="0.2">
      <c r="F923" s="50"/>
      <c r="H923"/>
    </row>
    <row r="924" spans="6:8" hidden="1" x14ac:dyDescent="0.2">
      <c r="F924" s="50"/>
      <c r="H924"/>
    </row>
    <row r="925" spans="6:8" hidden="1" x14ac:dyDescent="0.2">
      <c r="F925" s="50"/>
      <c r="H925"/>
    </row>
    <row r="926" spans="6:8" hidden="1" x14ac:dyDescent="0.2">
      <c r="F926" s="50"/>
      <c r="H926" s="50"/>
    </row>
    <row r="927" spans="6:8" hidden="1" x14ac:dyDescent="0.2">
      <c r="F927" s="50"/>
      <c r="H927"/>
    </row>
    <row r="928" spans="6:8" hidden="1" x14ac:dyDescent="0.2">
      <c r="F928" s="50"/>
      <c r="H928"/>
    </row>
    <row r="929" spans="6:8" hidden="1" x14ac:dyDescent="0.2">
      <c r="F929" s="50"/>
      <c r="H929"/>
    </row>
    <row r="930" spans="6:8" hidden="1" x14ac:dyDescent="0.2">
      <c r="F930" s="50"/>
      <c r="H930"/>
    </row>
    <row r="931" spans="6:8" hidden="1" x14ac:dyDescent="0.2">
      <c r="F931" s="50"/>
      <c r="H931"/>
    </row>
    <row r="932" spans="6:8" hidden="1" x14ac:dyDescent="0.2">
      <c r="F932" s="50"/>
      <c r="H932"/>
    </row>
    <row r="933" spans="6:8" hidden="1" x14ac:dyDescent="0.2">
      <c r="F933" s="50"/>
      <c r="H933"/>
    </row>
    <row r="934" spans="6:8" hidden="1" x14ac:dyDescent="0.2">
      <c r="F934" s="50"/>
      <c r="H934"/>
    </row>
    <row r="935" spans="6:8" hidden="1" x14ac:dyDescent="0.2">
      <c r="F935" s="50"/>
      <c r="H935"/>
    </row>
    <row r="936" spans="6:8" hidden="1" x14ac:dyDescent="0.2">
      <c r="F936" s="50"/>
      <c r="H936" s="50"/>
    </row>
    <row r="937" spans="6:8" hidden="1" x14ac:dyDescent="0.2">
      <c r="F937" s="50"/>
      <c r="H937"/>
    </row>
    <row r="938" spans="6:8" hidden="1" x14ac:dyDescent="0.2">
      <c r="F938" s="50"/>
      <c r="H938"/>
    </row>
    <row r="939" spans="6:8" hidden="1" x14ac:dyDescent="0.2">
      <c r="F939" s="50"/>
      <c r="H939" s="50"/>
    </row>
    <row r="940" spans="6:8" hidden="1" x14ac:dyDescent="0.2">
      <c r="F940" s="50"/>
      <c r="H940"/>
    </row>
    <row r="941" spans="6:8" hidden="1" x14ac:dyDescent="0.2">
      <c r="F941" s="50"/>
      <c r="H941"/>
    </row>
    <row r="942" spans="6:8" hidden="1" x14ac:dyDescent="0.2">
      <c r="F942" s="50"/>
      <c r="H942"/>
    </row>
    <row r="943" spans="6:8" hidden="1" x14ac:dyDescent="0.2">
      <c r="F943" s="50"/>
      <c r="H943"/>
    </row>
    <row r="944" spans="6:8" hidden="1" x14ac:dyDescent="0.2">
      <c r="F944" s="50"/>
      <c r="H944"/>
    </row>
    <row r="945" spans="6:8" hidden="1" x14ac:dyDescent="0.2">
      <c r="F945" s="50"/>
      <c r="H945"/>
    </row>
    <row r="946" spans="6:8" hidden="1" x14ac:dyDescent="0.2">
      <c r="F946" s="50"/>
      <c r="H946"/>
    </row>
    <row r="947" spans="6:8" hidden="1" x14ac:dyDescent="0.2">
      <c r="F947" s="50"/>
      <c r="H947" s="50"/>
    </row>
    <row r="948" spans="6:8" hidden="1" x14ac:dyDescent="0.2">
      <c r="F948" s="50"/>
      <c r="H948"/>
    </row>
    <row r="949" spans="6:8" hidden="1" x14ac:dyDescent="0.2">
      <c r="F949" s="50"/>
      <c r="H949"/>
    </row>
    <row r="950" spans="6:8" hidden="1" x14ac:dyDescent="0.2">
      <c r="F950" s="50"/>
      <c r="H950"/>
    </row>
    <row r="951" spans="6:8" hidden="1" x14ac:dyDescent="0.2">
      <c r="F951" s="50"/>
      <c r="H951"/>
    </row>
    <row r="952" spans="6:8" hidden="1" x14ac:dyDescent="0.2">
      <c r="F952" s="50"/>
      <c r="H952"/>
    </row>
    <row r="953" spans="6:8" hidden="1" x14ac:dyDescent="0.2">
      <c r="F953" s="50"/>
      <c r="H953"/>
    </row>
    <row r="954" spans="6:8" hidden="1" x14ac:dyDescent="0.2">
      <c r="F954" s="50"/>
      <c r="H954"/>
    </row>
    <row r="955" spans="6:8" hidden="1" x14ac:dyDescent="0.2">
      <c r="F955" s="50"/>
      <c r="H955"/>
    </row>
    <row r="956" spans="6:8" hidden="1" x14ac:dyDescent="0.2">
      <c r="F956" s="50"/>
      <c r="H956"/>
    </row>
    <row r="957" spans="6:8" hidden="1" x14ac:dyDescent="0.2">
      <c r="F957" s="50"/>
      <c r="H957"/>
    </row>
    <row r="958" spans="6:8" hidden="1" x14ac:dyDescent="0.2">
      <c r="F958" s="50"/>
      <c r="H958"/>
    </row>
    <row r="959" spans="6:8" hidden="1" x14ac:dyDescent="0.2">
      <c r="F959" s="50"/>
      <c r="H959"/>
    </row>
    <row r="960" spans="6:8" hidden="1" x14ac:dyDescent="0.2">
      <c r="F960" s="50"/>
      <c r="H960" s="50"/>
    </row>
    <row r="961" spans="6:8" hidden="1" x14ac:dyDescent="0.2">
      <c r="F961" s="50"/>
      <c r="H961" s="50"/>
    </row>
    <row r="962" spans="6:8" hidden="1" x14ac:dyDescent="0.2">
      <c r="F962" s="50"/>
      <c r="H962"/>
    </row>
    <row r="963" spans="6:8" hidden="1" x14ac:dyDescent="0.2">
      <c r="F963" s="50"/>
      <c r="H963"/>
    </row>
    <row r="964" spans="6:8" hidden="1" x14ac:dyDescent="0.2">
      <c r="F964" s="50"/>
      <c r="H964"/>
    </row>
    <row r="965" spans="6:8" hidden="1" x14ac:dyDescent="0.2">
      <c r="F965" s="50"/>
      <c r="H965"/>
    </row>
    <row r="966" spans="6:8" hidden="1" x14ac:dyDescent="0.2">
      <c r="F966" s="50"/>
      <c r="H966"/>
    </row>
    <row r="967" spans="6:8" hidden="1" x14ac:dyDescent="0.2">
      <c r="F967" s="50"/>
      <c r="H967"/>
    </row>
    <row r="968" spans="6:8" hidden="1" x14ac:dyDescent="0.2">
      <c r="F968" s="50"/>
      <c r="H968"/>
    </row>
    <row r="969" spans="6:8" hidden="1" x14ac:dyDescent="0.2">
      <c r="F969" s="50"/>
      <c r="H969"/>
    </row>
    <row r="970" spans="6:8" hidden="1" x14ac:dyDescent="0.2">
      <c r="F970" s="50"/>
      <c r="H970"/>
    </row>
    <row r="971" spans="6:8" hidden="1" x14ac:dyDescent="0.2">
      <c r="F971" s="50"/>
      <c r="H971"/>
    </row>
    <row r="972" spans="6:8" hidden="1" x14ac:dyDescent="0.2">
      <c r="F972" s="50"/>
      <c r="H972"/>
    </row>
    <row r="973" spans="6:8" hidden="1" x14ac:dyDescent="0.2">
      <c r="F973" s="50"/>
      <c r="H973"/>
    </row>
    <row r="974" spans="6:8" hidden="1" x14ac:dyDescent="0.2">
      <c r="F974" s="50"/>
      <c r="H974"/>
    </row>
    <row r="975" spans="6:8" hidden="1" x14ac:dyDescent="0.2">
      <c r="F975" s="50"/>
      <c r="H975"/>
    </row>
    <row r="976" spans="6:8" hidden="1" x14ac:dyDescent="0.2">
      <c r="F976" s="50"/>
      <c r="H976"/>
    </row>
    <row r="977" spans="6:8" hidden="1" x14ac:dyDescent="0.2">
      <c r="F977" s="50"/>
      <c r="H977"/>
    </row>
    <row r="978" spans="6:8" hidden="1" x14ac:dyDescent="0.2">
      <c r="F978" s="50"/>
      <c r="H978"/>
    </row>
    <row r="979" spans="6:8" hidden="1" x14ac:dyDescent="0.2">
      <c r="F979" s="50"/>
      <c r="H979"/>
    </row>
    <row r="980" spans="6:8" hidden="1" x14ac:dyDescent="0.2">
      <c r="F980" s="50"/>
      <c r="H980"/>
    </row>
    <row r="981" spans="6:8" hidden="1" x14ac:dyDescent="0.2">
      <c r="F981" s="50"/>
      <c r="H981"/>
    </row>
    <row r="982" spans="6:8" hidden="1" x14ac:dyDescent="0.2">
      <c r="F982" s="50"/>
      <c r="H982"/>
    </row>
    <row r="983" spans="6:8" hidden="1" x14ac:dyDescent="0.2">
      <c r="F983" s="50"/>
      <c r="H983"/>
    </row>
    <row r="984" spans="6:8" hidden="1" x14ac:dyDescent="0.2">
      <c r="F984" s="50"/>
      <c r="H984"/>
    </row>
    <row r="985" spans="6:8" hidden="1" x14ac:dyDescent="0.2">
      <c r="F985" s="50"/>
      <c r="H985"/>
    </row>
    <row r="986" spans="6:8" hidden="1" x14ac:dyDescent="0.2">
      <c r="F986" s="50"/>
      <c r="H986"/>
    </row>
    <row r="987" spans="6:8" hidden="1" x14ac:dyDescent="0.2">
      <c r="F987" s="50"/>
      <c r="H987"/>
    </row>
    <row r="988" spans="6:8" hidden="1" x14ac:dyDescent="0.2">
      <c r="F988" s="50"/>
      <c r="H988"/>
    </row>
    <row r="989" spans="6:8" hidden="1" x14ac:dyDescent="0.2">
      <c r="F989" s="50"/>
      <c r="H989"/>
    </row>
    <row r="990" spans="6:8" hidden="1" x14ac:dyDescent="0.2">
      <c r="F990" s="50"/>
      <c r="H990"/>
    </row>
    <row r="991" spans="6:8" hidden="1" x14ac:dyDescent="0.2">
      <c r="F991" s="50"/>
      <c r="H991" s="50"/>
    </row>
    <row r="992" spans="6:8" hidden="1" x14ac:dyDescent="0.2">
      <c r="F992" s="50"/>
      <c r="H992" s="50"/>
    </row>
    <row r="993" spans="6:8" hidden="1" x14ac:dyDescent="0.2">
      <c r="F993" s="50"/>
      <c r="H993" s="50"/>
    </row>
    <row r="994" spans="6:8" hidden="1" x14ac:dyDescent="0.2">
      <c r="F994" s="50"/>
      <c r="H994"/>
    </row>
    <row r="995" spans="6:8" hidden="1" x14ac:dyDescent="0.2">
      <c r="F995" s="50"/>
      <c r="H995"/>
    </row>
    <row r="996" spans="6:8" hidden="1" x14ac:dyDescent="0.2">
      <c r="F996" s="50"/>
      <c r="H996"/>
    </row>
    <row r="997" spans="6:8" hidden="1" x14ac:dyDescent="0.2">
      <c r="F997" s="50"/>
      <c r="H997"/>
    </row>
    <row r="998" spans="6:8" hidden="1" x14ac:dyDescent="0.2">
      <c r="F998" s="50"/>
      <c r="H998"/>
    </row>
    <row r="999" spans="6:8" hidden="1" x14ac:dyDescent="0.2">
      <c r="F999" s="50"/>
      <c r="H999"/>
    </row>
    <row r="1000" spans="6:8" hidden="1" x14ac:dyDescent="0.2">
      <c r="F1000" s="50"/>
      <c r="H1000"/>
    </row>
    <row r="1001" spans="6:8" hidden="1" x14ac:dyDescent="0.2">
      <c r="F1001" s="50"/>
      <c r="H1001"/>
    </row>
    <row r="1002" spans="6:8" hidden="1" x14ac:dyDescent="0.2">
      <c r="F1002" s="50"/>
      <c r="H1002"/>
    </row>
    <row r="1003" spans="6:8" hidden="1" x14ac:dyDescent="0.2">
      <c r="F1003" s="50"/>
      <c r="H1003"/>
    </row>
    <row r="1004" spans="6:8" hidden="1" x14ac:dyDescent="0.2">
      <c r="F1004" s="50"/>
      <c r="H1004"/>
    </row>
    <row r="1005" spans="6:8" hidden="1" x14ac:dyDescent="0.2">
      <c r="F1005" s="50"/>
      <c r="H1005"/>
    </row>
    <row r="1006" spans="6:8" hidden="1" x14ac:dyDescent="0.2">
      <c r="F1006" s="50"/>
      <c r="H1006"/>
    </row>
    <row r="1007" spans="6:8" hidden="1" x14ac:dyDescent="0.2">
      <c r="F1007" s="50"/>
      <c r="H1007"/>
    </row>
    <row r="1008" spans="6:8" hidden="1" x14ac:dyDescent="0.2">
      <c r="F1008" s="50"/>
      <c r="H1008"/>
    </row>
    <row r="1009" spans="6:8" hidden="1" x14ac:dyDescent="0.2">
      <c r="F1009" s="50"/>
      <c r="H1009"/>
    </row>
    <row r="1010" spans="6:8" hidden="1" x14ac:dyDescent="0.2">
      <c r="F1010" s="50"/>
      <c r="H1010"/>
    </row>
    <row r="1011" spans="6:8" hidden="1" x14ac:dyDescent="0.2">
      <c r="F1011" s="50"/>
      <c r="H1011"/>
    </row>
    <row r="1012" spans="6:8" hidden="1" x14ac:dyDescent="0.2">
      <c r="F1012" s="50"/>
      <c r="H1012"/>
    </row>
    <row r="1013" spans="6:8" hidden="1" x14ac:dyDescent="0.2">
      <c r="F1013" s="50"/>
      <c r="H1013"/>
    </row>
    <row r="1014" spans="6:8" hidden="1" x14ac:dyDescent="0.2">
      <c r="F1014" s="50"/>
      <c r="H1014" s="50"/>
    </row>
    <row r="1015" spans="6:8" hidden="1" x14ac:dyDescent="0.2">
      <c r="F1015" s="50"/>
      <c r="H1015"/>
    </row>
    <row r="1016" spans="6:8" hidden="1" x14ac:dyDescent="0.2">
      <c r="F1016" s="50"/>
      <c r="H1016"/>
    </row>
    <row r="1017" spans="6:8" hidden="1" x14ac:dyDescent="0.2">
      <c r="F1017" s="50"/>
      <c r="H1017"/>
    </row>
    <row r="1018" spans="6:8" hidden="1" x14ac:dyDescent="0.2">
      <c r="F1018" s="50"/>
      <c r="H1018"/>
    </row>
    <row r="1019" spans="6:8" hidden="1" x14ac:dyDescent="0.2">
      <c r="F1019" s="50"/>
      <c r="H1019"/>
    </row>
    <row r="1020" spans="6:8" hidden="1" x14ac:dyDescent="0.2">
      <c r="F1020" s="50"/>
      <c r="H1020"/>
    </row>
    <row r="1021" spans="6:8" hidden="1" x14ac:dyDescent="0.2">
      <c r="F1021" s="50"/>
      <c r="H1021"/>
    </row>
    <row r="1022" spans="6:8" hidden="1" x14ac:dyDescent="0.2">
      <c r="F1022" s="50"/>
      <c r="H1022"/>
    </row>
    <row r="1023" spans="6:8" hidden="1" x14ac:dyDescent="0.2">
      <c r="F1023" s="50"/>
      <c r="H1023"/>
    </row>
    <row r="1024" spans="6:8" hidden="1" x14ac:dyDescent="0.2">
      <c r="F1024" s="50"/>
      <c r="H1024"/>
    </row>
    <row r="1025" spans="6:8" hidden="1" x14ac:dyDescent="0.2">
      <c r="F1025" s="50"/>
      <c r="H1025"/>
    </row>
    <row r="1026" spans="6:8" hidden="1" x14ac:dyDescent="0.2">
      <c r="F1026" s="50"/>
      <c r="H1026"/>
    </row>
    <row r="1027" spans="6:8" hidden="1" x14ac:dyDescent="0.2">
      <c r="F1027" s="50"/>
      <c r="H1027"/>
    </row>
    <row r="1028" spans="6:8" hidden="1" x14ac:dyDescent="0.2">
      <c r="F1028" s="50"/>
      <c r="H1028"/>
    </row>
    <row r="1029" spans="6:8" hidden="1" x14ac:dyDescent="0.2">
      <c r="F1029" s="50"/>
      <c r="H1029" s="50"/>
    </row>
    <row r="1030" spans="6:8" hidden="1" x14ac:dyDescent="0.2">
      <c r="F1030" s="50"/>
      <c r="H1030" s="50"/>
    </row>
    <row r="1031" spans="6:8" hidden="1" x14ac:dyDescent="0.2">
      <c r="F1031" s="50"/>
      <c r="H1031" s="50"/>
    </row>
    <row r="1032" spans="6:8" hidden="1" x14ac:dyDescent="0.2">
      <c r="F1032" s="50"/>
      <c r="H1032" s="50"/>
    </row>
    <row r="1033" spans="6:8" hidden="1" x14ac:dyDescent="0.2">
      <c r="F1033" s="50"/>
      <c r="H1033" s="50"/>
    </row>
    <row r="1034" spans="6:8" hidden="1" x14ac:dyDescent="0.2">
      <c r="F1034" s="50"/>
      <c r="H1034" s="50"/>
    </row>
    <row r="1035" spans="6:8" hidden="1" x14ac:dyDescent="0.2">
      <c r="F1035" s="50"/>
      <c r="H1035" s="50"/>
    </row>
    <row r="1036" spans="6:8" hidden="1" x14ac:dyDescent="0.2">
      <c r="F1036" s="50"/>
      <c r="H1036"/>
    </row>
    <row r="1037" spans="6:8" hidden="1" x14ac:dyDescent="0.2">
      <c r="F1037" s="50"/>
      <c r="H1037"/>
    </row>
    <row r="1038" spans="6:8" hidden="1" x14ac:dyDescent="0.2">
      <c r="F1038" s="50"/>
      <c r="H1038"/>
    </row>
    <row r="1039" spans="6:8" hidden="1" x14ac:dyDescent="0.2">
      <c r="F1039" s="50"/>
      <c r="H1039"/>
    </row>
    <row r="1040" spans="6:8" ht="15" hidden="1" x14ac:dyDescent="0.25">
      <c r="F1040" s="50"/>
      <c r="H1040" s="54"/>
    </row>
    <row r="1041" spans="6:8" ht="15" hidden="1" x14ac:dyDescent="0.25">
      <c r="F1041" s="50"/>
      <c r="H1041" s="54"/>
    </row>
    <row r="1042" spans="6:8" ht="15" hidden="1" x14ac:dyDescent="0.25">
      <c r="F1042" s="50"/>
      <c r="H1042" s="54"/>
    </row>
    <row r="1043" spans="6:8" hidden="1" x14ac:dyDescent="0.2">
      <c r="F1043" s="50"/>
      <c r="H1043" s="50"/>
    </row>
    <row r="1044" spans="6:8" hidden="1" x14ac:dyDescent="0.2">
      <c r="F1044" s="50"/>
      <c r="H1044"/>
    </row>
    <row r="1045" spans="6:8" hidden="1" x14ac:dyDescent="0.2">
      <c r="F1045" s="50"/>
      <c r="H1045" s="50"/>
    </row>
    <row r="1046" spans="6:8" hidden="1" x14ac:dyDescent="0.2">
      <c r="F1046" s="50"/>
      <c r="H1046"/>
    </row>
    <row r="1047" spans="6:8" hidden="1" x14ac:dyDescent="0.2">
      <c r="F1047" s="50"/>
      <c r="H1047"/>
    </row>
    <row r="1048" spans="6:8" hidden="1" x14ac:dyDescent="0.2">
      <c r="F1048" s="50"/>
      <c r="H1048"/>
    </row>
    <row r="1049" spans="6:8" hidden="1" x14ac:dyDescent="0.2">
      <c r="F1049" s="50"/>
      <c r="H1049"/>
    </row>
    <row r="1050" spans="6:8" hidden="1" x14ac:dyDescent="0.2">
      <c r="F1050" s="50"/>
      <c r="H1050"/>
    </row>
    <row r="1051" spans="6:8" hidden="1" x14ac:dyDescent="0.2">
      <c r="F1051" s="50"/>
      <c r="H1051"/>
    </row>
    <row r="1052" spans="6:8" hidden="1" x14ac:dyDescent="0.2">
      <c r="F1052" s="50"/>
      <c r="H1052"/>
    </row>
    <row r="1053" spans="6:8" hidden="1" x14ac:dyDescent="0.2">
      <c r="F1053" s="50"/>
      <c r="H1053"/>
    </row>
    <row r="1054" spans="6:8" hidden="1" x14ac:dyDescent="0.2">
      <c r="F1054" s="50"/>
      <c r="H1054"/>
    </row>
    <row r="1055" spans="6:8" hidden="1" x14ac:dyDescent="0.2">
      <c r="F1055" s="50"/>
      <c r="H1055"/>
    </row>
    <row r="1056" spans="6:8" hidden="1" x14ac:dyDescent="0.2">
      <c r="F1056" s="50"/>
      <c r="H1056" s="50"/>
    </row>
    <row r="1057" spans="1:8" hidden="1" x14ac:dyDescent="0.2">
      <c r="A1057" s="55"/>
      <c r="C1057" s="55"/>
      <c r="H1057"/>
    </row>
    <row r="1058" spans="1:8" hidden="1" x14ac:dyDescent="0.2">
      <c r="A1058" s="55"/>
      <c r="C1058" s="55"/>
      <c r="H1058"/>
    </row>
    <row r="1059" spans="1:8" hidden="1" x14ac:dyDescent="0.2">
      <c r="A1059" s="55"/>
      <c r="C1059" s="55"/>
      <c r="H1059"/>
    </row>
    <row r="1060" spans="1:8" hidden="1" x14ac:dyDescent="0.2">
      <c r="A1060" s="55"/>
      <c r="C1060" s="55"/>
      <c r="H1060"/>
    </row>
    <row r="1061" spans="1:8" hidden="1" x14ac:dyDescent="0.2">
      <c r="A1061" s="55"/>
      <c r="C1061" s="55"/>
      <c r="H1061"/>
    </row>
    <row r="1062" spans="1:8" hidden="1" x14ac:dyDescent="0.2">
      <c r="A1062" s="55"/>
      <c r="C1062" s="55"/>
      <c r="H1062"/>
    </row>
    <row r="1063" spans="1:8" hidden="1" x14ac:dyDescent="0.2">
      <c r="A1063" s="55"/>
      <c r="C1063" s="55"/>
      <c r="H1063"/>
    </row>
    <row r="1064" spans="1:8" hidden="1" x14ac:dyDescent="0.2">
      <c r="A1064" s="55"/>
      <c r="C1064" s="55"/>
      <c r="H1064"/>
    </row>
    <row r="1065" spans="1:8" hidden="1" x14ac:dyDescent="0.2">
      <c r="A1065" s="55"/>
      <c r="C1065" s="55"/>
      <c r="H1065"/>
    </row>
    <row r="1066" spans="1:8" hidden="1" x14ac:dyDescent="0.2">
      <c r="A1066" s="55"/>
      <c r="C1066" s="55"/>
      <c r="H1066"/>
    </row>
    <row r="1067" spans="1:8" hidden="1" x14ac:dyDescent="0.2">
      <c r="A1067" s="55"/>
      <c r="C1067" s="55"/>
      <c r="H1067"/>
    </row>
    <row r="1068" spans="1:8" hidden="1" x14ac:dyDescent="0.2">
      <c r="A1068" s="55"/>
      <c r="C1068" s="55"/>
      <c r="H1068"/>
    </row>
    <row r="1069" spans="1:8" hidden="1" x14ac:dyDescent="0.2">
      <c r="A1069" s="55"/>
      <c r="C1069" s="55"/>
      <c r="H1069"/>
    </row>
    <row r="1070" spans="1:8" hidden="1" x14ac:dyDescent="0.2">
      <c r="A1070" s="55"/>
      <c r="C1070" s="55"/>
      <c r="H1070"/>
    </row>
    <row r="1071" spans="1:8" hidden="1" x14ac:dyDescent="0.2">
      <c r="A1071" s="55"/>
      <c r="C1071" s="55"/>
      <c r="H1071"/>
    </row>
    <row r="1072" spans="1:8" hidden="1" x14ac:dyDescent="0.2">
      <c r="A1072" s="55"/>
      <c r="C1072" s="55"/>
      <c r="H1072"/>
    </row>
    <row r="1073" spans="1:8" hidden="1" x14ac:dyDescent="0.2">
      <c r="A1073" s="55"/>
      <c r="C1073" s="55"/>
      <c r="H1073"/>
    </row>
    <row r="1074" spans="1:8" hidden="1" x14ac:dyDescent="0.2">
      <c r="A1074" s="55"/>
      <c r="C1074" s="55"/>
      <c r="H1074"/>
    </row>
    <row r="1075" spans="1:8" hidden="1" x14ac:dyDescent="0.2">
      <c r="A1075" s="55"/>
      <c r="C1075" s="55"/>
      <c r="H1075"/>
    </row>
    <row r="1076" spans="1:8" hidden="1" x14ac:dyDescent="0.2">
      <c r="A1076" s="55"/>
      <c r="C1076" s="55"/>
      <c r="H1076"/>
    </row>
    <row r="1077" spans="1:8" hidden="1" x14ac:dyDescent="0.2">
      <c r="A1077" s="55"/>
      <c r="C1077" s="55"/>
      <c r="H1077"/>
    </row>
    <row r="1078" spans="1:8" hidden="1" x14ac:dyDescent="0.2">
      <c r="A1078" s="55"/>
      <c r="C1078" s="55"/>
      <c r="F1078" s="50"/>
      <c r="H1078"/>
    </row>
    <row r="1079" spans="1:8" hidden="1" x14ac:dyDescent="0.2">
      <c r="A1079" s="55"/>
      <c r="C1079" s="55"/>
      <c r="H1079"/>
    </row>
    <row r="1080" spans="1:8" hidden="1" x14ac:dyDescent="0.2">
      <c r="A1080" s="55"/>
      <c r="C1080" s="55"/>
      <c r="H1080"/>
    </row>
    <row r="1081" spans="1:8" hidden="1" x14ac:dyDescent="0.2">
      <c r="A1081" s="55"/>
      <c r="C1081" s="55"/>
      <c r="H1081"/>
    </row>
    <row r="1082" spans="1:8" hidden="1" x14ac:dyDescent="0.2">
      <c r="A1082" s="55"/>
      <c r="C1082" s="55"/>
      <c r="H1082"/>
    </row>
    <row r="1083" spans="1:8" hidden="1" x14ac:dyDescent="0.2">
      <c r="A1083" s="55"/>
      <c r="C1083" s="55"/>
      <c r="F1083" s="50"/>
      <c r="H1083"/>
    </row>
    <row r="1084" spans="1:8" hidden="1" x14ac:dyDescent="0.2">
      <c r="A1084" s="55"/>
      <c r="C1084" s="55"/>
      <c r="H1084"/>
    </row>
    <row r="1085" spans="1:8" hidden="1" x14ac:dyDescent="0.2">
      <c r="A1085" s="55"/>
      <c r="C1085" s="55"/>
      <c r="H1085"/>
    </row>
    <row r="1086" spans="1:8" hidden="1" x14ac:dyDescent="0.2">
      <c r="A1086" s="55"/>
      <c r="C1086" s="55"/>
      <c r="H1086"/>
    </row>
    <row r="1087" spans="1:8" hidden="1" x14ac:dyDescent="0.2">
      <c r="A1087" s="55"/>
      <c r="C1087" s="55"/>
      <c r="F1087" s="50"/>
      <c r="H1087"/>
    </row>
    <row r="1088" spans="1:8" hidden="1" x14ac:dyDescent="0.2">
      <c r="A1088" s="55"/>
      <c r="C1088" s="55"/>
      <c r="H1088"/>
    </row>
    <row r="1089" spans="1:8" hidden="1" x14ac:dyDescent="0.2">
      <c r="A1089" s="55"/>
      <c r="C1089" s="55"/>
      <c r="H1089"/>
    </row>
    <row r="1090" spans="1:8" hidden="1" x14ac:dyDescent="0.2">
      <c r="A1090" s="55"/>
      <c r="C1090" s="55"/>
      <c r="H1090"/>
    </row>
    <row r="1091" spans="1:8" hidden="1" x14ac:dyDescent="0.2">
      <c r="A1091" s="55"/>
      <c r="C1091" s="55"/>
      <c r="H1091"/>
    </row>
    <row r="1092" spans="1:8" hidden="1" x14ac:dyDescent="0.2">
      <c r="A1092" s="55"/>
      <c r="C1092" s="55"/>
      <c r="H1092"/>
    </row>
    <row r="1093" spans="1:8" hidden="1" x14ac:dyDescent="0.2">
      <c r="A1093" s="55"/>
      <c r="C1093" s="55"/>
      <c r="H1093"/>
    </row>
    <row r="1094" spans="1:8" hidden="1" x14ac:dyDescent="0.2">
      <c r="A1094" s="55"/>
      <c r="C1094" s="55"/>
      <c r="H1094"/>
    </row>
    <row r="1095" spans="1:8" hidden="1" x14ac:dyDescent="0.2">
      <c r="A1095" s="55"/>
      <c r="C1095" s="55"/>
      <c r="F1095" s="50"/>
      <c r="H1095"/>
    </row>
    <row r="1096" spans="1:8" hidden="1" x14ac:dyDescent="0.2">
      <c r="A1096" s="55"/>
      <c r="C1096" s="55"/>
    </row>
    <row r="1097" spans="1:8" hidden="1" x14ac:dyDescent="0.2">
      <c r="A1097" s="55"/>
      <c r="C1097" s="55"/>
      <c r="H1097"/>
    </row>
    <row r="1098" spans="1:8" hidden="1" x14ac:dyDescent="0.2">
      <c r="A1098" s="55"/>
      <c r="C1098" s="55"/>
      <c r="H1098"/>
    </row>
    <row r="1099" spans="1:8" hidden="1" x14ac:dyDescent="0.2">
      <c r="A1099" s="55"/>
      <c r="C1099" s="55"/>
      <c r="H1099"/>
    </row>
    <row r="1100" spans="1:8" hidden="1" x14ac:dyDescent="0.2">
      <c r="A1100" s="55"/>
      <c r="C1100" s="55"/>
      <c r="H1100"/>
    </row>
    <row r="1101" spans="1:8" hidden="1" x14ac:dyDescent="0.2">
      <c r="A1101" s="55"/>
      <c r="C1101" s="55"/>
      <c r="H1101"/>
    </row>
    <row r="1102" spans="1:8" hidden="1" x14ac:dyDescent="0.2">
      <c r="A1102" s="55"/>
      <c r="C1102" s="55"/>
      <c r="F1102" s="50"/>
      <c r="H1102"/>
    </row>
    <row r="1103" spans="1:8" hidden="1" x14ac:dyDescent="0.2">
      <c r="F1103" s="50"/>
    </row>
    <row r="1104" spans="1:8" hidden="1" x14ac:dyDescent="0.2">
      <c r="A1104" s="55"/>
      <c r="C1104" s="55"/>
    </row>
    <row r="1105" spans="1:8" hidden="1" x14ac:dyDescent="0.2">
      <c r="A1105" s="55"/>
      <c r="C1105" s="55"/>
    </row>
    <row r="1106" spans="1:8" hidden="1" x14ac:dyDescent="0.2">
      <c r="A1106" s="55"/>
      <c r="C1106" s="55"/>
    </row>
    <row r="1107" spans="1:8" hidden="1" x14ac:dyDescent="0.2">
      <c r="A1107" s="55"/>
      <c r="C1107" s="55"/>
    </row>
    <row r="1108" spans="1:8" hidden="1" x14ac:dyDescent="0.2">
      <c r="A1108" s="55"/>
      <c r="C1108" s="55"/>
    </row>
    <row r="1109" spans="1:8" hidden="1" x14ac:dyDescent="0.2">
      <c r="A1109" s="55"/>
      <c r="C1109" s="55"/>
    </row>
    <row r="1110" spans="1:8" hidden="1" x14ac:dyDescent="0.2">
      <c r="A1110" s="55"/>
      <c r="C1110" s="55"/>
      <c r="H1110"/>
    </row>
    <row r="1111" spans="1:8" hidden="1" x14ac:dyDescent="0.2">
      <c r="A1111" s="55"/>
      <c r="C1111" s="55"/>
    </row>
    <row r="1112" spans="1:8" hidden="1" x14ac:dyDescent="0.2">
      <c r="A1112" s="55"/>
      <c r="C1112" s="55"/>
    </row>
    <row r="1113" spans="1:8" hidden="1" x14ac:dyDescent="0.2">
      <c r="A1113" s="55"/>
      <c r="C1113" s="55"/>
    </row>
    <row r="1114" spans="1:8" hidden="1" x14ac:dyDescent="0.2">
      <c r="A1114" s="55"/>
      <c r="C1114" s="55"/>
    </row>
    <row r="1115" spans="1:8" hidden="1" x14ac:dyDescent="0.2">
      <c r="A1115" s="55"/>
      <c r="C1115" s="55"/>
    </row>
    <row r="1116" spans="1:8" hidden="1" x14ac:dyDescent="0.2">
      <c r="A1116" s="55"/>
      <c r="C1116" s="55"/>
    </row>
    <row r="1117" spans="1:8" hidden="1" x14ac:dyDescent="0.2">
      <c r="A1117" s="55"/>
      <c r="C1117" s="55"/>
    </row>
    <row r="1118" spans="1:8" hidden="1" x14ac:dyDescent="0.2">
      <c r="A1118" s="55"/>
      <c r="C1118" s="55"/>
    </row>
    <row r="1119" spans="1:8" hidden="1" x14ac:dyDescent="0.2">
      <c r="A1119" s="55"/>
      <c r="C1119" s="55"/>
    </row>
    <row r="1120" spans="1:8" hidden="1" x14ac:dyDescent="0.2">
      <c r="A1120" s="55"/>
      <c r="C1120" s="55"/>
    </row>
    <row r="1121" spans="1:6" hidden="1" x14ac:dyDescent="0.2">
      <c r="A1121" s="55"/>
      <c r="C1121" s="55"/>
    </row>
    <row r="1122" spans="1:6" hidden="1" x14ac:dyDescent="0.2">
      <c r="A1122" s="55"/>
      <c r="C1122" s="55"/>
      <c r="F1122" s="50"/>
    </row>
    <row r="1123" spans="1:6" hidden="1" x14ac:dyDescent="0.2">
      <c r="A1123" s="55"/>
      <c r="C1123" s="55"/>
      <c r="F1123" s="50"/>
    </row>
    <row r="1124" spans="1:6" hidden="1" x14ac:dyDescent="0.2">
      <c r="A1124" s="55"/>
      <c r="C1124" s="55"/>
    </row>
    <row r="1125" spans="1:6" hidden="1" x14ac:dyDescent="0.2">
      <c r="A1125" s="55"/>
      <c r="C1125" s="55"/>
    </row>
    <row r="1126" spans="1:6" hidden="1" x14ac:dyDescent="0.2">
      <c r="A1126" s="55"/>
      <c r="C1126" s="55"/>
    </row>
    <row r="1127" spans="1:6" hidden="1" x14ac:dyDescent="0.2">
      <c r="A1127" s="55"/>
      <c r="C1127" s="55"/>
    </row>
    <row r="1128" spans="1:6" hidden="1" x14ac:dyDescent="0.2">
      <c r="A1128" s="55"/>
      <c r="C1128" s="55"/>
    </row>
    <row r="1129" spans="1:6" hidden="1" x14ac:dyDescent="0.2">
      <c r="A1129" s="55"/>
      <c r="C1129" s="55"/>
    </row>
    <row r="1130" spans="1:6" hidden="1" x14ac:dyDescent="0.2">
      <c r="A1130" s="55"/>
      <c r="C1130" s="55"/>
    </row>
    <row r="1131" spans="1:6" hidden="1" x14ac:dyDescent="0.2">
      <c r="A1131" s="55"/>
      <c r="C1131" s="55"/>
    </row>
    <row r="1134" spans="1:6" hidden="1" x14ac:dyDescent="0.2">
      <c r="A1134" s="55"/>
      <c r="C1134" s="55"/>
    </row>
    <row r="1135" spans="1:6" hidden="1" x14ac:dyDescent="0.2">
      <c r="A1135" s="55"/>
      <c r="C1135" s="55"/>
    </row>
    <row r="1136" spans="1:6" hidden="1" x14ac:dyDescent="0.2">
      <c r="A1136" s="55"/>
      <c r="C1136" s="55"/>
    </row>
    <row r="1137" spans="1:6" hidden="1" x14ac:dyDescent="0.2">
      <c r="A1137" s="55"/>
      <c r="C1137" s="55"/>
    </row>
    <row r="1138" spans="1:6" hidden="1" x14ac:dyDescent="0.2">
      <c r="A1138" s="55"/>
      <c r="C1138" s="55"/>
    </row>
    <row r="1139" spans="1:6" hidden="1" x14ac:dyDescent="0.2">
      <c r="A1139" s="55"/>
      <c r="C1139" s="55"/>
    </row>
    <row r="1140" spans="1:6" hidden="1" x14ac:dyDescent="0.2">
      <c r="A1140" s="55"/>
      <c r="C1140" s="55"/>
      <c r="F1140" s="50"/>
    </row>
    <row r="1141" spans="1:6" hidden="1" x14ac:dyDescent="0.2">
      <c r="A1141" s="55"/>
      <c r="C1141" s="55"/>
    </row>
    <row r="1142" spans="1:6" hidden="1" x14ac:dyDescent="0.2">
      <c r="F1142" s="50"/>
    </row>
    <row r="1143" spans="1:6" hidden="1" x14ac:dyDescent="0.2">
      <c r="F1143" s="50"/>
    </row>
    <row r="1144" spans="1:6" hidden="1" x14ac:dyDescent="0.2">
      <c r="F1144" s="50"/>
    </row>
    <row r="1145" spans="1:6" hidden="1" x14ac:dyDescent="0.2">
      <c r="F1145" s="50"/>
    </row>
    <row r="1146" spans="1:6" hidden="1" x14ac:dyDescent="0.2">
      <c r="F1146" s="50"/>
    </row>
    <row r="1147" spans="1:6" hidden="1" x14ac:dyDescent="0.2">
      <c r="F1147" s="50"/>
    </row>
    <row r="1148" spans="1:6" hidden="1" x14ac:dyDescent="0.2">
      <c r="F1148" s="50"/>
    </row>
    <row r="1149" spans="1:6" hidden="1" x14ac:dyDescent="0.2">
      <c r="F1149" s="50"/>
    </row>
    <row r="1150" spans="1:6" hidden="1" x14ac:dyDescent="0.2">
      <c r="F1150" s="50"/>
    </row>
    <row r="1151" spans="1:6" hidden="1" x14ac:dyDescent="0.2">
      <c r="F1151" s="50"/>
    </row>
    <row r="1152" spans="1:6" hidden="1" x14ac:dyDescent="0.2">
      <c r="F1152" s="50"/>
    </row>
    <row r="1153" spans="1:6" hidden="1" x14ac:dyDescent="0.2">
      <c r="F1153" s="50"/>
    </row>
    <row r="1154" spans="1:6" hidden="1" x14ac:dyDescent="0.2">
      <c r="F1154" s="50"/>
    </row>
    <row r="1155" spans="1:6" hidden="1" x14ac:dyDescent="0.2">
      <c r="F1155" s="50"/>
    </row>
    <row r="1156" spans="1:6" hidden="1" x14ac:dyDescent="0.2">
      <c r="F1156" s="50"/>
    </row>
    <row r="1157" spans="1:6" ht="15" hidden="1" x14ac:dyDescent="0.25">
      <c r="A1157" s="58"/>
      <c r="C1157" s="58"/>
    </row>
    <row r="1158" spans="1:6" hidden="1" x14ac:dyDescent="0.2">
      <c r="F1158" s="50"/>
    </row>
    <row r="1159" spans="1:6" hidden="1" x14ac:dyDescent="0.2">
      <c r="F1159" s="50"/>
    </row>
    <row r="1160" spans="1:6" hidden="1" x14ac:dyDescent="0.2">
      <c r="F1160" s="50"/>
    </row>
    <row r="1161" spans="1:6" hidden="1" x14ac:dyDescent="0.2">
      <c r="F1161" s="50"/>
    </row>
    <row r="1162" spans="1:6" hidden="1" x14ac:dyDescent="0.2">
      <c r="F1162" s="50"/>
    </row>
    <row r="1163" spans="1:6" hidden="1" x14ac:dyDescent="0.2">
      <c r="F1163" s="50"/>
    </row>
    <row r="1164" spans="1:6" hidden="1" x14ac:dyDescent="0.2">
      <c r="F1164" s="50"/>
    </row>
    <row r="1165" spans="1:6" hidden="1" x14ac:dyDescent="0.2">
      <c r="F1165" s="50"/>
    </row>
    <row r="1166" spans="1:6" hidden="1" x14ac:dyDescent="0.2">
      <c r="F1166" s="50"/>
    </row>
    <row r="1167" spans="1:6" hidden="1" x14ac:dyDescent="0.2">
      <c r="F1167" s="50"/>
    </row>
    <row r="1168" spans="1:6" hidden="1" x14ac:dyDescent="0.2">
      <c r="F1168" s="50"/>
    </row>
    <row r="1169" spans="6:6" hidden="1" x14ac:dyDescent="0.2">
      <c r="F1169" s="50"/>
    </row>
    <row r="1170" spans="6:6" hidden="1" x14ac:dyDescent="0.2">
      <c r="F1170" s="50"/>
    </row>
    <row r="1171" spans="6:6" hidden="1" x14ac:dyDescent="0.2">
      <c r="F1171" s="50"/>
    </row>
    <row r="1172" spans="6:6" hidden="1" x14ac:dyDescent="0.2">
      <c r="F1172" s="50"/>
    </row>
    <row r="1173" spans="6:6" hidden="1" x14ac:dyDescent="0.2">
      <c r="F1173" s="50"/>
    </row>
    <row r="1174" spans="6:6" hidden="1" x14ac:dyDescent="0.2">
      <c r="F1174" s="50"/>
    </row>
    <row r="1175" spans="6:6" hidden="1" x14ac:dyDescent="0.2">
      <c r="F1175" s="50"/>
    </row>
    <row r="1176" spans="6:6" hidden="1" x14ac:dyDescent="0.2">
      <c r="F1176" s="50"/>
    </row>
    <row r="1177" spans="6:6" hidden="1" x14ac:dyDescent="0.2">
      <c r="F1177" s="50"/>
    </row>
    <row r="1178" spans="6:6" hidden="1" x14ac:dyDescent="0.2">
      <c r="F1178" s="50"/>
    </row>
    <row r="1179" spans="6:6" hidden="1" x14ac:dyDescent="0.2">
      <c r="F1179" s="50"/>
    </row>
    <row r="1180" spans="6:6" hidden="1" x14ac:dyDescent="0.2">
      <c r="F1180" s="50"/>
    </row>
    <row r="1181" spans="6:6" hidden="1" x14ac:dyDescent="0.2">
      <c r="F1181" s="50"/>
    </row>
    <row r="1182" spans="6:6" hidden="1" x14ac:dyDescent="0.2">
      <c r="F1182" s="50"/>
    </row>
    <row r="1183" spans="6:6" hidden="1" x14ac:dyDescent="0.2">
      <c r="F1183" s="50"/>
    </row>
    <row r="1184" spans="6:6" hidden="1" x14ac:dyDescent="0.2">
      <c r="F1184" s="50"/>
    </row>
    <row r="1185" spans="1:6" hidden="1" x14ac:dyDescent="0.2">
      <c r="F1185" s="50"/>
    </row>
    <row r="1186" spans="1:6" hidden="1" x14ac:dyDescent="0.2">
      <c r="F1186" s="50"/>
    </row>
    <row r="1187" spans="1:6" hidden="1" x14ac:dyDescent="0.2">
      <c r="F1187" s="50"/>
    </row>
    <row r="1188" spans="1:6" hidden="1" x14ac:dyDescent="0.2">
      <c r="F1188" s="50"/>
    </row>
    <row r="1189" spans="1:6" hidden="1" x14ac:dyDescent="0.2">
      <c r="F1189" s="50"/>
    </row>
    <row r="1190" spans="1:6" hidden="1" x14ac:dyDescent="0.2">
      <c r="F1190" s="50"/>
    </row>
    <row r="1191" spans="1:6" hidden="1" x14ac:dyDescent="0.2">
      <c r="F1191" s="50"/>
    </row>
    <row r="1192" spans="1:6" hidden="1" x14ac:dyDescent="0.2">
      <c r="F1192" s="50"/>
    </row>
    <row r="1193" spans="1:6" hidden="1" x14ac:dyDescent="0.2">
      <c r="F1193" s="50"/>
    </row>
    <row r="1194" spans="1:6" ht="15.75" hidden="1" thickBot="1" x14ac:dyDescent="0.25">
      <c r="A1194" s="59"/>
      <c r="C1194" s="59"/>
    </row>
    <row r="1195" spans="1:6" hidden="1" x14ac:dyDescent="0.2">
      <c r="F1195" s="50"/>
    </row>
    <row r="1196" spans="1:6" hidden="1" x14ac:dyDescent="0.2">
      <c r="F1196" s="50"/>
    </row>
    <row r="1197" spans="1:6" hidden="1" x14ac:dyDescent="0.2">
      <c r="F1197" s="50"/>
    </row>
    <row r="1198" spans="1:6" hidden="1" x14ac:dyDescent="0.2">
      <c r="F1198" s="50"/>
    </row>
    <row r="1199" spans="1:6" hidden="1" x14ac:dyDescent="0.2">
      <c r="F1199" s="50"/>
    </row>
    <row r="1200" spans="1:6" hidden="1" x14ac:dyDescent="0.2">
      <c r="F1200" s="50"/>
    </row>
    <row r="1201" spans="6:6" hidden="1" x14ac:dyDescent="0.2">
      <c r="F1201" s="50"/>
    </row>
    <row r="1202" spans="6:6" hidden="1" x14ac:dyDescent="0.2">
      <c r="F1202" s="50"/>
    </row>
    <row r="1203" spans="6:6" hidden="1" x14ac:dyDescent="0.2">
      <c r="F1203" s="50"/>
    </row>
    <row r="1204" spans="6:6" hidden="1" x14ac:dyDescent="0.2">
      <c r="F1204" s="50"/>
    </row>
    <row r="1205" spans="6:6" hidden="1" x14ac:dyDescent="0.2">
      <c r="F1205" s="50"/>
    </row>
    <row r="1206" spans="6:6" hidden="1" x14ac:dyDescent="0.2">
      <c r="F1206" s="50"/>
    </row>
    <row r="1207" spans="6:6" hidden="1" x14ac:dyDescent="0.2">
      <c r="F1207" s="50"/>
    </row>
    <row r="1208" spans="6:6" hidden="1" x14ac:dyDescent="0.2">
      <c r="F1208" s="50"/>
    </row>
    <row r="1209" spans="6:6" hidden="1" x14ac:dyDescent="0.2">
      <c r="F1209" s="50"/>
    </row>
    <row r="1210" spans="6:6" hidden="1" x14ac:dyDescent="0.2">
      <c r="F1210" s="50"/>
    </row>
    <row r="1211" spans="6:6" hidden="1" x14ac:dyDescent="0.2">
      <c r="F1211" s="50"/>
    </row>
    <row r="1212" spans="6:6" hidden="1" x14ac:dyDescent="0.2">
      <c r="F1212" s="50"/>
    </row>
    <row r="1213" spans="6:6" hidden="1" x14ac:dyDescent="0.2">
      <c r="F1213" s="50"/>
    </row>
    <row r="1214" spans="6:6" hidden="1" x14ac:dyDescent="0.2">
      <c r="F1214" s="50"/>
    </row>
    <row r="1215" spans="6:6" hidden="1" x14ac:dyDescent="0.2">
      <c r="F1215" s="50"/>
    </row>
    <row r="1216" spans="6:6" hidden="1" x14ac:dyDescent="0.2">
      <c r="F1216" s="50"/>
    </row>
    <row r="1217" spans="6:6" hidden="1" x14ac:dyDescent="0.2">
      <c r="F1217" s="50"/>
    </row>
    <row r="1218" spans="6:6" hidden="1" x14ac:dyDescent="0.2">
      <c r="F1218" s="50"/>
    </row>
    <row r="1219" spans="6:6" hidden="1" x14ac:dyDescent="0.2">
      <c r="F1219" s="50"/>
    </row>
    <row r="1220" spans="6:6" hidden="1" x14ac:dyDescent="0.2">
      <c r="F1220" s="50"/>
    </row>
    <row r="1221" spans="6:6" hidden="1" x14ac:dyDescent="0.2">
      <c r="F1221" s="50"/>
    </row>
    <row r="1223" spans="6:6" hidden="1" x14ac:dyDescent="0.2">
      <c r="F1223" s="50"/>
    </row>
    <row r="1224" spans="6:6" hidden="1" x14ac:dyDescent="0.2">
      <c r="F1224" s="50"/>
    </row>
    <row r="1225" spans="6:6" hidden="1" x14ac:dyDescent="0.2">
      <c r="F1225" s="50"/>
    </row>
    <row r="1226" spans="6:6" hidden="1" x14ac:dyDescent="0.2">
      <c r="F1226" s="50"/>
    </row>
    <row r="1227" spans="6:6" hidden="1" x14ac:dyDescent="0.2">
      <c r="F1227" s="50"/>
    </row>
    <row r="1228" spans="6:6" hidden="1" x14ac:dyDescent="0.2">
      <c r="F1228" s="50"/>
    </row>
    <row r="1229" spans="6:6" hidden="1" x14ac:dyDescent="0.2">
      <c r="F1229" s="50"/>
    </row>
    <row r="1230" spans="6:6" hidden="1" x14ac:dyDescent="0.2">
      <c r="F1230" s="50"/>
    </row>
    <row r="1231" spans="6:6" hidden="1" x14ac:dyDescent="0.2">
      <c r="F1231" s="50"/>
    </row>
    <row r="1232" spans="6:6" hidden="1" x14ac:dyDescent="0.2">
      <c r="F1232" s="50"/>
    </row>
    <row r="1233" spans="1:6" hidden="1" x14ac:dyDescent="0.2">
      <c r="F1233" s="50"/>
    </row>
    <row r="1234" spans="1:6" hidden="1" x14ac:dyDescent="0.2">
      <c r="F1234" s="50"/>
    </row>
    <row r="1235" spans="1:6" hidden="1" x14ac:dyDescent="0.2">
      <c r="F1235" s="50"/>
    </row>
    <row r="1236" spans="1:6" hidden="1" x14ac:dyDescent="0.2">
      <c r="F1236" s="50"/>
    </row>
    <row r="1237" spans="1:6" hidden="1" x14ac:dyDescent="0.2">
      <c r="A1237" s="60"/>
    </row>
    <row r="1238" spans="1:6" hidden="1" x14ac:dyDescent="0.2">
      <c r="A1238" s="60"/>
      <c r="C1238" s="60"/>
    </row>
    <row r="1239" spans="1:6" hidden="1" x14ac:dyDescent="0.2">
      <c r="A1239" s="60"/>
      <c r="C1239" s="60"/>
    </row>
    <row r="1240" spans="1:6" hidden="1" x14ac:dyDescent="0.2">
      <c r="A1240" s="60"/>
      <c r="C1240" s="60"/>
    </row>
    <row r="1241" spans="1:6" hidden="1" x14ac:dyDescent="0.2">
      <c r="A1241" s="60"/>
      <c r="C1241" s="60"/>
    </row>
    <row r="1242" spans="1:6" hidden="1" x14ac:dyDescent="0.2">
      <c r="A1242" s="60"/>
      <c r="C1242" s="60"/>
    </row>
    <row r="1243" spans="1:6" hidden="1" x14ac:dyDescent="0.2">
      <c r="A1243" s="60"/>
      <c r="C1243" s="60"/>
    </row>
    <row r="1244" spans="1:6" hidden="1" x14ac:dyDescent="0.2">
      <c r="A1244" s="60"/>
      <c r="C1244" s="60"/>
    </row>
    <row r="1245" spans="1:6" hidden="1" x14ac:dyDescent="0.2">
      <c r="A1245" s="60"/>
      <c r="C1245" s="60"/>
    </row>
    <row r="1246" spans="1:6" hidden="1" x14ac:dyDescent="0.2">
      <c r="A1246" s="60"/>
      <c r="C1246" s="60"/>
    </row>
    <row r="1247" spans="1:6" hidden="1" x14ac:dyDescent="0.2">
      <c r="A1247" s="60"/>
      <c r="C1247" s="60"/>
    </row>
    <row r="1248" spans="1:6" hidden="1" x14ac:dyDescent="0.2">
      <c r="A1248" s="60"/>
      <c r="C1248" s="60"/>
    </row>
    <row r="1249" spans="1:8" hidden="1" x14ac:dyDescent="0.2">
      <c r="A1249" s="60"/>
      <c r="C1249" s="60"/>
    </row>
    <row r="1250" spans="1:8" hidden="1" x14ac:dyDescent="0.2">
      <c r="A1250" s="60"/>
      <c r="C1250" s="60"/>
    </row>
    <row r="1251" spans="1:8" hidden="1" x14ac:dyDescent="0.2">
      <c r="A1251" s="60"/>
      <c r="C1251" s="60"/>
    </row>
    <row r="1252" spans="1:8" ht="15" hidden="1" x14ac:dyDescent="0.25">
      <c r="A1252" s="60"/>
      <c r="C1252" s="60"/>
      <c r="H1252" s="62"/>
    </row>
    <row r="1253" spans="1:8" ht="15" hidden="1" x14ac:dyDescent="0.25">
      <c r="A1253" s="60"/>
      <c r="C1253" s="60"/>
      <c r="H1253" s="62"/>
    </row>
    <row r="1254" spans="1:8" hidden="1" x14ac:dyDescent="0.2">
      <c r="A1254" s="60"/>
      <c r="C1254" s="60"/>
    </row>
    <row r="1255" spans="1:8" hidden="1" x14ac:dyDescent="0.2">
      <c r="A1255" s="60"/>
      <c r="C1255" s="60"/>
    </row>
    <row r="1256" spans="1:8" hidden="1" x14ac:dyDescent="0.2">
      <c r="A1256" s="60"/>
      <c r="C1256" s="60"/>
    </row>
    <row r="1257" spans="1:8" hidden="1" x14ac:dyDescent="0.2">
      <c r="A1257" s="60"/>
      <c r="C1257" s="60"/>
    </row>
    <row r="1258" spans="1:8" hidden="1" x14ac:dyDescent="0.2">
      <c r="A1258" s="60"/>
      <c r="C1258" s="60"/>
    </row>
    <row r="1259" spans="1:8" hidden="1" x14ac:dyDescent="0.2">
      <c r="A1259" s="60"/>
      <c r="C1259" s="60"/>
    </row>
    <row r="1260" spans="1:8" hidden="1" x14ac:dyDescent="0.2">
      <c r="A1260" s="60"/>
      <c r="C1260" s="60"/>
    </row>
    <row r="1261" spans="1:8" hidden="1" x14ac:dyDescent="0.2">
      <c r="A1261" s="60"/>
      <c r="C1261" s="60"/>
    </row>
    <row r="1262" spans="1:8" hidden="1" x14ac:dyDescent="0.2">
      <c r="A1262" s="60"/>
      <c r="C1262" s="60"/>
    </row>
    <row r="1263" spans="1:8" hidden="1" x14ac:dyDescent="0.2">
      <c r="A1263" s="60"/>
      <c r="C1263" s="60"/>
    </row>
    <row r="1264" spans="1:8" hidden="1" x14ac:dyDescent="0.2">
      <c r="A1264" s="60"/>
      <c r="C1264" s="60"/>
    </row>
    <row r="1265" spans="1:8" hidden="1" x14ac:dyDescent="0.2">
      <c r="A1265" s="60"/>
      <c r="C1265" s="60"/>
    </row>
    <row r="1266" spans="1:8" hidden="1" x14ac:dyDescent="0.2">
      <c r="A1266" s="60"/>
      <c r="C1266" s="60"/>
    </row>
    <row r="1267" spans="1:8" hidden="1" x14ac:dyDescent="0.2">
      <c r="A1267" s="60"/>
      <c r="C1267" s="60"/>
    </row>
    <row r="1268" spans="1:8" hidden="1" x14ac:dyDescent="0.2">
      <c r="F1268" s="50"/>
    </row>
    <row r="1269" spans="1:8" hidden="1" x14ac:dyDescent="0.2">
      <c r="F1269" s="50"/>
    </row>
    <row r="1270" spans="1:8" hidden="1" x14ac:dyDescent="0.2">
      <c r="F1270" s="50"/>
    </row>
    <row r="1271" spans="1:8" hidden="1" x14ac:dyDescent="0.2">
      <c r="F1271" s="50"/>
    </row>
    <row r="1272" spans="1:8" hidden="1" x14ac:dyDescent="0.2">
      <c r="F1272" s="50"/>
    </row>
    <row r="1273" spans="1:8" hidden="1" x14ac:dyDescent="0.2">
      <c r="F1273" s="50"/>
    </row>
    <row r="1274" spans="1:8" hidden="1" x14ac:dyDescent="0.2">
      <c r="F1274" s="50"/>
    </row>
    <row r="1275" spans="1:8" hidden="1" x14ac:dyDescent="0.2">
      <c r="F1275" s="50"/>
    </row>
    <row r="1276" spans="1:8" hidden="1" x14ac:dyDescent="0.2">
      <c r="F1276" s="50"/>
    </row>
    <row r="1277" spans="1:8" ht="15" hidden="1" x14ac:dyDescent="0.25">
      <c r="F1277" s="50"/>
      <c r="H1277" s="62"/>
    </row>
    <row r="1278" spans="1:8" ht="15" hidden="1" x14ac:dyDescent="0.25">
      <c r="F1278" s="50"/>
      <c r="H1278" s="62"/>
    </row>
    <row r="1279" spans="1:8" hidden="1" x14ac:dyDescent="0.2">
      <c r="F1279" s="50"/>
    </row>
    <row r="1280" spans="1:8" hidden="1" x14ac:dyDescent="0.2">
      <c r="F1280" s="50"/>
    </row>
    <row r="1281" spans="6:6" hidden="1" x14ac:dyDescent="0.2">
      <c r="F1281" s="50"/>
    </row>
    <row r="1282" spans="6:6" hidden="1" x14ac:dyDescent="0.2">
      <c r="F1282" s="50"/>
    </row>
    <row r="1283" spans="6:6" hidden="1" x14ac:dyDescent="0.2">
      <c r="F1283" s="50"/>
    </row>
    <row r="1284" spans="6:6" hidden="1" x14ac:dyDescent="0.2">
      <c r="F1284" s="50"/>
    </row>
    <row r="1285" spans="6:6" hidden="1" x14ac:dyDescent="0.2">
      <c r="F1285" s="50"/>
    </row>
    <row r="1286" spans="6:6" hidden="1" x14ac:dyDescent="0.2">
      <c r="F1286" s="50"/>
    </row>
    <row r="1287" spans="6:6" hidden="1" x14ac:dyDescent="0.2">
      <c r="F1287" s="50"/>
    </row>
    <row r="1288" spans="6:6" hidden="1" x14ac:dyDescent="0.2">
      <c r="F1288" s="50"/>
    </row>
    <row r="1289" spans="6:6" hidden="1" x14ac:dyDescent="0.2">
      <c r="F1289" s="50"/>
    </row>
    <row r="1290" spans="6:6" hidden="1" x14ac:dyDescent="0.2">
      <c r="F1290" s="50"/>
    </row>
    <row r="1291" spans="6:6" hidden="1" x14ac:dyDescent="0.2">
      <c r="F1291" s="50"/>
    </row>
    <row r="1292" spans="6:6" hidden="1" x14ac:dyDescent="0.2">
      <c r="F1292" s="50"/>
    </row>
    <row r="1293" spans="6:6" hidden="1" x14ac:dyDescent="0.2">
      <c r="F1293" s="50"/>
    </row>
    <row r="1294" spans="6:6" hidden="1" x14ac:dyDescent="0.2">
      <c r="F1294" s="50"/>
    </row>
    <row r="1295" spans="6:6" hidden="1" x14ac:dyDescent="0.2">
      <c r="F1295" s="50"/>
    </row>
    <row r="1296" spans="6:6" hidden="1" x14ac:dyDescent="0.2">
      <c r="F1296" s="50"/>
    </row>
    <row r="1297" spans="6:8" hidden="1" x14ac:dyDescent="0.2">
      <c r="F1297" s="50"/>
    </row>
    <row r="1298" spans="6:8" hidden="1" x14ac:dyDescent="0.2">
      <c r="F1298" s="50"/>
    </row>
    <row r="1299" spans="6:8" hidden="1" x14ac:dyDescent="0.2">
      <c r="F1299" s="50"/>
    </row>
    <row r="1300" spans="6:8" hidden="1" x14ac:dyDescent="0.2">
      <c r="F1300" s="50"/>
    </row>
    <row r="1301" spans="6:8" hidden="1" x14ac:dyDescent="0.2">
      <c r="F1301" s="50"/>
    </row>
    <row r="1302" spans="6:8" hidden="1" x14ac:dyDescent="0.2">
      <c r="F1302" s="50"/>
    </row>
    <row r="1303" spans="6:8" hidden="1" x14ac:dyDescent="0.2">
      <c r="F1303" s="50"/>
    </row>
    <row r="1304" spans="6:8" hidden="1" x14ac:dyDescent="0.2">
      <c r="F1304" s="50"/>
    </row>
    <row r="1305" spans="6:8" hidden="1" x14ac:dyDescent="0.2">
      <c r="F1305" s="50"/>
    </row>
    <row r="1306" spans="6:8" ht="15" hidden="1" x14ac:dyDescent="0.25">
      <c r="F1306" s="50"/>
      <c r="H1306" s="62"/>
    </row>
    <row r="1307" spans="6:8" hidden="1" x14ac:dyDescent="0.2">
      <c r="F1307" s="50"/>
    </row>
    <row r="1308" spans="6:8" hidden="1" x14ac:dyDescent="0.2">
      <c r="F1308" s="50"/>
    </row>
    <row r="1309" spans="6:8" hidden="1" x14ac:dyDescent="0.2">
      <c r="F1309" s="50"/>
    </row>
    <row r="1310" spans="6:8" hidden="1" x14ac:dyDescent="0.2">
      <c r="F1310" s="50"/>
    </row>
    <row r="1311" spans="6:8" hidden="1" x14ac:dyDescent="0.2">
      <c r="F1311" s="50"/>
    </row>
    <row r="1312" spans="6:8" hidden="1" x14ac:dyDescent="0.2">
      <c r="F1312" s="50"/>
    </row>
    <row r="1313" spans="6:6" hidden="1" x14ac:dyDescent="0.2">
      <c r="F1313" s="50"/>
    </row>
    <row r="1314" spans="6:6" hidden="1" x14ac:dyDescent="0.2">
      <c r="F1314" s="50"/>
    </row>
    <row r="1315" spans="6:6" hidden="1" x14ac:dyDescent="0.2">
      <c r="F1315" s="50"/>
    </row>
    <row r="1316" spans="6:6" hidden="1" x14ac:dyDescent="0.2">
      <c r="F1316" s="50"/>
    </row>
    <row r="1317" spans="6:6" hidden="1" x14ac:dyDescent="0.2">
      <c r="F1317" s="50"/>
    </row>
    <row r="1318" spans="6:6" hidden="1" x14ac:dyDescent="0.2">
      <c r="F1318" s="50"/>
    </row>
    <row r="1319" spans="6:6" hidden="1" x14ac:dyDescent="0.2">
      <c r="F1319" s="50"/>
    </row>
    <row r="1320" spans="6:6" hidden="1" x14ac:dyDescent="0.2">
      <c r="F1320" s="50"/>
    </row>
    <row r="1321" spans="6:6" hidden="1" x14ac:dyDescent="0.2">
      <c r="F1321" s="50"/>
    </row>
    <row r="1322" spans="6:6" hidden="1" x14ac:dyDescent="0.2">
      <c r="F1322" s="50"/>
    </row>
    <row r="1323" spans="6:6" hidden="1" x14ac:dyDescent="0.2">
      <c r="F1323" s="50"/>
    </row>
    <row r="1324" spans="6:6" hidden="1" x14ac:dyDescent="0.2">
      <c r="F1324" s="50"/>
    </row>
    <row r="1325" spans="6:6" hidden="1" x14ac:dyDescent="0.2">
      <c r="F1325" s="50"/>
    </row>
    <row r="1326" spans="6:6" hidden="1" x14ac:dyDescent="0.2">
      <c r="F1326" s="50"/>
    </row>
    <row r="1327" spans="6:6" hidden="1" x14ac:dyDescent="0.2">
      <c r="F1327" s="50"/>
    </row>
    <row r="1328" spans="6:6" hidden="1" x14ac:dyDescent="0.2">
      <c r="F1328" s="50"/>
    </row>
    <row r="1329" spans="6:6" hidden="1" x14ac:dyDescent="0.2">
      <c r="F1329" s="50"/>
    </row>
    <row r="1330" spans="6:6" hidden="1" x14ac:dyDescent="0.2">
      <c r="F1330" s="50"/>
    </row>
    <row r="1331" spans="6:6" hidden="1" x14ac:dyDescent="0.2">
      <c r="F1331" s="50"/>
    </row>
    <row r="1332" spans="6:6" hidden="1" x14ac:dyDescent="0.2">
      <c r="F1332" s="50"/>
    </row>
    <row r="1333" spans="6:6" hidden="1" x14ac:dyDescent="0.2">
      <c r="F1333" s="50"/>
    </row>
    <row r="1334" spans="6:6" hidden="1" x14ac:dyDescent="0.2">
      <c r="F1334" s="50"/>
    </row>
    <row r="1335" spans="6:6" hidden="1" x14ac:dyDescent="0.2">
      <c r="F1335" s="50"/>
    </row>
    <row r="1336" spans="6:6" hidden="1" x14ac:dyDescent="0.2">
      <c r="F1336" s="50"/>
    </row>
    <row r="1337" spans="6:6" hidden="1" x14ac:dyDescent="0.2">
      <c r="F1337" s="50"/>
    </row>
    <row r="1338" spans="6:6" hidden="1" x14ac:dyDescent="0.2">
      <c r="F1338" s="50"/>
    </row>
    <row r="1339" spans="6:6" hidden="1" x14ac:dyDescent="0.2">
      <c r="F1339" s="50"/>
    </row>
    <row r="1340" spans="6:6" hidden="1" x14ac:dyDescent="0.2">
      <c r="F1340" s="50"/>
    </row>
    <row r="1341" spans="6:6" hidden="1" x14ac:dyDescent="0.2">
      <c r="F1341" s="50"/>
    </row>
    <row r="1342" spans="6:6" hidden="1" x14ac:dyDescent="0.2">
      <c r="F1342" s="50"/>
    </row>
    <row r="1343" spans="6:6" hidden="1" x14ac:dyDescent="0.2">
      <c r="F1343" s="50"/>
    </row>
    <row r="1344" spans="6:6" hidden="1" x14ac:dyDescent="0.2">
      <c r="F1344" s="50"/>
    </row>
    <row r="1345" spans="6:6" hidden="1" x14ac:dyDescent="0.2">
      <c r="F1345" s="50"/>
    </row>
    <row r="1346" spans="6:6" hidden="1" x14ac:dyDescent="0.2">
      <c r="F1346" s="50"/>
    </row>
    <row r="1347" spans="6:6" hidden="1" x14ac:dyDescent="0.2">
      <c r="F1347" s="50"/>
    </row>
    <row r="1348" spans="6:6" hidden="1" x14ac:dyDescent="0.2">
      <c r="F1348" s="50"/>
    </row>
    <row r="1349" spans="6:6" hidden="1" x14ac:dyDescent="0.2">
      <c r="F1349" s="50"/>
    </row>
    <row r="1350" spans="6:6" hidden="1" x14ac:dyDescent="0.2">
      <c r="F1350" s="50"/>
    </row>
    <row r="1351" spans="6:6" hidden="1" x14ac:dyDescent="0.2">
      <c r="F1351" s="50"/>
    </row>
    <row r="1352" spans="6:6" hidden="1" x14ac:dyDescent="0.2">
      <c r="F1352" s="50"/>
    </row>
    <row r="1353" spans="6:6" hidden="1" x14ac:dyDescent="0.2">
      <c r="F1353" s="50"/>
    </row>
    <row r="1354" spans="6:6" hidden="1" x14ac:dyDescent="0.2">
      <c r="F1354" s="50"/>
    </row>
    <row r="1355" spans="6:6" hidden="1" x14ac:dyDescent="0.2">
      <c r="F1355" s="50"/>
    </row>
    <row r="1356" spans="6:6" hidden="1" x14ac:dyDescent="0.2">
      <c r="F1356" s="50"/>
    </row>
    <row r="1357" spans="6:6" hidden="1" x14ac:dyDescent="0.2">
      <c r="F1357" s="50"/>
    </row>
    <row r="1358" spans="6:6" hidden="1" x14ac:dyDescent="0.2">
      <c r="F1358" s="50"/>
    </row>
    <row r="1359" spans="6:6" hidden="1" x14ac:dyDescent="0.2">
      <c r="F1359" s="50"/>
    </row>
    <row r="1360" spans="6:6" hidden="1" x14ac:dyDescent="0.2">
      <c r="F1360" s="50"/>
    </row>
    <row r="1361" spans="6:8" hidden="1" x14ac:dyDescent="0.2">
      <c r="F1361" s="50"/>
    </row>
    <row r="1362" spans="6:8" hidden="1" x14ac:dyDescent="0.2">
      <c r="F1362" s="50"/>
    </row>
    <row r="1363" spans="6:8" hidden="1" x14ac:dyDescent="0.2">
      <c r="F1363" s="50"/>
    </row>
    <row r="1364" spans="6:8" hidden="1" x14ac:dyDescent="0.2">
      <c r="F1364" s="50"/>
    </row>
    <row r="1365" spans="6:8" hidden="1" x14ac:dyDescent="0.2">
      <c r="F1365" s="50"/>
    </row>
    <row r="1366" spans="6:8" hidden="1" x14ac:dyDescent="0.2">
      <c r="F1366" s="50"/>
    </row>
    <row r="1367" spans="6:8" hidden="1" x14ac:dyDescent="0.2">
      <c r="F1367" s="50"/>
    </row>
    <row r="1368" spans="6:8" hidden="1" x14ac:dyDescent="0.2">
      <c r="F1368" s="50"/>
    </row>
    <row r="1369" spans="6:8" hidden="1" x14ac:dyDescent="0.2">
      <c r="F1369" s="50"/>
    </row>
    <row r="1370" spans="6:8" hidden="1" x14ac:dyDescent="0.2">
      <c r="F1370" s="50"/>
    </row>
    <row r="1371" spans="6:8" hidden="1" x14ac:dyDescent="0.2">
      <c r="F1371" s="50"/>
    </row>
    <row r="1372" spans="6:8" hidden="1" x14ac:dyDescent="0.2">
      <c r="F1372" s="50"/>
    </row>
    <row r="1373" spans="6:8" hidden="1" x14ac:dyDescent="0.2">
      <c r="F1373" s="50"/>
    </row>
    <row r="1374" spans="6:8" hidden="1" x14ac:dyDescent="0.2">
      <c r="F1374" s="50"/>
    </row>
    <row r="1375" spans="6:8" hidden="1" x14ac:dyDescent="0.2">
      <c r="F1375" s="50"/>
      <c r="G1375" s="50"/>
      <c r="H1375" s="50"/>
    </row>
    <row r="1376" spans="6:8" hidden="1" x14ac:dyDescent="0.2">
      <c r="F1376" s="50"/>
    </row>
    <row r="1377" spans="6:6" hidden="1" x14ac:dyDescent="0.2">
      <c r="F1377" s="50"/>
    </row>
    <row r="1379" spans="6:6" hidden="1" x14ac:dyDescent="0.2">
      <c r="F1379" s="50"/>
    </row>
    <row r="1380" spans="6:6" hidden="1" x14ac:dyDescent="0.2">
      <c r="F1380" s="50"/>
    </row>
    <row r="1381" spans="6:6" hidden="1" x14ac:dyDescent="0.2">
      <c r="F1381" s="50"/>
    </row>
    <row r="1382" spans="6:6" hidden="1" x14ac:dyDescent="0.2">
      <c r="F1382" s="50"/>
    </row>
    <row r="1383" spans="6:6" hidden="1" x14ac:dyDescent="0.2">
      <c r="F1383" s="50"/>
    </row>
    <row r="1384" spans="6:6" hidden="1" x14ac:dyDescent="0.2">
      <c r="F1384" s="50"/>
    </row>
    <row r="1385" spans="6:6" hidden="1" x14ac:dyDescent="0.2">
      <c r="F1385" s="50"/>
    </row>
    <row r="1386" spans="6:6" hidden="1" x14ac:dyDescent="0.2">
      <c r="F1386" s="50"/>
    </row>
    <row r="1387" spans="6:6" hidden="1" x14ac:dyDescent="0.2">
      <c r="F1387" s="50"/>
    </row>
    <row r="1388" spans="6:6" hidden="1" x14ac:dyDescent="0.2">
      <c r="F1388" s="50"/>
    </row>
    <row r="1389" spans="6:6" hidden="1" x14ac:dyDescent="0.2">
      <c r="F1389" s="50"/>
    </row>
    <row r="1390" spans="6:6" hidden="1" x14ac:dyDescent="0.2">
      <c r="F1390" s="50"/>
    </row>
    <row r="1391" spans="6:6" hidden="1" x14ac:dyDescent="0.2">
      <c r="F1391" s="50"/>
    </row>
    <row r="1392" spans="6:6" hidden="1" x14ac:dyDescent="0.2">
      <c r="F1392" s="50"/>
    </row>
    <row r="1393" spans="1:6" hidden="1" x14ac:dyDescent="0.2">
      <c r="F1393" s="50"/>
    </row>
    <row r="1394" spans="1:6" ht="15" hidden="1" thickBot="1" x14ac:dyDescent="0.25">
      <c r="F1394" s="50"/>
    </row>
    <row r="1395" spans="1:6" ht="15.75" hidden="1" thickBot="1" x14ac:dyDescent="0.25">
      <c r="A1395" s="63"/>
      <c r="C1395" s="63"/>
    </row>
    <row r="1396" spans="1:6" ht="15.75" hidden="1" thickBot="1" x14ac:dyDescent="0.25">
      <c r="A1396" s="59"/>
      <c r="C1396" s="59"/>
    </row>
    <row r="1397" spans="1:6" ht="15.75" hidden="1" thickBot="1" x14ac:dyDescent="0.25">
      <c r="A1397" s="59"/>
      <c r="C1397" s="59"/>
    </row>
    <row r="1398" spans="1:6" ht="15.75" hidden="1" thickBot="1" x14ac:dyDescent="0.25">
      <c r="A1398" s="59"/>
      <c r="C1398" s="59"/>
    </row>
    <row r="1399" spans="1:6" ht="15.75" hidden="1" thickBot="1" x14ac:dyDescent="0.25">
      <c r="A1399" s="59"/>
      <c r="C1399" s="59"/>
    </row>
    <row r="1400" spans="1:6" ht="15.75" hidden="1" thickBot="1" x14ac:dyDescent="0.25">
      <c r="A1400" s="59"/>
      <c r="C1400" s="59"/>
    </row>
    <row r="1401" spans="1:6" ht="15.75" hidden="1" thickBot="1" x14ac:dyDescent="0.25">
      <c r="A1401" s="59"/>
      <c r="C1401" s="59"/>
    </row>
    <row r="1402" spans="1:6" ht="15.75" hidden="1" thickBot="1" x14ac:dyDescent="0.25">
      <c r="A1402" s="59"/>
      <c r="C1402" s="59"/>
    </row>
    <row r="1403" spans="1:6" ht="15.75" hidden="1" thickBot="1" x14ac:dyDescent="0.25">
      <c r="A1403" s="59"/>
      <c r="C1403" s="59"/>
    </row>
    <row r="1404" spans="1:6" ht="15.75" hidden="1" thickBot="1" x14ac:dyDescent="0.25">
      <c r="A1404" s="63"/>
      <c r="C1404" s="63"/>
    </row>
    <row r="1405" spans="1:6" ht="15" hidden="1" x14ac:dyDescent="0.2">
      <c r="A1405" s="64"/>
      <c r="C1405" s="64"/>
    </row>
    <row r="1406" spans="1:6" ht="15" hidden="1" x14ac:dyDescent="0.2">
      <c r="A1406" s="64"/>
    </row>
    <row r="1407" spans="1:6" ht="15" hidden="1" x14ac:dyDescent="0.2">
      <c r="A1407" s="64"/>
      <c r="C1407" s="64"/>
    </row>
    <row r="1408" spans="1:6" ht="15" hidden="1" x14ac:dyDescent="0.2">
      <c r="A1408" s="64"/>
      <c r="C1408" s="64"/>
    </row>
    <row r="1409" spans="1:3" ht="15" hidden="1" x14ac:dyDescent="0.2">
      <c r="A1409" s="64"/>
      <c r="C1409" s="64"/>
    </row>
    <row r="1410" spans="1:3" ht="15" hidden="1" x14ac:dyDescent="0.2">
      <c r="A1410" s="64"/>
      <c r="C1410" s="64"/>
    </row>
    <row r="1411" spans="1:3" ht="15" hidden="1" x14ac:dyDescent="0.2">
      <c r="A1411" s="64"/>
      <c r="C1411" s="64"/>
    </row>
    <row r="1412" spans="1:3" ht="15" hidden="1" x14ac:dyDescent="0.2">
      <c r="A1412" s="64"/>
      <c r="C1412" s="64"/>
    </row>
    <row r="1413" spans="1:3" ht="15" hidden="1" x14ac:dyDescent="0.2">
      <c r="A1413" s="64"/>
      <c r="C1413" s="64"/>
    </row>
    <row r="1414" spans="1:3" ht="15" hidden="1" x14ac:dyDescent="0.2">
      <c r="A1414" s="64"/>
      <c r="C1414" s="64"/>
    </row>
    <row r="1415" spans="1:3" ht="15" hidden="1" x14ac:dyDescent="0.2">
      <c r="A1415" s="64"/>
      <c r="C1415" s="64"/>
    </row>
    <row r="1416" spans="1:3" ht="15" hidden="1" x14ac:dyDescent="0.2">
      <c r="A1416" s="64"/>
      <c r="C1416" s="64"/>
    </row>
    <row r="1417" spans="1:3" ht="15" hidden="1" x14ac:dyDescent="0.2">
      <c r="A1417" s="64"/>
      <c r="C1417" s="64"/>
    </row>
    <row r="1418" spans="1:3" ht="15" hidden="1" x14ac:dyDescent="0.2">
      <c r="A1418" s="64"/>
      <c r="C1418" s="64"/>
    </row>
    <row r="1419" spans="1:3" ht="15" hidden="1" x14ac:dyDescent="0.2">
      <c r="A1419" s="64"/>
      <c r="C1419" s="64"/>
    </row>
    <row r="1420" spans="1:3" ht="15" hidden="1" x14ac:dyDescent="0.2">
      <c r="A1420" s="64"/>
      <c r="C1420" s="64"/>
    </row>
    <row r="1421" spans="1:3" ht="15" hidden="1" x14ac:dyDescent="0.2">
      <c r="A1421" s="64"/>
      <c r="C1421" s="64"/>
    </row>
    <row r="1422" spans="1:3" ht="15" hidden="1" x14ac:dyDescent="0.2">
      <c r="A1422" s="64"/>
      <c r="C1422" s="64"/>
    </row>
    <row r="1423" spans="1:3" ht="15" hidden="1" x14ac:dyDescent="0.2">
      <c r="A1423" s="64"/>
      <c r="C1423" s="64"/>
    </row>
    <row r="1424" spans="1:3" ht="15" hidden="1" x14ac:dyDescent="0.2">
      <c r="A1424" s="64"/>
      <c r="C1424" s="64"/>
    </row>
    <row r="1425" spans="1:3" ht="15" hidden="1" x14ac:dyDescent="0.2">
      <c r="A1425" s="64"/>
      <c r="C1425" s="64"/>
    </row>
    <row r="1426" spans="1:3" ht="15" hidden="1" x14ac:dyDescent="0.2">
      <c r="A1426" s="64"/>
      <c r="C1426" s="64"/>
    </row>
    <row r="1427" spans="1:3" ht="15" hidden="1" x14ac:dyDescent="0.2">
      <c r="A1427" s="64"/>
      <c r="C1427" s="64"/>
    </row>
    <row r="1428" spans="1:3" ht="15" hidden="1" x14ac:dyDescent="0.2">
      <c r="A1428" s="64"/>
      <c r="C1428" s="64"/>
    </row>
    <row r="1429" spans="1:3" ht="15" hidden="1" x14ac:dyDescent="0.2">
      <c r="A1429" s="64"/>
      <c r="C1429" s="64"/>
    </row>
    <row r="1430" spans="1:3" ht="15" hidden="1" x14ac:dyDescent="0.2">
      <c r="A1430" s="64"/>
      <c r="C1430" s="64"/>
    </row>
    <row r="1431" spans="1:3" ht="15" hidden="1" x14ac:dyDescent="0.2">
      <c r="A1431" s="64"/>
      <c r="C1431" s="64"/>
    </row>
    <row r="1432" spans="1:3" ht="15" hidden="1" x14ac:dyDescent="0.2">
      <c r="A1432" s="64"/>
      <c r="C1432" s="64"/>
    </row>
    <row r="1433" spans="1:3" ht="15" hidden="1" x14ac:dyDescent="0.2">
      <c r="A1433" s="64"/>
      <c r="C1433" s="64"/>
    </row>
    <row r="1434" spans="1:3" ht="15" hidden="1" x14ac:dyDescent="0.2">
      <c r="A1434" s="64"/>
      <c r="C1434" s="64"/>
    </row>
    <row r="1435" spans="1:3" ht="15" hidden="1" x14ac:dyDescent="0.2">
      <c r="A1435" s="64"/>
      <c r="C1435" s="64"/>
    </row>
    <row r="1436" spans="1:3" ht="15" hidden="1" x14ac:dyDescent="0.2">
      <c r="A1436" s="64"/>
      <c r="C1436" s="64"/>
    </row>
    <row r="1437" spans="1:3" ht="15" hidden="1" x14ac:dyDescent="0.2">
      <c r="A1437" s="64"/>
      <c r="C1437" s="64"/>
    </row>
    <row r="1438" spans="1:3" ht="15" hidden="1" x14ac:dyDescent="0.2">
      <c r="A1438" s="64"/>
      <c r="C1438" s="64"/>
    </row>
    <row r="1439" spans="1:3" ht="15" hidden="1" x14ac:dyDescent="0.2">
      <c r="A1439" s="64"/>
      <c r="C1439" s="64"/>
    </row>
    <row r="1440" spans="1:3" ht="15" hidden="1" x14ac:dyDescent="0.2">
      <c r="A1440" s="64"/>
      <c r="C1440" s="64"/>
    </row>
    <row r="1441" spans="1:6" ht="15" hidden="1" x14ac:dyDescent="0.2">
      <c r="A1441" s="64"/>
      <c r="C1441" s="64"/>
    </row>
    <row r="1442" spans="1:6" ht="15" hidden="1" x14ac:dyDescent="0.2">
      <c r="A1442" s="64"/>
      <c r="C1442" s="64"/>
    </row>
    <row r="1443" spans="1:6" ht="15" hidden="1" x14ac:dyDescent="0.2">
      <c r="A1443" s="64"/>
      <c r="C1443" s="64"/>
    </row>
    <row r="1444" spans="1:6" ht="15" hidden="1" x14ac:dyDescent="0.2">
      <c r="A1444" s="64"/>
      <c r="C1444" s="64"/>
    </row>
    <row r="1445" spans="1:6" ht="15" hidden="1" x14ac:dyDescent="0.2">
      <c r="A1445" s="64"/>
      <c r="C1445" s="64"/>
    </row>
    <row r="1446" spans="1:6" ht="15" hidden="1" x14ac:dyDescent="0.2">
      <c r="A1446" s="64"/>
      <c r="C1446" s="64"/>
    </row>
    <row r="1447" spans="1:6" ht="15" hidden="1" x14ac:dyDescent="0.2">
      <c r="A1447" s="64"/>
      <c r="C1447" s="64"/>
    </row>
    <row r="1448" spans="1:6" ht="15" hidden="1" x14ac:dyDescent="0.2">
      <c r="A1448" s="64"/>
      <c r="C1448" s="64"/>
    </row>
    <row r="1449" spans="1:6" ht="15" hidden="1" x14ac:dyDescent="0.2">
      <c r="A1449" s="64"/>
      <c r="C1449" s="64"/>
    </row>
    <row r="1450" spans="1:6" ht="15" hidden="1" x14ac:dyDescent="0.2">
      <c r="A1450" s="64"/>
      <c r="C1450" s="64"/>
    </row>
    <row r="1451" spans="1:6" ht="15" hidden="1" x14ac:dyDescent="0.2">
      <c r="A1451" s="64"/>
      <c r="C1451" s="64"/>
    </row>
    <row r="1452" spans="1:6" ht="15" hidden="1" x14ac:dyDescent="0.2">
      <c r="A1452" s="64"/>
      <c r="C1452" s="64"/>
    </row>
    <row r="1453" spans="1:6" ht="15" hidden="1" x14ac:dyDescent="0.2">
      <c r="A1453" s="64"/>
      <c r="C1453" s="64"/>
    </row>
    <row r="1454" spans="1:6" ht="15" hidden="1" x14ac:dyDescent="0.2">
      <c r="A1454" s="64"/>
      <c r="C1454" s="64"/>
    </row>
    <row r="1455" spans="1:6" ht="15" hidden="1" x14ac:dyDescent="0.2">
      <c r="A1455" s="64"/>
      <c r="C1455" s="64"/>
    </row>
    <row r="1456" spans="1:6" hidden="1" x14ac:dyDescent="0.2">
      <c r="F1456" s="50"/>
    </row>
    <row r="1457" spans="1:6" hidden="1" x14ac:dyDescent="0.2">
      <c r="F1457" s="50"/>
    </row>
    <row r="1458" spans="1:6" hidden="1" x14ac:dyDescent="0.2">
      <c r="F1458" s="50"/>
    </row>
    <row r="1459" spans="1:6" hidden="1" x14ac:dyDescent="0.2">
      <c r="F1459" s="50"/>
    </row>
    <row r="1460" spans="1:6" hidden="1" x14ac:dyDescent="0.2">
      <c r="F1460" s="50"/>
    </row>
    <row r="1461" spans="1:6" hidden="1" x14ac:dyDescent="0.2">
      <c r="F1461" s="50"/>
    </row>
    <row r="1462" spans="1:6" hidden="1" x14ac:dyDescent="0.2">
      <c r="F1462" s="50"/>
    </row>
    <row r="1463" spans="1:6" hidden="1" x14ac:dyDescent="0.2">
      <c r="F1463" s="50"/>
    </row>
    <row r="1464" spans="1:6" hidden="1" x14ac:dyDescent="0.2">
      <c r="F1464" s="50"/>
    </row>
    <row r="1465" spans="1:6" hidden="1" x14ac:dyDescent="0.2">
      <c r="F1465" s="50"/>
    </row>
    <row r="1466" spans="1:6" hidden="1" x14ac:dyDescent="0.2">
      <c r="F1466" s="50"/>
    </row>
    <row r="1467" spans="1:6" hidden="1" x14ac:dyDescent="0.2">
      <c r="F1467" s="50"/>
    </row>
    <row r="1468" spans="1:6" hidden="1" x14ac:dyDescent="0.2">
      <c r="F1468" s="50"/>
    </row>
    <row r="1469" spans="1:6" hidden="1" x14ac:dyDescent="0.2">
      <c r="A1469" s="65"/>
      <c r="C1469" s="65"/>
    </row>
    <row r="1470" spans="1:6" hidden="1" x14ac:dyDescent="0.2">
      <c r="F1470" s="50"/>
    </row>
    <row r="1471" spans="1:6" hidden="1" x14ac:dyDescent="0.2">
      <c r="F1471" s="50"/>
    </row>
    <row r="1472" spans="1:6" hidden="1" x14ac:dyDescent="0.2">
      <c r="F1472" s="50"/>
    </row>
    <row r="1473" spans="1:8" hidden="1" x14ac:dyDescent="0.2">
      <c r="F1473" s="50"/>
    </row>
    <row r="1474" spans="1:8" ht="15" hidden="1" x14ac:dyDescent="0.25">
      <c r="A1474" s="60"/>
      <c r="C1474" s="60"/>
      <c r="H1474" s="62"/>
    </row>
    <row r="1475" spans="1:8" hidden="1" x14ac:dyDescent="0.2">
      <c r="F1475" s="50"/>
    </row>
    <row r="1476" spans="1:8" hidden="1" x14ac:dyDescent="0.2">
      <c r="F1476" s="50"/>
    </row>
    <row r="1477" spans="1:8" hidden="1" x14ac:dyDescent="0.2">
      <c r="F1477" s="50"/>
    </row>
    <row r="1479" spans="1:8" hidden="1" x14ac:dyDescent="0.2">
      <c r="F1479" s="50"/>
    </row>
    <row r="1480" spans="1:8" hidden="1" x14ac:dyDescent="0.2">
      <c r="F1480" s="50"/>
    </row>
    <row r="1481" spans="1:8" hidden="1" x14ac:dyDescent="0.2">
      <c r="F1481" s="50"/>
    </row>
    <row r="1482" spans="1:8" hidden="1" x14ac:dyDescent="0.2">
      <c r="F1482" s="50"/>
    </row>
    <row r="1483" spans="1:8" hidden="1" x14ac:dyDescent="0.2">
      <c r="F1483" s="50"/>
    </row>
    <row r="1484" spans="1:8" hidden="1" x14ac:dyDescent="0.2">
      <c r="F1484" s="50"/>
    </row>
    <row r="1485" spans="1:8" hidden="1" x14ac:dyDescent="0.2">
      <c r="F1485" s="50"/>
    </row>
    <row r="1486" spans="1:8" hidden="1" x14ac:dyDescent="0.2">
      <c r="F1486" s="50"/>
    </row>
    <row r="1487" spans="1:8" hidden="1" x14ac:dyDescent="0.2">
      <c r="F1487" s="50"/>
    </row>
    <row r="1488" spans="1:8" ht="15" hidden="1" x14ac:dyDescent="0.25">
      <c r="F1488" s="50"/>
      <c r="H1488" s="62"/>
    </row>
    <row r="1489" spans="1:6" hidden="1" x14ac:dyDescent="0.2">
      <c r="F1489" s="50"/>
    </row>
    <row r="1490" spans="1:6" hidden="1" x14ac:dyDescent="0.2">
      <c r="F1490" s="50"/>
    </row>
    <row r="1491" spans="1:6" hidden="1" x14ac:dyDescent="0.2">
      <c r="F1491" s="50"/>
    </row>
    <row r="1492" spans="1:6" hidden="1" x14ac:dyDescent="0.2">
      <c r="F1492" s="50"/>
    </row>
    <row r="1493" spans="1:6" hidden="1" x14ac:dyDescent="0.2">
      <c r="F1493" s="50"/>
    </row>
    <row r="1494" spans="1:6" hidden="1" x14ac:dyDescent="0.2">
      <c r="F1494" s="50"/>
    </row>
    <row r="1495" spans="1:6" hidden="1" x14ac:dyDescent="0.2">
      <c r="F1495" s="50"/>
    </row>
    <row r="1496" spans="1:6" hidden="1" x14ac:dyDescent="0.2">
      <c r="A1496" s="55"/>
      <c r="C1496" s="55"/>
    </row>
    <row r="1497" spans="1:6" hidden="1" x14ac:dyDescent="0.2">
      <c r="F1497" s="50"/>
    </row>
    <row r="1498" spans="1:6" hidden="1" x14ac:dyDescent="0.2">
      <c r="F1498" s="50"/>
    </row>
    <row r="1499" spans="1:6" hidden="1" x14ac:dyDescent="0.2">
      <c r="F1499" s="50"/>
    </row>
    <row r="1500" spans="1:6" hidden="1" x14ac:dyDescent="0.2">
      <c r="F1500" s="50"/>
    </row>
    <row r="1502" spans="1:6" hidden="1" x14ac:dyDescent="0.2">
      <c r="F1502" s="50"/>
    </row>
    <row r="1503" spans="1:6" hidden="1" x14ac:dyDescent="0.2">
      <c r="F1503" s="50"/>
    </row>
    <row r="1504" spans="1:6" hidden="1" x14ac:dyDescent="0.2">
      <c r="F1504" s="50"/>
    </row>
    <row r="1505" spans="6:6" hidden="1" x14ac:dyDescent="0.2">
      <c r="F1505" s="50"/>
    </row>
    <row r="1506" spans="6:6" hidden="1" x14ac:dyDescent="0.2">
      <c r="F1506" s="50"/>
    </row>
    <row r="1507" spans="6:6" hidden="1" x14ac:dyDescent="0.2">
      <c r="F1507" s="50"/>
    </row>
    <row r="1508" spans="6:6" hidden="1" x14ac:dyDescent="0.2">
      <c r="F1508" s="50"/>
    </row>
    <row r="1509" spans="6:6" hidden="1" x14ac:dyDescent="0.2">
      <c r="F1509" s="50"/>
    </row>
    <row r="1510" spans="6:6" hidden="1" x14ac:dyDescent="0.2">
      <c r="F1510" s="50"/>
    </row>
    <row r="1511" spans="6:6" hidden="1" x14ac:dyDescent="0.2">
      <c r="F1511" s="50"/>
    </row>
    <row r="1512" spans="6:6" hidden="1" x14ac:dyDescent="0.2">
      <c r="F1512" s="50"/>
    </row>
    <row r="1516" spans="6:6" hidden="1" x14ac:dyDescent="0.2">
      <c r="F1516" s="50"/>
    </row>
    <row r="1517" spans="6:6" hidden="1" x14ac:dyDescent="0.2">
      <c r="F1517" s="50"/>
    </row>
    <row r="1518" spans="6:6" hidden="1" x14ac:dyDescent="0.2">
      <c r="F1518" s="50"/>
    </row>
    <row r="1519" spans="6:6" hidden="1" x14ac:dyDescent="0.2">
      <c r="F1519" s="50"/>
    </row>
    <row r="1520" spans="6:6" hidden="1" x14ac:dyDescent="0.2">
      <c r="F1520" s="50"/>
    </row>
    <row r="1521" spans="1:6" hidden="1" x14ac:dyDescent="0.2">
      <c r="F1521" s="50"/>
    </row>
    <row r="1522" spans="1:6" hidden="1" x14ac:dyDescent="0.2">
      <c r="F1522" s="50"/>
    </row>
    <row r="1523" spans="1:6" hidden="1" x14ac:dyDescent="0.2">
      <c r="F1523" s="50"/>
    </row>
    <row r="1524" spans="1:6" hidden="1" x14ac:dyDescent="0.2">
      <c r="F1524" s="50"/>
    </row>
    <row r="1525" spans="1:6" hidden="1" x14ac:dyDescent="0.2">
      <c r="F1525" s="50"/>
    </row>
    <row r="1526" spans="1:6" hidden="1" x14ac:dyDescent="0.2">
      <c r="A1526" s="91"/>
      <c r="C1526" s="91"/>
      <c r="F1526" s="50"/>
    </row>
    <row r="1527" spans="1:6" hidden="1" x14ac:dyDescent="0.2">
      <c r="A1527" s="91"/>
      <c r="C1527" s="91"/>
      <c r="F1527" s="50"/>
    </row>
    <row r="1528" spans="1:6" hidden="1" x14ac:dyDescent="0.2">
      <c r="A1528" s="91"/>
      <c r="C1528" s="91"/>
      <c r="F1528" s="50"/>
    </row>
    <row r="1529" spans="1:6" hidden="1" x14ac:dyDescent="0.2">
      <c r="A1529" s="91"/>
      <c r="C1529" s="91"/>
      <c r="F1529" s="50"/>
    </row>
    <row r="1530" spans="1:6" hidden="1" x14ac:dyDescent="0.2">
      <c r="A1530" s="91"/>
      <c r="C1530" s="91"/>
      <c r="F1530" s="50"/>
    </row>
    <row r="1531" spans="1:6" hidden="1" x14ac:dyDescent="0.2">
      <c r="A1531" s="91"/>
      <c r="C1531" s="91"/>
      <c r="F1531" s="50"/>
    </row>
    <row r="1532" spans="1:6" hidden="1" x14ac:dyDescent="0.2">
      <c r="A1532" s="91"/>
      <c r="C1532" s="91"/>
      <c r="F1532" s="50"/>
    </row>
    <row r="1533" spans="1:6" hidden="1" x14ac:dyDescent="0.2">
      <c r="A1533" s="91"/>
      <c r="C1533" s="91"/>
      <c r="F1533" s="50"/>
    </row>
    <row r="1534" spans="1:6" hidden="1" x14ac:dyDescent="0.2">
      <c r="A1534" s="91"/>
      <c r="C1534" s="91"/>
      <c r="F1534" s="50"/>
    </row>
    <row r="1535" spans="1:6" hidden="1" x14ac:dyDescent="0.2">
      <c r="A1535" s="91"/>
      <c r="C1535" s="91"/>
      <c r="F1535" s="50"/>
    </row>
    <row r="1536" spans="1:6" hidden="1" x14ac:dyDescent="0.2">
      <c r="A1536" s="91"/>
      <c r="C1536" s="91"/>
      <c r="F1536" s="50"/>
    </row>
    <row r="1537" spans="1:6" hidden="1" x14ac:dyDescent="0.2">
      <c r="A1537" s="91"/>
      <c r="C1537" s="91"/>
      <c r="F1537" s="50"/>
    </row>
    <row r="1538" spans="1:6" hidden="1" x14ac:dyDescent="0.2">
      <c r="A1538" s="91"/>
      <c r="C1538" s="91"/>
      <c r="F1538" s="50"/>
    </row>
    <row r="1539" spans="1:6" hidden="1" x14ac:dyDescent="0.2">
      <c r="A1539" s="91"/>
      <c r="C1539" s="91"/>
      <c r="F1539" s="50"/>
    </row>
    <row r="1540" spans="1:6" hidden="1" x14ac:dyDescent="0.2">
      <c r="A1540" s="91"/>
      <c r="C1540" s="91"/>
      <c r="F1540" s="50"/>
    </row>
    <row r="1541" spans="1:6" hidden="1" x14ac:dyDescent="0.2">
      <c r="A1541" s="91"/>
      <c r="F1541" s="50"/>
    </row>
    <row r="1542" spans="1:6" hidden="1" x14ac:dyDescent="0.2">
      <c r="A1542" s="91"/>
      <c r="F1542" s="50"/>
    </row>
    <row r="1543" spans="1:6" hidden="1" x14ac:dyDescent="0.2">
      <c r="A1543" s="91"/>
      <c r="F1543" s="50"/>
    </row>
    <row r="1544" spans="1:6" hidden="1" x14ac:dyDescent="0.2">
      <c r="F1544" s="50"/>
    </row>
    <row r="1545" spans="1:6" hidden="1" x14ac:dyDescent="0.2">
      <c r="F1545" s="50"/>
    </row>
    <row r="1546" spans="1:6" hidden="1" x14ac:dyDescent="0.2">
      <c r="F1546" s="50"/>
    </row>
    <row r="1547" spans="1:6" hidden="1" x14ac:dyDescent="0.2">
      <c r="F1547" s="50"/>
    </row>
    <row r="1548" spans="1:6" hidden="1" x14ac:dyDescent="0.2">
      <c r="F1548" s="50"/>
    </row>
    <row r="1549" spans="1:6" hidden="1" x14ac:dyDescent="0.2">
      <c r="F1549" s="50"/>
    </row>
    <row r="1550" spans="1:6" hidden="1" x14ac:dyDescent="0.2">
      <c r="F1550" s="50"/>
    </row>
    <row r="1551" spans="1:6" hidden="1" x14ac:dyDescent="0.2">
      <c r="F1551" s="50"/>
    </row>
    <row r="1552" spans="1:6" hidden="1" x14ac:dyDescent="0.2">
      <c r="F1552" s="50"/>
    </row>
    <row r="1553" spans="6:6" hidden="1" x14ac:dyDescent="0.2">
      <c r="F1553" s="50"/>
    </row>
    <row r="1554" spans="6:6" hidden="1" x14ac:dyDescent="0.2">
      <c r="F1554" s="50"/>
    </row>
    <row r="1555" spans="6:6" hidden="1" x14ac:dyDescent="0.2">
      <c r="F1555" s="50"/>
    </row>
    <row r="1556" spans="6:6" hidden="1" x14ac:dyDescent="0.2">
      <c r="F1556" s="50"/>
    </row>
    <row r="1557" spans="6:6" hidden="1" x14ac:dyDescent="0.2">
      <c r="F1557" s="50"/>
    </row>
    <row r="1558" spans="6:6" hidden="1" x14ac:dyDescent="0.2">
      <c r="F1558" s="50"/>
    </row>
    <row r="1559" spans="6:6" hidden="1" x14ac:dyDescent="0.2">
      <c r="F1559" s="50"/>
    </row>
    <row r="1560" spans="6:6" hidden="1" x14ac:dyDescent="0.2">
      <c r="F1560" s="50"/>
    </row>
    <row r="1561" spans="6:6" hidden="1" x14ac:dyDescent="0.2">
      <c r="F1561" s="50"/>
    </row>
    <row r="1562" spans="6:6" hidden="1" x14ac:dyDescent="0.2">
      <c r="F1562" s="50"/>
    </row>
    <row r="1563" spans="6:6" hidden="1" x14ac:dyDescent="0.2">
      <c r="F1563" s="50"/>
    </row>
    <row r="1564" spans="6:6" hidden="1" x14ac:dyDescent="0.2">
      <c r="F1564" s="50"/>
    </row>
    <row r="1565" spans="6:6" hidden="1" x14ac:dyDescent="0.2">
      <c r="F1565" s="50"/>
    </row>
    <row r="1566" spans="6:6" hidden="1" x14ac:dyDescent="0.2">
      <c r="F1566" s="50"/>
    </row>
    <row r="1567" spans="6:6" hidden="1" x14ac:dyDescent="0.2">
      <c r="F1567" s="50"/>
    </row>
    <row r="1568" spans="6:6" hidden="1" x14ac:dyDescent="0.2">
      <c r="F1568" s="50"/>
    </row>
    <row r="1569" spans="6:6" hidden="1" x14ac:dyDescent="0.2">
      <c r="F1569" s="50"/>
    </row>
    <row r="1570" spans="6:6" hidden="1" x14ac:dyDescent="0.2">
      <c r="F1570" s="50"/>
    </row>
    <row r="1571" spans="6:6" hidden="1" x14ac:dyDescent="0.2">
      <c r="F1571" s="50"/>
    </row>
    <row r="1572" spans="6:6" hidden="1" x14ac:dyDescent="0.2">
      <c r="F1572" s="50"/>
    </row>
    <row r="1573" spans="6:6" hidden="1" x14ac:dyDescent="0.2">
      <c r="F1573" s="50"/>
    </row>
    <row r="1574" spans="6:6" hidden="1" x14ac:dyDescent="0.2">
      <c r="F1574" s="50"/>
    </row>
    <row r="1575" spans="6:6" ht="11.25" hidden="1" customHeight="1" x14ac:dyDescent="0.2">
      <c r="F1575" s="50"/>
    </row>
    <row r="1576" spans="6:6" hidden="1" x14ac:dyDescent="0.2">
      <c r="F1576" s="50"/>
    </row>
    <row r="1577" spans="6:6" hidden="1" x14ac:dyDescent="0.2">
      <c r="F1577" s="50"/>
    </row>
    <row r="1578" spans="6:6" hidden="1" x14ac:dyDescent="0.2">
      <c r="F1578" s="50"/>
    </row>
    <row r="1579" spans="6:6" hidden="1" x14ac:dyDescent="0.2">
      <c r="F1579" s="50"/>
    </row>
    <row r="1580" spans="6:6" hidden="1" x14ac:dyDescent="0.2">
      <c r="F1580" s="50"/>
    </row>
    <row r="1581" spans="6:6" hidden="1" x14ac:dyDescent="0.2">
      <c r="F1581" s="50"/>
    </row>
    <row r="1582" spans="6:6" hidden="1" x14ac:dyDescent="0.2">
      <c r="F1582" s="50"/>
    </row>
    <row r="1583" spans="6:6" hidden="1" x14ac:dyDescent="0.2">
      <c r="F1583" s="50"/>
    </row>
    <row r="1584" spans="6:6" hidden="1" x14ac:dyDescent="0.2">
      <c r="F1584" s="50"/>
    </row>
    <row r="1585" spans="6:6" hidden="1" x14ac:dyDescent="0.2">
      <c r="F1585" s="50"/>
    </row>
    <row r="1586" spans="6:6" hidden="1" x14ac:dyDescent="0.2">
      <c r="F1586" s="50"/>
    </row>
    <row r="1587" spans="6:6" hidden="1" x14ac:dyDescent="0.2">
      <c r="F1587" s="50"/>
    </row>
    <row r="1588" spans="6:6" hidden="1" x14ac:dyDescent="0.2">
      <c r="F1588" s="50"/>
    </row>
    <row r="1589" spans="6:6" hidden="1" x14ac:dyDescent="0.2">
      <c r="F1589" s="50"/>
    </row>
    <row r="1590" spans="6:6" hidden="1" x14ac:dyDescent="0.2">
      <c r="F1590" s="50"/>
    </row>
    <row r="1591" spans="6:6" hidden="1" x14ac:dyDescent="0.2">
      <c r="F1591" s="50"/>
    </row>
    <row r="1592" spans="6:6" hidden="1" x14ac:dyDescent="0.2">
      <c r="F1592" s="50"/>
    </row>
    <row r="1593" spans="6:6" hidden="1" x14ac:dyDescent="0.2">
      <c r="F1593" s="50"/>
    </row>
    <row r="1594" spans="6:6" hidden="1" x14ac:dyDescent="0.2">
      <c r="F1594" s="50"/>
    </row>
    <row r="1595" spans="6:6" hidden="1" x14ac:dyDescent="0.2">
      <c r="F1595" s="50"/>
    </row>
    <row r="1596" spans="6:6" hidden="1" x14ac:dyDescent="0.2">
      <c r="F1596" s="50"/>
    </row>
    <row r="1597" spans="6:6" hidden="1" x14ac:dyDescent="0.2">
      <c r="F1597" s="50"/>
    </row>
    <row r="1598" spans="6:6" hidden="1" x14ac:dyDescent="0.2">
      <c r="F1598" s="50"/>
    </row>
    <row r="1599" spans="6:6" hidden="1" x14ac:dyDescent="0.2">
      <c r="F1599" s="50"/>
    </row>
    <row r="1600" spans="6:6" hidden="1" x14ac:dyDescent="0.2">
      <c r="F1600" s="50"/>
    </row>
    <row r="1601" spans="6:6" hidden="1" x14ac:dyDescent="0.2">
      <c r="F1601" s="50"/>
    </row>
    <row r="1602" spans="6:6" hidden="1" x14ac:dyDescent="0.2">
      <c r="F1602" s="50"/>
    </row>
    <row r="1603" spans="6:6" hidden="1" x14ac:dyDescent="0.2">
      <c r="F1603" s="50"/>
    </row>
    <row r="1604" spans="6:6" hidden="1" x14ac:dyDescent="0.2">
      <c r="F1604" s="50"/>
    </row>
    <row r="1605" spans="6:6" hidden="1" x14ac:dyDescent="0.2">
      <c r="F1605" s="50"/>
    </row>
    <row r="1606" spans="6:6" hidden="1" x14ac:dyDescent="0.2">
      <c r="F1606" s="50"/>
    </row>
    <row r="1607" spans="6:6" hidden="1" x14ac:dyDescent="0.2">
      <c r="F1607" s="50"/>
    </row>
    <row r="1608" spans="6:6" hidden="1" x14ac:dyDescent="0.2">
      <c r="F1608" s="50"/>
    </row>
    <row r="1609" spans="6:6" hidden="1" x14ac:dyDescent="0.2">
      <c r="F1609" s="50"/>
    </row>
    <row r="1610" spans="6:6" hidden="1" x14ac:dyDescent="0.2">
      <c r="F1610" s="50"/>
    </row>
    <row r="1611" spans="6:6" hidden="1" x14ac:dyDescent="0.2">
      <c r="F1611" s="50"/>
    </row>
    <row r="1612" spans="6:6" hidden="1" x14ac:dyDescent="0.2">
      <c r="F1612" s="50"/>
    </row>
    <row r="1613" spans="6:6" hidden="1" x14ac:dyDescent="0.2">
      <c r="F1613" s="50"/>
    </row>
    <row r="1614" spans="6:6" hidden="1" x14ac:dyDescent="0.2">
      <c r="F1614" s="50"/>
    </row>
    <row r="1615" spans="6:6" hidden="1" x14ac:dyDescent="0.2">
      <c r="F1615" s="50"/>
    </row>
    <row r="1616" spans="6:6" hidden="1" x14ac:dyDescent="0.2">
      <c r="F1616" s="50"/>
    </row>
    <row r="1617" spans="6:6" hidden="1" x14ac:dyDescent="0.2">
      <c r="F1617" s="50"/>
    </row>
    <row r="1618" spans="6:6" hidden="1" x14ac:dyDescent="0.2">
      <c r="F1618" s="50"/>
    </row>
    <row r="1619" spans="6:6" hidden="1" x14ac:dyDescent="0.2">
      <c r="F1619" s="50"/>
    </row>
    <row r="1620" spans="6:6" hidden="1" x14ac:dyDescent="0.2">
      <c r="F1620" s="50"/>
    </row>
    <row r="1621" spans="6:6" hidden="1" x14ac:dyDescent="0.2">
      <c r="F1621" s="50"/>
    </row>
    <row r="1622" spans="6:6" hidden="1" x14ac:dyDescent="0.2">
      <c r="F1622" s="50"/>
    </row>
    <row r="1624" spans="6:6" hidden="1" x14ac:dyDescent="0.2">
      <c r="F1624" s="50"/>
    </row>
    <row r="1625" spans="6:6" hidden="1" x14ac:dyDescent="0.2">
      <c r="F1625" s="50"/>
    </row>
    <row r="1626" spans="6:6" hidden="1" x14ac:dyDescent="0.2">
      <c r="F1626" s="50"/>
    </row>
    <row r="1627" spans="6:6" hidden="1" x14ac:dyDescent="0.2">
      <c r="F1627" s="50"/>
    </row>
    <row r="1628" spans="6:6" hidden="1" x14ac:dyDescent="0.2">
      <c r="F1628" s="50"/>
    </row>
    <row r="1629" spans="6:6" hidden="1" x14ac:dyDescent="0.2">
      <c r="F1629" s="50"/>
    </row>
    <row r="1630" spans="6:6" hidden="1" x14ac:dyDescent="0.2">
      <c r="F1630" s="50"/>
    </row>
    <row r="1631" spans="6:6" hidden="1" x14ac:dyDescent="0.2">
      <c r="F1631" s="50"/>
    </row>
    <row r="1632" spans="6:6" hidden="1" x14ac:dyDescent="0.2">
      <c r="F1632" s="50"/>
    </row>
    <row r="1633" spans="6:6" hidden="1" x14ac:dyDescent="0.2">
      <c r="F1633" s="50"/>
    </row>
    <row r="1634" spans="6:6" hidden="1" x14ac:dyDescent="0.2">
      <c r="F1634" s="50"/>
    </row>
    <row r="1635" spans="6:6" hidden="1" x14ac:dyDescent="0.2">
      <c r="F1635" s="50"/>
    </row>
    <row r="1636" spans="6:6" hidden="1" x14ac:dyDescent="0.2">
      <c r="F1636" s="50"/>
    </row>
    <row r="1637" spans="6:6" hidden="1" x14ac:dyDescent="0.2">
      <c r="F1637" s="50"/>
    </row>
    <row r="1638" spans="6:6" hidden="1" x14ac:dyDescent="0.2">
      <c r="F1638" s="50"/>
    </row>
    <row r="1639" spans="6:6" hidden="1" x14ac:dyDescent="0.2">
      <c r="F1639" s="50"/>
    </row>
    <row r="1640" spans="6:6" hidden="1" x14ac:dyDescent="0.2">
      <c r="F1640" s="50"/>
    </row>
    <row r="1641" spans="6:6" hidden="1" x14ac:dyDescent="0.2">
      <c r="F1641" s="50"/>
    </row>
    <row r="1642" spans="6:6" hidden="1" x14ac:dyDescent="0.2">
      <c r="F1642" s="50"/>
    </row>
    <row r="1643" spans="6:6" hidden="1" x14ac:dyDescent="0.2">
      <c r="F1643" s="50"/>
    </row>
    <row r="1644" spans="6:6" hidden="1" x14ac:dyDescent="0.2">
      <c r="F1644" s="50"/>
    </row>
    <row r="1645" spans="6:6" hidden="1" x14ac:dyDescent="0.2">
      <c r="F1645" s="50"/>
    </row>
    <row r="1646" spans="6:6" hidden="1" x14ac:dyDescent="0.2">
      <c r="F1646" s="50"/>
    </row>
    <row r="1647" spans="6:6" hidden="1" x14ac:dyDescent="0.2">
      <c r="F1647" s="50"/>
    </row>
    <row r="1648" spans="6:6" hidden="1" x14ac:dyDescent="0.2">
      <c r="F1648" s="50"/>
    </row>
    <row r="1649" spans="6:6" hidden="1" x14ac:dyDescent="0.2">
      <c r="F1649" s="50"/>
    </row>
    <row r="1650" spans="6:6" hidden="1" x14ac:dyDescent="0.2">
      <c r="F1650" s="50"/>
    </row>
    <row r="1651" spans="6:6" hidden="1" x14ac:dyDescent="0.2">
      <c r="F1651" s="50"/>
    </row>
    <row r="1652" spans="6:6" hidden="1" x14ac:dyDescent="0.2">
      <c r="F1652" s="50"/>
    </row>
    <row r="1653" spans="6:6" hidden="1" x14ac:dyDescent="0.2">
      <c r="F1653" s="50"/>
    </row>
    <row r="1654" spans="6:6" hidden="1" x14ac:dyDescent="0.2">
      <c r="F1654" s="50"/>
    </row>
    <row r="1655" spans="6:6" hidden="1" x14ac:dyDescent="0.2">
      <c r="F1655" s="50"/>
    </row>
    <row r="1656" spans="6:6" hidden="1" x14ac:dyDescent="0.2">
      <c r="F1656" s="50"/>
    </row>
    <row r="1657" spans="6:6" hidden="1" x14ac:dyDescent="0.2">
      <c r="F1657" s="50"/>
    </row>
    <row r="1658" spans="6:6" hidden="1" x14ac:dyDescent="0.2">
      <c r="F1658" s="50"/>
    </row>
    <row r="1659" spans="6:6" hidden="1" x14ac:dyDescent="0.2">
      <c r="F1659" s="50"/>
    </row>
    <row r="1660" spans="6:6" hidden="1" x14ac:dyDescent="0.2">
      <c r="F1660" s="50"/>
    </row>
    <row r="1661" spans="6:6" hidden="1" x14ac:dyDescent="0.2">
      <c r="F1661" s="50"/>
    </row>
    <row r="1662" spans="6:6" hidden="1" x14ac:dyDescent="0.2">
      <c r="F1662" s="50"/>
    </row>
    <row r="1663" spans="6:6" hidden="1" x14ac:dyDescent="0.2">
      <c r="F1663" s="50"/>
    </row>
    <row r="1664" spans="6:6" hidden="1" x14ac:dyDescent="0.2">
      <c r="F1664" s="50"/>
    </row>
    <row r="1665" spans="6:6" hidden="1" x14ac:dyDescent="0.2">
      <c r="F1665" s="50"/>
    </row>
    <row r="1666" spans="6:6" hidden="1" x14ac:dyDescent="0.2">
      <c r="F1666" s="50"/>
    </row>
    <row r="1667" spans="6:6" hidden="1" x14ac:dyDescent="0.2">
      <c r="F1667" s="50"/>
    </row>
    <row r="1668" spans="6:6" hidden="1" x14ac:dyDescent="0.2">
      <c r="F1668" s="50"/>
    </row>
    <row r="1669" spans="6:6" hidden="1" x14ac:dyDescent="0.2">
      <c r="F1669" s="50"/>
    </row>
    <row r="1670" spans="6:6" hidden="1" x14ac:dyDescent="0.2">
      <c r="F1670" s="50"/>
    </row>
    <row r="1671" spans="6:6" hidden="1" x14ac:dyDescent="0.2">
      <c r="F1671" s="50"/>
    </row>
    <row r="1672" spans="6:6" hidden="1" x14ac:dyDescent="0.2">
      <c r="F1672" s="50"/>
    </row>
    <row r="1673" spans="6:6" hidden="1" x14ac:dyDescent="0.2">
      <c r="F1673" s="50"/>
    </row>
    <row r="1674" spans="6:6" hidden="1" x14ac:dyDescent="0.2">
      <c r="F1674" s="50"/>
    </row>
    <row r="1675" spans="6:6" hidden="1" x14ac:dyDescent="0.2">
      <c r="F1675" s="50"/>
    </row>
    <row r="1676" spans="6:6" hidden="1" x14ac:dyDescent="0.2">
      <c r="F1676" s="50"/>
    </row>
    <row r="1677" spans="6:6" hidden="1" x14ac:dyDescent="0.2">
      <c r="F1677" s="50"/>
    </row>
    <row r="1678" spans="6:6" hidden="1" x14ac:dyDescent="0.2">
      <c r="F1678" s="50"/>
    </row>
    <row r="1679" spans="6:6" hidden="1" x14ac:dyDescent="0.2">
      <c r="F1679" s="50"/>
    </row>
    <row r="1680" spans="6:6" hidden="1" x14ac:dyDescent="0.2">
      <c r="F1680" s="50"/>
    </row>
    <row r="1681" spans="6:6" hidden="1" x14ac:dyDescent="0.2">
      <c r="F1681" s="50"/>
    </row>
    <row r="1682" spans="6:6" hidden="1" x14ac:dyDescent="0.2">
      <c r="F1682" s="50"/>
    </row>
    <row r="1683" spans="6:6" hidden="1" x14ac:dyDescent="0.2">
      <c r="F1683" s="50"/>
    </row>
    <row r="1684" spans="6:6" hidden="1" x14ac:dyDescent="0.2">
      <c r="F1684" s="50"/>
    </row>
    <row r="1685" spans="6:6" hidden="1" x14ac:dyDescent="0.2">
      <c r="F1685" s="50"/>
    </row>
    <row r="1686" spans="6:6" hidden="1" x14ac:dyDescent="0.2">
      <c r="F1686" s="50"/>
    </row>
    <row r="1687" spans="6:6" hidden="1" x14ac:dyDescent="0.2">
      <c r="F1687" s="50"/>
    </row>
    <row r="1688" spans="6:6" hidden="1" x14ac:dyDescent="0.2">
      <c r="F1688" s="50"/>
    </row>
    <row r="1689" spans="6:6" hidden="1" x14ac:dyDescent="0.2">
      <c r="F1689" s="50"/>
    </row>
    <row r="1690" spans="6:6" hidden="1" x14ac:dyDescent="0.2">
      <c r="F1690" s="50"/>
    </row>
    <row r="1691" spans="6:6" hidden="1" x14ac:dyDescent="0.2">
      <c r="F1691" s="50"/>
    </row>
    <row r="1692" spans="6:6" hidden="1" x14ac:dyDescent="0.2">
      <c r="F1692" s="50"/>
    </row>
    <row r="1693" spans="6:6" hidden="1" x14ac:dyDescent="0.2">
      <c r="F1693" s="50"/>
    </row>
    <row r="1694" spans="6:6" hidden="1" x14ac:dyDescent="0.2">
      <c r="F1694" s="50"/>
    </row>
    <row r="1695" spans="6:6" hidden="1" x14ac:dyDescent="0.2">
      <c r="F1695" s="50"/>
    </row>
    <row r="1696" spans="6:6" hidden="1" x14ac:dyDescent="0.2">
      <c r="F1696" s="50"/>
    </row>
    <row r="1697" spans="1:8" hidden="1" x14ac:dyDescent="0.2">
      <c r="F1697" s="50"/>
    </row>
    <row r="1698" spans="1:8" hidden="1" x14ac:dyDescent="0.2">
      <c r="A1698" s="78"/>
      <c r="C1698" s="78"/>
      <c r="F1698" s="51"/>
      <c r="H1698"/>
    </row>
    <row r="1699" spans="1:8" hidden="1" x14ac:dyDescent="0.2">
      <c r="A1699" s="78"/>
      <c r="C1699" s="78"/>
      <c r="F1699" s="51"/>
      <c r="H1699"/>
    </row>
    <row r="1700" spans="1:8" hidden="1" x14ac:dyDescent="0.2">
      <c r="A1700" s="78"/>
      <c r="C1700" s="78"/>
      <c r="F1700" s="51"/>
      <c r="H1700"/>
    </row>
    <row r="1701" spans="1:8" hidden="1" x14ac:dyDescent="0.2">
      <c r="A1701" s="78"/>
      <c r="C1701" s="78"/>
      <c r="F1701" s="51"/>
      <c r="H1701"/>
    </row>
    <row r="1702" spans="1:8" hidden="1" x14ac:dyDescent="0.2">
      <c r="A1702" s="78"/>
      <c r="C1702" s="78"/>
      <c r="F1702" s="51"/>
      <c r="H1702"/>
    </row>
    <row r="1703" spans="1:8" hidden="1" x14ac:dyDescent="0.2">
      <c r="A1703" s="78"/>
      <c r="C1703" s="78"/>
      <c r="F1703" s="51"/>
      <c r="H1703"/>
    </row>
    <row r="1704" spans="1:8" hidden="1" x14ac:dyDescent="0.2">
      <c r="A1704" s="78"/>
      <c r="C1704" s="78"/>
    </row>
    <row r="1705" spans="1:8" hidden="1" x14ac:dyDescent="0.2">
      <c r="A1705" s="78"/>
      <c r="C1705" s="78"/>
    </row>
    <row r="1706" spans="1:8" hidden="1" x14ac:dyDescent="0.2">
      <c r="A1706" s="78"/>
      <c r="C1706" s="78"/>
    </row>
    <row r="1707" spans="1:8" hidden="1" x14ac:dyDescent="0.2">
      <c r="A1707" s="78"/>
      <c r="C1707" s="78"/>
    </row>
    <row r="1708" spans="1:8" hidden="1" x14ac:dyDescent="0.2">
      <c r="A1708" s="78"/>
      <c r="C1708" s="78"/>
    </row>
    <row r="1709" spans="1:8" hidden="1" x14ac:dyDescent="0.2">
      <c r="A1709" s="78"/>
      <c r="C1709" s="78"/>
    </row>
    <row r="1710" spans="1:8" hidden="1" x14ac:dyDescent="0.2">
      <c r="A1710" s="78"/>
      <c r="C1710" s="78"/>
    </row>
    <row r="1711" spans="1:8" hidden="1" x14ac:dyDescent="0.2">
      <c r="A1711" s="78"/>
      <c r="C1711" s="78"/>
    </row>
    <row r="1712" spans="1:8" hidden="1" x14ac:dyDescent="0.2">
      <c r="A1712" s="78"/>
      <c r="C1712" s="78"/>
    </row>
    <row r="1713" spans="1:3" hidden="1" x14ac:dyDescent="0.2">
      <c r="A1713" s="66"/>
      <c r="C1713" s="66"/>
    </row>
    <row r="1714" spans="1:3" hidden="1" x14ac:dyDescent="0.2">
      <c r="A1714" s="66"/>
      <c r="C1714" s="66"/>
    </row>
    <row r="1715" spans="1:3" hidden="1" x14ac:dyDescent="0.2">
      <c r="A1715" s="66"/>
      <c r="C1715" s="66"/>
    </row>
    <row r="1716" spans="1:3" hidden="1" x14ac:dyDescent="0.2">
      <c r="A1716" s="66"/>
      <c r="C1716" s="66"/>
    </row>
    <row r="1717" spans="1:3" hidden="1" x14ac:dyDescent="0.2">
      <c r="A1717" s="66"/>
      <c r="C1717" s="66"/>
    </row>
    <row r="1718" spans="1:3" hidden="1" x14ac:dyDescent="0.2">
      <c r="A1718" s="66"/>
      <c r="C1718" s="66"/>
    </row>
    <row r="1719" spans="1:3" hidden="1" x14ac:dyDescent="0.2">
      <c r="A1719" s="66"/>
      <c r="C1719" s="66"/>
    </row>
    <row r="1720" spans="1:3" hidden="1" x14ac:dyDescent="0.2">
      <c r="A1720" s="66"/>
      <c r="C1720" s="66"/>
    </row>
    <row r="1721" spans="1:3" hidden="1" x14ac:dyDescent="0.2">
      <c r="A1721" s="66"/>
      <c r="C1721" s="66"/>
    </row>
    <row r="1722" spans="1:3" hidden="1" x14ac:dyDescent="0.2">
      <c r="A1722" s="66"/>
      <c r="C1722" s="66"/>
    </row>
    <row r="1723" spans="1:3" hidden="1" x14ac:dyDescent="0.2">
      <c r="A1723" s="66"/>
      <c r="C1723" s="66"/>
    </row>
    <row r="1724" spans="1:3" hidden="1" x14ac:dyDescent="0.2">
      <c r="A1724" s="66"/>
      <c r="C1724" s="66"/>
    </row>
    <row r="1725" spans="1:3" hidden="1" x14ac:dyDescent="0.2">
      <c r="A1725" s="66"/>
      <c r="C1725" s="66"/>
    </row>
    <row r="1726" spans="1:3" hidden="1" x14ac:dyDescent="0.2">
      <c r="A1726" s="66"/>
      <c r="C1726" s="66"/>
    </row>
    <row r="1727" spans="1:3" hidden="1" x14ac:dyDescent="0.2">
      <c r="A1727" s="66"/>
      <c r="C1727" s="66"/>
    </row>
    <row r="1728" spans="1:3" hidden="1" x14ac:dyDescent="0.2">
      <c r="A1728" s="66"/>
      <c r="C1728" s="66"/>
    </row>
    <row r="1729" spans="1:3" hidden="1" x14ac:dyDescent="0.2">
      <c r="A1729" s="66"/>
      <c r="C1729" s="66"/>
    </row>
    <row r="1730" spans="1:3" hidden="1" x14ac:dyDescent="0.2">
      <c r="A1730" s="66"/>
      <c r="C1730" s="66"/>
    </row>
    <row r="1731" spans="1:3" hidden="1" x14ac:dyDescent="0.2">
      <c r="A1731" s="66"/>
      <c r="C1731" s="66"/>
    </row>
    <row r="1732" spans="1:3" hidden="1" x14ac:dyDescent="0.2">
      <c r="A1732" s="66"/>
      <c r="C1732" s="66"/>
    </row>
    <row r="1733" spans="1:3" hidden="1" x14ac:dyDescent="0.2">
      <c r="A1733" s="66"/>
      <c r="C1733" s="66"/>
    </row>
    <row r="1734" spans="1:3" hidden="1" x14ac:dyDescent="0.2">
      <c r="A1734" s="66"/>
      <c r="C1734" s="66"/>
    </row>
    <row r="1735" spans="1:3" hidden="1" x14ac:dyDescent="0.2">
      <c r="A1735" s="66"/>
      <c r="C1735" s="66"/>
    </row>
    <row r="1736" spans="1:3" hidden="1" x14ac:dyDescent="0.2">
      <c r="A1736" s="66"/>
      <c r="C1736" s="66"/>
    </row>
    <row r="1737" spans="1:3" hidden="1" x14ac:dyDescent="0.2">
      <c r="A1737" s="66"/>
      <c r="C1737" s="66"/>
    </row>
    <row r="1738" spans="1:3" hidden="1" x14ac:dyDescent="0.2">
      <c r="A1738" s="66"/>
      <c r="C1738" s="66"/>
    </row>
    <row r="1739" spans="1:3" hidden="1" x14ac:dyDescent="0.2">
      <c r="A1739" s="66"/>
      <c r="C1739" s="66"/>
    </row>
    <row r="1740" spans="1:3" hidden="1" x14ac:dyDescent="0.2">
      <c r="A1740" s="66"/>
      <c r="C1740" s="66"/>
    </row>
    <row r="1741" spans="1:3" hidden="1" x14ac:dyDescent="0.2">
      <c r="A1741" s="66"/>
      <c r="C1741" s="66"/>
    </row>
    <row r="1742" spans="1:3" hidden="1" x14ac:dyDescent="0.2">
      <c r="A1742" s="66"/>
      <c r="C1742" s="66"/>
    </row>
    <row r="1743" spans="1:3" hidden="1" x14ac:dyDescent="0.2">
      <c r="A1743" s="66"/>
      <c r="C1743" s="66"/>
    </row>
    <row r="1744" spans="1:3" hidden="1" x14ac:dyDescent="0.2">
      <c r="A1744" s="66"/>
      <c r="C1744" s="66"/>
    </row>
    <row r="1745" spans="1:3" hidden="1" x14ac:dyDescent="0.2">
      <c r="A1745" s="66"/>
      <c r="C1745" s="66"/>
    </row>
    <row r="1746" spans="1:3" hidden="1" x14ac:dyDescent="0.2">
      <c r="A1746" s="66"/>
      <c r="C1746" s="66"/>
    </row>
    <row r="1747" spans="1:3" hidden="1" x14ac:dyDescent="0.2">
      <c r="A1747" s="66"/>
      <c r="C1747" s="66"/>
    </row>
    <row r="1748" spans="1:3" hidden="1" x14ac:dyDescent="0.2">
      <c r="A1748" s="66"/>
      <c r="C1748" s="66"/>
    </row>
    <row r="1749" spans="1:3" hidden="1" x14ac:dyDescent="0.2">
      <c r="A1749" s="66"/>
      <c r="C1749" s="66"/>
    </row>
    <row r="1750" spans="1:3" hidden="1" x14ac:dyDescent="0.2">
      <c r="A1750" s="66"/>
      <c r="C1750" s="66"/>
    </row>
    <row r="1751" spans="1:3" hidden="1" x14ac:dyDescent="0.2">
      <c r="A1751" s="66"/>
      <c r="C1751" s="66"/>
    </row>
    <row r="1752" spans="1:3" hidden="1" x14ac:dyDescent="0.2">
      <c r="A1752" s="66"/>
      <c r="C1752" s="66"/>
    </row>
    <row r="1753" spans="1:3" hidden="1" x14ac:dyDescent="0.2">
      <c r="A1753" s="66"/>
      <c r="C1753" s="66"/>
    </row>
    <row r="1754" spans="1:3" hidden="1" x14ac:dyDescent="0.2">
      <c r="A1754" s="66"/>
      <c r="C1754" s="66"/>
    </row>
    <row r="1755" spans="1:3" hidden="1" x14ac:dyDescent="0.2">
      <c r="A1755" s="66"/>
      <c r="C1755" s="66"/>
    </row>
    <row r="1756" spans="1:3" hidden="1" x14ac:dyDescent="0.2">
      <c r="A1756" s="66"/>
      <c r="C1756" s="66"/>
    </row>
    <row r="1757" spans="1:3" hidden="1" x14ac:dyDescent="0.2">
      <c r="A1757" s="66"/>
      <c r="C1757" s="66"/>
    </row>
    <row r="1758" spans="1:3" hidden="1" x14ac:dyDescent="0.2">
      <c r="A1758" s="66"/>
      <c r="C1758" s="66"/>
    </row>
    <row r="1759" spans="1:3" hidden="1" x14ac:dyDescent="0.2">
      <c r="A1759" s="66"/>
      <c r="C1759" s="66"/>
    </row>
    <row r="1760" spans="1:3" hidden="1" x14ac:dyDescent="0.2">
      <c r="A1760" s="66"/>
      <c r="C1760" s="66"/>
    </row>
    <row r="1761" spans="1:6" hidden="1" x14ac:dyDescent="0.2">
      <c r="A1761" s="66"/>
      <c r="C1761" s="66"/>
      <c r="F1761" s="51"/>
    </row>
    <row r="1762" spans="1:6" hidden="1" x14ac:dyDescent="0.2">
      <c r="A1762" s="66"/>
      <c r="C1762" s="66"/>
    </row>
    <row r="1763" spans="1:6" hidden="1" x14ac:dyDescent="0.2">
      <c r="A1763" s="66"/>
      <c r="C1763" s="66"/>
    </row>
    <row r="1764" spans="1:6" hidden="1" x14ac:dyDescent="0.2">
      <c r="A1764" s="66"/>
      <c r="C1764" s="66"/>
    </row>
    <row r="1765" spans="1:6" hidden="1" x14ac:dyDescent="0.2">
      <c r="A1765" s="66"/>
      <c r="C1765" s="66"/>
    </row>
    <row r="1766" spans="1:6" hidden="1" x14ac:dyDescent="0.2">
      <c r="A1766" s="78"/>
      <c r="C1766" s="78"/>
    </row>
    <row r="1767" spans="1:6" hidden="1" x14ac:dyDescent="0.2">
      <c r="A1767" s="78"/>
      <c r="C1767" s="78"/>
    </row>
    <row r="1768" spans="1:6" hidden="1" x14ac:dyDescent="0.2">
      <c r="A1768" s="78"/>
      <c r="C1768" s="78"/>
    </row>
    <row r="1769" spans="1:6" hidden="1" x14ac:dyDescent="0.2">
      <c r="A1769" s="78"/>
      <c r="C1769" s="78"/>
    </row>
    <row r="1770" spans="1:6" hidden="1" x14ac:dyDescent="0.2">
      <c r="A1770" s="78"/>
      <c r="C1770" s="78"/>
    </row>
    <row r="1771" spans="1:6" hidden="1" x14ac:dyDescent="0.2">
      <c r="A1771" s="78"/>
      <c r="C1771" s="78"/>
    </row>
    <row r="1772" spans="1:6" hidden="1" x14ac:dyDescent="0.2">
      <c r="A1772" s="78"/>
      <c r="C1772" s="78"/>
    </row>
    <row r="1773" spans="1:6" hidden="1" x14ac:dyDescent="0.2">
      <c r="A1773" s="78"/>
      <c r="C1773" s="78"/>
    </row>
    <row r="1774" spans="1:6" hidden="1" x14ac:dyDescent="0.2">
      <c r="A1774" s="78"/>
      <c r="C1774" s="78"/>
    </row>
    <row r="1775" spans="1:6" hidden="1" x14ac:dyDescent="0.2">
      <c r="A1775" s="78"/>
      <c r="C1775" s="78"/>
    </row>
    <row r="1776" spans="1:6" hidden="1" x14ac:dyDescent="0.2">
      <c r="A1776" s="78"/>
      <c r="C1776" s="78"/>
    </row>
    <row r="1777" spans="1:6" hidden="1" x14ac:dyDescent="0.2">
      <c r="A1777" s="78"/>
      <c r="C1777" s="78"/>
    </row>
    <row r="1778" spans="1:6" hidden="1" x14ac:dyDescent="0.2">
      <c r="A1778" s="78"/>
      <c r="C1778" s="78"/>
    </row>
    <row r="1779" spans="1:6" hidden="1" x14ac:dyDescent="0.2">
      <c r="A1779" s="78"/>
      <c r="C1779" s="78"/>
    </row>
    <row r="1780" spans="1:6" hidden="1" x14ac:dyDescent="0.2">
      <c r="A1780" s="78"/>
      <c r="C1780" s="78"/>
    </row>
    <row r="1781" spans="1:6" hidden="1" x14ac:dyDescent="0.2">
      <c r="A1781" s="78"/>
      <c r="C1781" s="78"/>
    </row>
    <row r="1782" spans="1:6" hidden="1" x14ac:dyDescent="0.2">
      <c r="A1782" s="78"/>
      <c r="C1782" s="78"/>
    </row>
    <row r="1783" spans="1:6" hidden="1" x14ac:dyDescent="0.2">
      <c r="A1783" s="78"/>
      <c r="C1783" s="78"/>
    </row>
    <row r="1784" spans="1:6" hidden="1" x14ac:dyDescent="0.2">
      <c r="A1784" s="78"/>
      <c r="C1784" s="78"/>
    </row>
    <row r="1785" spans="1:6" hidden="1" x14ac:dyDescent="0.2">
      <c r="A1785" s="78"/>
      <c r="C1785" s="78"/>
    </row>
    <row r="1786" spans="1:6" hidden="1" x14ac:dyDescent="0.2">
      <c r="A1786" s="78"/>
      <c r="C1786" s="78"/>
    </row>
    <row r="1787" spans="1:6" hidden="1" x14ac:dyDescent="0.2">
      <c r="A1787" s="78"/>
      <c r="C1787" s="78"/>
    </row>
    <row r="1788" spans="1:6" hidden="1" x14ac:dyDescent="0.2">
      <c r="A1788" s="78"/>
      <c r="C1788" s="78"/>
    </row>
    <row r="1791" spans="1:6" hidden="1" x14ac:dyDescent="0.2">
      <c r="F1791" s="50"/>
    </row>
    <row r="1792" spans="1:6" hidden="1" x14ac:dyDescent="0.2">
      <c r="F1792" s="50"/>
    </row>
    <row r="1793" spans="1:6" hidden="1" x14ac:dyDescent="0.2">
      <c r="F1793" s="50"/>
    </row>
    <row r="1794" spans="1:6" hidden="1" x14ac:dyDescent="0.2">
      <c r="F1794" s="50"/>
    </row>
    <row r="1795" spans="1:6" hidden="1" x14ac:dyDescent="0.2">
      <c r="F1795" s="50"/>
    </row>
    <row r="1796" spans="1:6" hidden="1" x14ac:dyDescent="0.2">
      <c r="F1796" s="50"/>
    </row>
    <row r="1797" spans="1:6" hidden="1" x14ac:dyDescent="0.2">
      <c r="F1797" s="50"/>
    </row>
    <row r="1798" spans="1:6" hidden="1" x14ac:dyDescent="0.2">
      <c r="A1798" s="66"/>
      <c r="C1798" s="66"/>
    </row>
    <row r="1799" spans="1:6" hidden="1" x14ac:dyDescent="0.2">
      <c r="A1799" s="66"/>
      <c r="C1799" s="66"/>
    </row>
    <row r="1800" spans="1:6" hidden="1" x14ac:dyDescent="0.2">
      <c r="F1800" s="50"/>
    </row>
    <row r="1801" spans="1:6" hidden="1" x14ac:dyDescent="0.2">
      <c r="F1801" s="50"/>
    </row>
    <row r="1802" spans="1:6" hidden="1" x14ac:dyDescent="0.2">
      <c r="F1802" s="50"/>
    </row>
    <row r="1803" spans="1:6" hidden="1" x14ac:dyDescent="0.2">
      <c r="F1803" s="50"/>
    </row>
    <row r="1804" spans="1:6" hidden="1" x14ac:dyDescent="0.2">
      <c r="F1804" s="50"/>
    </row>
    <row r="1805" spans="1:6" hidden="1" x14ac:dyDescent="0.2">
      <c r="F1805" s="50"/>
    </row>
    <row r="1806" spans="1:6" hidden="1" x14ac:dyDescent="0.2">
      <c r="F1806" s="50"/>
    </row>
    <row r="1807" spans="1:6" hidden="1" x14ac:dyDescent="0.2">
      <c r="F1807" s="50"/>
    </row>
    <row r="1808" spans="1:6" hidden="1" x14ac:dyDescent="0.2">
      <c r="F1808" s="50"/>
    </row>
    <row r="1809" spans="6:8" hidden="1" x14ac:dyDescent="0.2">
      <c r="F1809" s="50"/>
    </row>
    <row r="1810" spans="6:8" hidden="1" x14ac:dyDescent="0.2">
      <c r="F1810" s="50"/>
    </row>
    <row r="1811" spans="6:8" hidden="1" x14ac:dyDescent="0.2">
      <c r="F1811" s="50"/>
    </row>
    <row r="1812" spans="6:8" hidden="1" x14ac:dyDescent="0.2">
      <c r="F1812" s="50"/>
    </row>
    <row r="1813" spans="6:8" hidden="1" x14ac:dyDescent="0.2">
      <c r="F1813" s="50"/>
    </row>
    <row r="1814" spans="6:8" hidden="1" x14ac:dyDescent="0.2">
      <c r="F1814" s="50"/>
    </row>
    <row r="1815" spans="6:8" hidden="1" x14ac:dyDescent="0.2">
      <c r="F1815" s="50"/>
    </row>
    <row r="1816" spans="6:8" hidden="1" x14ac:dyDescent="0.2">
      <c r="F1816" s="50"/>
    </row>
    <row r="1817" spans="6:8" hidden="1" x14ac:dyDescent="0.2">
      <c r="F1817" s="50"/>
    </row>
    <row r="1818" spans="6:8" hidden="1" x14ac:dyDescent="0.2">
      <c r="F1818" s="50"/>
    </row>
    <row r="1819" spans="6:8" hidden="1" x14ac:dyDescent="0.2">
      <c r="F1819" s="50"/>
      <c r="H1819"/>
    </row>
    <row r="1820" spans="6:8" hidden="1" x14ac:dyDescent="0.2">
      <c r="F1820" s="50"/>
    </row>
    <row r="1821" spans="6:8" hidden="1" x14ac:dyDescent="0.2">
      <c r="F1821" s="50"/>
    </row>
    <row r="1822" spans="6:8" hidden="1" x14ac:dyDescent="0.2">
      <c r="F1822" s="50"/>
    </row>
    <row r="1823" spans="6:8" hidden="1" x14ac:dyDescent="0.2">
      <c r="F1823" s="50"/>
    </row>
    <row r="1824" spans="6:8" hidden="1" x14ac:dyDescent="0.2">
      <c r="F1824" s="50"/>
    </row>
    <row r="1825" spans="6:6" hidden="1" x14ac:dyDescent="0.2">
      <c r="F1825" s="50"/>
    </row>
    <row r="1826" spans="6:6" hidden="1" x14ac:dyDescent="0.2">
      <c r="F1826" s="50"/>
    </row>
    <row r="1827" spans="6:6" hidden="1" x14ac:dyDescent="0.2">
      <c r="F1827" s="50"/>
    </row>
    <row r="1828" spans="6:6" hidden="1" x14ac:dyDescent="0.2">
      <c r="F1828" s="50"/>
    </row>
    <row r="1829" spans="6:6" hidden="1" x14ac:dyDescent="0.2">
      <c r="F1829" s="50"/>
    </row>
    <row r="1830" spans="6:6" hidden="1" x14ac:dyDescent="0.2">
      <c r="F1830" s="50"/>
    </row>
    <row r="1831" spans="6:6" hidden="1" x14ac:dyDescent="0.2">
      <c r="F1831" s="50"/>
    </row>
    <row r="1832" spans="6:6" hidden="1" x14ac:dyDescent="0.2">
      <c r="F1832" s="50"/>
    </row>
    <row r="1833" spans="6:6" hidden="1" x14ac:dyDescent="0.2">
      <c r="F1833" s="50"/>
    </row>
    <row r="1834" spans="6:6" hidden="1" x14ac:dyDescent="0.2">
      <c r="F1834" s="50"/>
    </row>
    <row r="1835" spans="6:6" hidden="1" x14ac:dyDescent="0.2">
      <c r="F1835" s="50"/>
    </row>
    <row r="1838" spans="6:6" hidden="1" x14ac:dyDescent="0.2">
      <c r="F1838" s="50"/>
    </row>
    <row r="1839" spans="6:6" hidden="1" x14ac:dyDescent="0.2">
      <c r="F1839" s="50"/>
    </row>
    <row r="1840" spans="6:6" hidden="1" x14ac:dyDescent="0.2">
      <c r="F1840" s="50"/>
    </row>
    <row r="1841" spans="6:6" hidden="1" x14ac:dyDescent="0.2">
      <c r="F1841" s="50"/>
    </row>
    <row r="1842" spans="6:6" hidden="1" x14ac:dyDescent="0.2">
      <c r="F1842" s="50"/>
    </row>
    <row r="1843" spans="6:6" hidden="1" x14ac:dyDescent="0.2">
      <c r="F1843" s="50"/>
    </row>
    <row r="1844" spans="6:6" hidden="1" x14ac:dyDescent="0.2">
      <c r="F1844" s="50"/>
    </row>
    <row r="1845" spans="6:6" hidden="1" x14ac:dyDescent="0.2">
      <c r="F1845" s="50"/>
    </row>
    <row r="1846" spans="6:6" hidden="1" x14ac:dyDescent="0.2">
      <c r="F1846" s="50"/>
    </row>
    <row r="1847" spans="6:6" hidden="1" x14ac:dyDescent="0.2">
      <c r="F1847" s="50"/>
    </row>
    <row r="1848" spans="6:6" hidden="1" x14ac:dyDescent="0.2">
      <c r="F1848" s="50"/>
    </row>
    <row r="1849" spans="6:6" hidden="1" x14ac:dyDescent="0.2">
      <c r="F1849" s="50"/>
    </row>
    <row r="1850" spans="6:6" hidden="1" x14ac:dyDescent="0.2">
      <c r="F1850" s="50"/>
    </row>
    <row r="1851" spans="6:6" hidden="1" x14ac:dyDescent="0.2">
      <c r="F1851" s="50"/>
    </row>
    <row r="1852" spans="6:6" hidden="1" x14ac:dyDescent="0.2">
      <c r="F1852" s="50"/>
    </row>
    <row r="1853" spans="6:6" hidden="1" x14ac:dyDescent="0.2">
      <c r="F1853" s="50"/>
    </row>
    <row r="1854" spans="6:6" hidden="1" x14ac:dyDescent="0.2">
      <c r="F1854" s="50"/>
    </row>
    <row r="1855" spans="6:6" hidden="1" x14ac:dyDescent="0.2">
      <c r="F1855" s="50"/>
    </row>
    <row r="1856" spans="6:6" hidden="1" x14ac:dyDescent="0.2">
      <c r="F1856" s="50"/>
    </row>
    <row r="1857" spans="6:6" hidden="1" x14ac:dyDescent="0.2">
      <c r="F1857" s="50"/>
    </row>
    <row r="1858" spans="6:6" hidden="1" x14ac:dyDescent="0.2">
      <c r="F1858" s="50"/>
    </row>
    <row r="1859" spans="6:6" hidden="1" x14ac:dyDescent="0.2">
      <c r="F1859" s="50"/>
    </row>
    <row r="1860" spans="6:6" hidden="1" x14ac:dyDescent="0.2">
      <c r="F1860" s="50"/>
    </row>
    <row r="1861" spans="6:6" hidden="1" x14ac:dyDescent="0.2">
      <c r="F1861" s="50"/>
    </row>
    <row r="1862" spans="6:6" hidden="1" x14ac:dyDescent="0.2">
      <c r="F1862" s="50"/>
    </row>
    <row r="1863" spans="6:6" hidden="1" x14ac:dyDescent="0.2">
      <c r="F1863" s="50"/>
    </row>
    <row r="1864" spans="6:6" hidden="1" x14ac:dyDescent="0.2">
      <c r="F1864" s="50"/>
    </row>
    <row r="1865" spans="6:6" hidden="1" x14ac:dyDescent="0.2">
      <c r="F1865" s="50"/>
    </row>
    <row r="1866" spans="6:6" hidden="1" x14ac:dyDescent="0.2">
      <c r="F1866" s="50"/>
    </row>
    <row r="1867" spans="6:6" hidden="1" x14ac:dyDescent="0.2">
      <c r="F1867" s="50"/>
    </row>
    <row r="1868" spans="6:6" hidden="1" x14ac:dyDescent="0.2">
      <c r="F1868" s="50"/>
    </row>
    <row r="1869" spans="6:6" hidden="1" x14ac:dyDescent="0.2">
      <c r="F1869" s="50"/>
    </row>
    <row r="1870" spans="6:6" hidden="1" x14ac:dyDescent="0.2">
      <c r="F1870" s="50"/>
    </row>
    <row r="1871" spans="6:6" hidden="1" x14ac:dyDescent="0.2">
      <c r="F1871" s="50"/>
    </row>
    <row r="1872" spans="6:6" hidden="1" x14ac:dyDescent="0.2">
      <c r="F1872" s="50"/>
    </row>
    <row r="1873" spans="6:6" hidden="1" x14ac:dyDescent="0.2">
      <c r="F1873" s="50"/>
    </row>
    <row r="1874" spans="6:6" hidden="1" x14ac:dyDescent="0.2">
      <c r="F1874" s="50"/>
    </row>
    <row r="1875" spans="6:6" hidden="1" x14ac:dyDescent="0.2">
      <c r="F1875" s="50"/>
    </row>
    <row r="1876" spans="6:6" hidden="1" x14ac:dyDescent="0.2">
      <c r="F1876" s="50"/>
    </row>
    <row r="1877" spans="6:6" hidden="1" x14ac:dyDescent="0.2">
      <c r="F1877" s="50"/>
    </row>
    <row r="1878" spans="6:6" hidden="1" x14ac:dyDescent="0.2">
      <c r="F1878" s="50"/>
    </row>
    <row r="1879" spans="6:6" hidden="1" x14ac:dyDescent="0.2">
      <c r="F1879" s="50"/>
    </row>
    <row r="1880" spans="6:6" hidden="1" x14ac:dyDescent="0.2">
      <c r="F1880" s="50"/>
    </row>
    <row r="1881" spans="6:6" hidden="1" x14ac:dyDescent="0.2">
      <c r="F1881" s="50"/>
    </row>
    <row r="1882" spans="6:6" hidden="1" x14ac:dyDescent="0.2">
      <c r="F1882" s="50"/>
    </row>
    <row r="1883" spans="6:6" hidden="1" x14ac:dyDescent="0.2">
      <c r="F1883" s="50"/>
    </row>
    <row r="1884" spans="6:6" hidden="1" x14ac:dyDescent="0.2">
      <c r="F1884" s="50"/>
    </row>
    <row r="1885" spans="6:6" hidden="1" x14ac:dyDescent="0.2">
      <c r="F1885" s="50"/>
    </row>
    <row r="1886" spans="6:6" hidden="1" x14ac:dyDescent="0.2">
      <c r="F1886" s="50"/>
    </row>
    <row r="1887" spans="6:6" hidden="1" x14ac:dyDescent="0.2">
      <c r="F1887" s="50"/>
    </row>
    <row r="1888" spans="6:6" hidden="1" x14ac:dyDescent="0.2">
      <c r="F1888" s="50"/>
    </row>
    <row r="1889" spans="6:6" hidden="1" x14ac:dyDescent="0.2">
      <c r="F1889" s="50"/>
    </row>
    <row r="1890" spans="6:6" hidden="1" x14ac:dyDescent="0.2">
      <c r="F1890" s="50"/>
    </row>
    <row r="1891" spans="6:6" hidden="1" x14ac:dyDescent="0.2">
      <c r="F1891" s="50"/>
    </row>
    <row r="1892" spans="6:6" hidden="1" x14ac:dyDescent="0.2">
      <c r="F1892" s="50"/>
    </row>
    <row r="1893" spans="6:6" hidden="1" x14ac:dyDescent="0.2">
      <c r="F1893" s="50"/>
    </row>
    <row r="1894" spans="6:6" hidden="1" x14ac:dyDescent="0.2">
      <c r="F1894" s="50"/>
    </row>
    <row r="1895" spans="6:6" hidden="1" x14ac:dyDescent="0.2">
      <c r="F1895" s="50"/>
    </row>
    <row r="1896" spans="6:6" hidden="1" x14ac:dyDescent="0.2">
      <c r="F1896" s="50"/>
    </row>
    <row r="1897" spans="6:6" hidden="1" x14ac:dyDescent="0.2">
      <c r="F1897" s="50"/>
    </row>
    <row r="1898" spans="6:6" hidden="1" x14ac:dyDescent="0.2">
      <c r="F1898" s="50"/>
    </row>
    <row r="1899" spans="6:6" hidden="1" x14ac:dyDescent="0.2">
      <c r="F1899" s="50"/>
    </row>
    <row r="1900" spans="6:6" hidden="1" x14ac:dyDescent="0.2">
      <c r="F1900" s="50"/>
    </row>
    <row r="1901" spans="6:6" hidden="1" x14ac:dyDescent="0.2">
      <c r="F1901" s="50"/>
    </row>
    <row r="1902" spans="6:6" hidden="1" x14ac:dyDescent="0.2">
      <c r="F1902" s="50"/>
    </row>
    <row r="1903" spans="6:6" hidden="1" x14ac:dyDescent="0.2">
      <c r="F1903" s="50"/>
    </row>
    <row r="1904" spans="6:6" hidden="1" x14ac:dyDescent="0.2">
      <c r="F1904" s="50"/>
    </row>
    <row r="1905" spans="6:6" hidden="1" x14ac:dyDescent="0.2">
      <c r="F1905" s="50"/>
    </row>
    <row r="1906" spans="6:6" hidden="1" x14ac:dyDescent="0.2">
      <c r="F1906" s="50"/>
    </row>
    <row r="1907" spans="6:6" hidden="1" x14ac:dyDescent="0.2">
      <c r="F1907" s="50"/>
    </row>
    <row r="1908" spans="6:6" hidden="1" x14ac:dyDescent="0.2">
      <c r="F1908" s="50"/>
    </row>
    <row r="1909" spans="6:6" hidden="1" x14ac:dyDescent="0.2">
      <c r="F1909" s="50"/>
    </row>
    <row r="1910" spans="6:6" hidden="1" x14ac:dyDescent="0.2">
      <c r="F1910" s="50"/>
    </row>
    <row r="1911" spans="6:6" hidden="1" x14ac:dyDescent="0.2">
      <c r="F1911" s="50"/>
    </row>
    <row r="1912" spans="6:6" hidden="1" x14ac:dyDescent="0.2">
      <c r="F1912" s="50"/>
    </row>
    <row r="1913" spans="6:6" hidden="1" x14ac:dyDescent="0.2">
      <c r="F1913" s="50"/>
    </row>
    <row r="1914" spans="6:6" hidden="1" x14ac:dyDescent="0.2">
      <c r="F1914" s="50"/>
    </row>
    <row r="1915" spans="6:6" hidden="1" x14ac:dyDescent="0.2">
      <c r="F1915" s="50"/>
    </row>
    <row r="1916" spans="6:6" hidden="1" x14ac:dyDescent="0.2">
      <c r="F1916" s="50"/>
    </row>
    <row r="1917" spans="6:6" hidden="1" x14ac:dyDescent="0.2">
      <c r="F1917" s="50"/>
    </row>
    <row r="1918" spans="6:6" hidden="1" x14ac:dyDescent="0.2">
      <c r="F1918" s="50"/>
    </row>
    <row r="1919" spans="6:6" hidden="1" x14ac:dyDescent="0.2">
      <c r="F1919" s="50"/>
    </row>
    <row r="1920" spans="6:6" hidden="1" x14ac:dyDescent="0.2">
      <c r="F1920" s="50"/>
    </row>
    <row r="1921" spans="6:8" hidden="1" x14ac:dyDescent="0.2">
      <c r="F1921" s="50"/>
    </row>
    <row r="1922" spans="6:8" hidden="1" x14ac:dyDescent="0.2">
      <c r="F1922" s="50"/>
    </row>
    <row r="1923" spans="6:8" hidden="1" x14ac:dyDescent="0.2">
      <c r="F1923" s="50"/>
    </row>
    <row r="1924" spans="6:8" hidden="1" x14ac:dyDescent="0.2">
      <c r="F1924" s="50"/>
    </row>
    <row r="1925" spans="6:8" hidden="1" x14ac:dyDescent="0.2">
      <c r="F1925" s="50"/>
    </row>
    <row r="1926" spans="6:8" hidden="1" x14ac:dyDescent="0.2">
      <c r="F1926" s="50"/>
    </row>
    <row r="1927" spans="6:8" hidden="1" x14ac:dyDescent="0.2">
      <c r="F1927" s="50"/>
    </row>
    <row r="1928" spans="6:8" hidden="1" x14ac:dyDescent="0.2">
      <c r="F1928" s="50"/>
    </row>
    <row r="1929" spans="6:8" hidden="1" x14ac:dyDescent="0.2">
      <c r="F1929" s="50"/>
    </row>
    <row r="1930" spans="6:8" hidden="1" x14ac:dyDescent="0.2">
      <c r="F1930" s="50"/>
    </row>
    <row r="1931" spans="6:8" hidden="1" x14ac:dyDescent="0.2">
      <c r="F1931" s="50"/>
    </row>
    <row r="1932" spans="6:8" hidden="1" x14ac:dyDescent="0.2">
      <c r="F1932" s="50"/>
    </row>
    <row r="1933" spans="6:8" ht="15" hidden="1" x14ac:dyDescent="0.25">
      <c r="F1933" s="50"/>
      <c r="H1933" s="62"/>
    </row>
    <row r="1934" spans="6:8" hidden="1" x14ac:dyDescent="0.2">
      <c r="F1934" s="50"/>
    </row>
    <row r="1935" spans="6:8" hidden="1" x14ac:dyDescent="0.2">
      <c r="F1935" s="50"/>
    </row>
    <row r="1936" spans="6:8" hidden="1" x14ac:dyDescent="0.2">
      <c r="F1936" s="50"/>
    </row>
    <row r="1937" spans="6:8" hidden="1" x14ac:dyDescent="0.2">
      <c r="F1937" s="50"/>
    </row>
    <row r="1938" spans="6:8" hidden="1" x14ac:dyDescent="0.2">
      <c r="F1938" s="50"/>
    </row>
    <row r="1939" spans="6:8" hidden="1" x14ac:dyDescent="0.2">
      <c r="F1939" s="50"/>
    </row>
    <row r="1940" spans="6:8" hidden="1" x14ac:dyDescent="0.2">
      <c r="F1940" s="50"/>
    </row>
    <row r="1941" spans="6:8" hidden="1" x14ac:dyDescent="0.2">
      <c r="F1941" s="50"/>
    </row>
    <row r="1942" spans="6:8" hidden="1" x14ac:dyDescent="0.2">
      <c r="F1942" s="50"/>
    </row>
    <row r="1943" spans="6:8" hidden="1" x14ac:dyDescent="0.2">
      <c r="F1943" s="50"/>
    </row>
    <row r="1944" spans="6:8" hidden="1" x14ac:dyDescent="0.2">
      <c r="F1944" s="50"/>
    </row>
    <row r="1945" spans="6:8" hidden="1" x14ac:dyDescent="0.2">
      <c r="F1945" s="50"/>
    </row>
    <row r="1946" spans="6:8" hidden="1" x14ac:dyDescent="0.2">
      <c r="F1946" s="50"/>
    </row>
    <row r="1947" spans="6:8" hidden="1" x14ac:dyDescent="0.2">
      <c r="F1947" s="50"/>
    </row>
    <row r="1948" spans="6:8" hidden="1" x14ac:dyDescent="0.2">
      <c r="F1948" s="50"/>
    </row>
    <row r="1949" spans="6:8" hidden="1" x14ac:dyDescent="0.2">
      <c r="F1949" s="50"/>
    </row>
    <row r="1950" spans="6:8" ht="15" hidden="1" x14ac:dyDescent="0.25">
      <c r="F1950" s="50"/>
      <c r="H1950" s="69"/>
    </row>
    <row r="1951" spans="6:8" hidden="1" x14ac:dyDescent="0.2">
      <c r="F1951" s="50"/>
    </row>
    <row r="1952" spans="6:8" hidden="1" x14ac:dyDescent="0.2">
      <c r="F1952" s="50"/>
    </row>
    <row r="1953" spans="1:6" hidden="1" x14ac:dyDescent="0.2">
      <c r="F1953" s="50"/>
    </row>
    <row r="1954" spans="1:6" hidden="1" x14ac:dyDescent="0.2">
      <c r="F1954" s="50"/>
    </row>
    <row r="1955" spans="1:6" hidden="1" x14ac:dyDescent="0.2">
      <c r="F1955" s="50"/>
    </row>
    <row r="1956" spans="1:6" hidden="1" x14ac:dyDescent="0.2">
      <c r="F1956" s="50"/>
    </row>
    <row r="1957" spans="1:6" hidden="1" x14ac:dyDescent="0.2">
      <c r="F1957" s="50"/>
    </row>
    <row r="1958" spans="1:6" hidden="1" x14ac:dyDescent="0.2">
      <c r="F1958" s="50"/>
    </row>
    <row r="1959" spans="1:6" hidden="1" x14ac:dyDescent="0.2">
      <c r="F1959" s="50"/>
    </row>
    <row r="1960" spans="1:6" hidden="1" x14ac:dyDescent="0.2">
      <c r="F1960" s="50"/>
    </row>
    <row r="1961" spans="1:6" hidden="1" x14ac:dyDescent="0.2">
      <c r="F1961" s="50"/>
    </row>
    <row r="1962" spans="1:6" hidden="1" x14ac:dyDescent="0.2">
      <c r="F1962" s="50"/>
    </row>
    <row r="1963" spans="1:6" hidden="1" x14ac:dyDescent="0.2">
      <c r="F1963" s="50"/>
    </row>
    <row r="1964" spans="1:6" hidden="1" x14ac:dyDescent="0.2">
      <c r="F1964" s="50"/>
    </row>
    <row r="1965" spans="1:6" hidden="1" x14ac:dyDescent="0.2">
      <c r="A1965" s="55"/>
      <c r="C1965" s="55"/>
    </row>
    <row r="1966" spans="1:6" hidden="1" x14ac:dyDescent="0.2">
      <c r="F1966" s="50"/>
    </row>
    <row r="1967" spans="1:6" hidden="1" x14ac:dyDescent="0.2">
      <c r="F1967" s="50"/>
    </row>
    <row r="1968" spans="1:6" hidden="1" x14ac:dyDescent="0.2">
      <c r="F1968" s="50"/>
    </row>
    <row r="1969" spans="6:8" hidden="1" x14ac:dyDescent="0.2">
      <c r="F1969" s="50"/>
    </row>
    <row r="1970" spans="6:8" hidden="1" x14ac:dyDescent="0.2">
      <c r="F1970" s="50"/>
      <c r="H1970"/>
    </row>
    <row r="1971" spans="6:8" hidden="1" x14ac:dyDescent="0.2">
      <c r="F1971" s="50"/>
    </row>
    <row r="1972" spans="6:8" hidden="1" x14ac:dyDescent="0.2">
      <c r="F1972" s="50"/>
    </row>
    <row r="1973" spans="6:8" hidden="1" x14ac:dyDescent="0.2">
      <c r="F1973" s="50"/>
    </row>
    <row r="1974" spans="6:8" hidden="1" x14ac:dyDescent="0.2">
      <c r="F1974" s="50"/>
    </row>
    <row r="1975" spans="6:8" hidden="1" x14ac:dyDescent="0.2">
      <c r="F1975" s="50"/>
    </row>
    <row r="1976" spans="6:8" hidden="1" x14ac:dyDescent="0.2">
      <c r="F1976" s="50"/>
    </row>
    <row r="1977" spans="6:8" hidden="1" x14ac:dyDescent="0.2">
      <c r="F1977" s="50"/>
    </row>
    <row r="1978" spans="6:8" hidden="1" x14ac:dyDescent="0.2">
      <c r="F1978" s="50"/>
    </row>
    <row r="1979" spans="6:8" hidden="1" x14ac:dyDescent="0.2">
      <c r="F1979" s="50"/>
    </row>
    <row r="1980" spans="6:8" hidden="1" x14ac:dyDescent="0.2">
      <c r="F1980" s="50"/>
    </row>
    <row r="1981" spans="6:8" hidden="1" x14ac:dyDescent="0.2">
      <c r="F1981" s="50"/>
    </row>
    <row r="1982" spans="6:8" hidden="1" x14ac:dyDescent="0.2">
      <c r="F1982" s="50"/>
    </row>
    <row r="1983" spans="6:8" hidden="1" x14ac:dyDescent="0.2">
      <c r="F1983" s="50"/>
    </row>
    <row r="1984" spans="6:8" hidden="1" x14ac:dyDescent="0.2">
      <c r="F1984" s="50"/>
    </row>
    <row r="1985" spans="6:9" hidden="1" x14ac:dyDescent="0.2">
      <c r="I1985" s="97"/>
    </row>
    <row r="1989" spans="6:9" hidden="1" x14ac:dyDescent="0.2">
      <c r="F1989" s="50"/>
    </row>
    <row r="2002" spans="6:6" hidden="1" x14ac:dyDescent="0.2">
      <c r="F2002" s="50"/>
    </row>
    <row r="2003" spans="6:6" hidden="1" x14ac:dyDescent="0.2">
      <c r="F2003" s="50"/>
    </row>
    <row r="2004" spans="6:6" hidden="1" x14ac:dyDescent="0.2">
      <c r="F2004" s="50"/>
    </row>
    <row r="2005" spans="6:6" hidden="1" x14ac:dyDescent="0.2">
      <c r="F2005" s="50"/>
    </row>
    <row r="2006" spans="6:6" hidden="1" x14ac:dyDescent="0.2">
      <c r="F2006" s="50"/>
    </row>
    <row r="2007" spans="6:6" hidden="1" x14ac:dyDescent="0.2">
      <c r="F2007" s="50"/>
    </row>
    <row r="2008" spans="6:6" hidden="1" x14ac:dyDescent="0.2">
      <c r="F2008" s="50"/>
    </row>
    <row r="2009" spans="6:6" hidden="1" x14ac:dyDescent="0.2">
      <c r="F2009" s="50"/>
    </row>
    <row r="2010" spans="6:6" hidden="1" x14ac:dyDescent="0.2">
      <c r="F2010" s="50"/>
    </row>
    <row r="2011" spans="6:6" hidden="1" x14ac:dyDescent="0.2">
      <c r="F2011" s="50"/>
    </row>
    <row r="2012" spans="6:6" hidden="1" x14ac:dyDescent="0.2">
      <c r="F2012" s="50"/>
    </row>
    <row r="2013" spans="6:6" hidden="1" x14ac:dyDescent="0.2">
      <c r="F2013" s="50"/>
    </row>
    <row r="2014" spans="6:6" hidden="1" x14ac:dyDescent="0.2">
      <c r="F2014" s="50"/>
    </row>
    <row r="2015" spans="6:6" hidden="1" x14ac:dyDescent="0.2">
      <c r="F2015" s="50"/>
    </row>
    <row r="2016" spans="6:6" hidden="1" x14ac:dyDescent="0.2">
      <c r="F2016" s="50"/>
    </row>
    <row r="2017" spans="6:6" hidden="1" x14ac:dyDescent="0.2">
      <c r="F2017" s="50"/>
    </row>
    <row r="2018" spans="6:6" hidden="1" x14ac:dyDescent="0.2">
      <c r="F2018" s="50"/>
    </row>
    <row r="2022" spans="6:6" hidden="1" x14ac:dyDescent="0.2">
      <c r="F2022" s="50"/>
    </row>
    <row r="2023" spans="6:6" hidden="1" x14ac:dyDescent="0.2">
      <c r="F2023" s="50"/>
    </row>
    <row r="2024" spans="6:6" hidden="1" x14ac:dyDescent="0.2">
      <c r="F2024" s="50"/>
    </row>
    <row r="2025" spans="6:6" hidden="1" x14ac:dyDescent="0.2">
      <c r="F2025" s="50"/>
    </row>
    <row r="2026" spans="6:6" hidden="1" x14ac:dyDescent="0.2">
      <c r="F2026" s="50"/>
    </row>
    <row r="2027" spans="6:6" hidden="1" x14ac:dyDescent="0.2">
      <c r="F2027" s="50"/>
    </row>
    <row r="2028" spans="6:6" hidden="1" x14ac:dyDescent="0.2">
      <c r="F2028" s="50"/>
    </row>
    <row r="2029" spans="6:6" hidden="1" x14ac:dyDescent="0.2">
      <c r="F2029" s="50"/>
    </row>
    <row r="2030" spans="6:6" hidden="1" x14ac:dyDescent="0.2">
      <c r="F2030" s="50"/>
    </row>
    <row r="2032" spans="6:6" hidden="1" x14ac:dyDescent="0.2">
      <c r="F2032" s="50"/>
    </row>
    <row r="2033" spans="6:6" hidden="1" x14ac:dyDescent="0.2">
      <c r="F2033" s="50"/>
    </row>
    <row r="2034" spans="6:6" hidden="1" x14ac:dyDescent="0.2">
      <c r="F2034" s="50"/>
    </row>
    <row r="2035" spans="6:6" hidden="1" x14ac:dyDescent="0.2">
      <c r="F2035" s="50"/>
    </row>
    <row r="2036" spans="6:6" hidden="1" x14ac:dyDescent="0.2">
      <c r="F2036" s="50"/>
    </row>
    <row r="2037" spans="6:6" hidden="1" x14ac:dyDescent="0.2">
      <c r="F2037" s="50"/>
    </row>
    <row r="2038" spans="6:6" hidden="1" x14ac:dyDescent="0.2">
      <c r="F2038" s="50"/>
    </row>
    <row r="2039" spans="6:6" hidden="1" x14ac:dyDescent="0.2">
      <c r="F2039" s="50"/>
    </row>
    <row r="2040" spans="6:6" hidden="1" x14ac:dyDescent="0.2">
      <c r="F2040" s="50"/>
    </row>
    <row r="2041" spans="6:6" hidden="1" x14ac:dyDescent="0.2">
      <c r="F2041" s="50"/>
    </row>
    <row r="2042" spans="6:6" hidden="1" x14ac:dyDescent="0.2">
      <c r="F2042" s="50"/>
    </row>
    <row r="2043" spans="6:6" hidden="1" x14ac:dyDescent="0.2">
      <c r="F2043" s="50"/>
    </row>
    <row r="2044" spans="6:6" hidden="1" x14ac:dyDescent="0.2">
      <c r="F2044" s="50"/>
    </row>
    <row r="2045" spans="6:6" hidden="1" x14ac:dyDescent="0.2">
      <c r="F2045" s="50"/>
    </row>
    <row r="2046" spans="6:6" hidden="1" x14ac:dyDescent="0.2">
      <c r="F2046" s="50"/>
    </row>
    <row r="2047" spans="6:6" hidden="1" x14ac:dyDescent="0.2">
      <c r="F2047" s="50"/>
    </row>
    <row r="2048" spans="6:6" hidden="1" x14ac:dyDescent="0.2">
      <c r="F2048" s="50"/>
    </row>
    <row r="2049" spans="6:6" hidden="1" x14ac:dyDescent="0.2">
      <c r="F2049" s="50"/>
    </row>
    <row r="2050" spans="6:6" hidden="1" x14ac:dyDescent="0.2">
      <c r="F2050" s="50"/>
    </row>
    <row r="2051" spans="6:6" hidden="1" x14ac:dyDescent="0.2">
      <c r="F2051" s="50"/>
    </row>
    <row r="2052" spans="6:6" hidden="1" x14ac:dyDescent="0.2">
      <c r="F2052" s="50"/>
    </row>
    <row r="2053" spans="6:6" hidden="1" x14ac:dyDescent="0.2">
      <c r="F2053" s="50"/>
    </row>
    <row r="2054" spans="6:6" hidden="1" x14ac:dyDescent="0.2">
      <c r="F2054" s="50"/>
    </row>
    <row r="2055" spans="6:6" hidden="1" x14ac:dyDescent="0.2">
      <c r="F2055" s="50"/>
    </row>
    <row r="2056" spans="6:6" hidden="1" x14ac:dyDescent="0.2">
      <c r="F2056" s="50"/>
    </row>
    <row r="2057" spans="6:6" hidden="1" x14ac:dyDescent="0.2">
      <c r="F2057" s="50"/>
    </row>
    <row r="2058" spans="6:6" hidden="1" x14ac:dyDescent="0.2">
      <c r="F2058" s="50"/>
    </row>
    <row r="2059" spans="6:6" hidden="1" x14ac:dyDescent="0.2">
      <c r="F2059" s="50"/>
    </row>
    <row r="2060" spans="6:6" hidden="1" x14ac:dyDescent="0.2">
      <c r="F2060" s="50"/>
    </row>
    <row r="2061" spans="6:6" hidden="1" x14ac:dyDescent="0.2">
      <c r="F2061" s="50"/>
    </row>
    <row r="2062" spans="6:6" hidden="1" x14ac:dyDescent="0.2">
      <c r="F2062" s="50"/>
    </row>
    <row r="2063" spans="6:6" hidden="1" x14ac:dyDescent="0.2">
      <c r="F2063" s="50"/>
    </row>
    <row r="2064" spans="6:6" hidden="1" x14ac:dyDescent="0.2">
      <c r="F2064" s="50"/>
    </row>
    <row r="2065" spans="6:6" hidden="1" x14ac:dyDescent="0.2">
      <c r="F2065" s="50"/>
    </row>
    <row r="2066" spans="6:6" hidden="1" x14ac:dyDescent="0.2">
      <c r="F2066" s="50"/>
    </row>
    <row r="2067" spans="6:6" hidden="1" x14ac:dyDescent="0.2">
      <c r="F2067" s="50"/>
    </row>
    <row r="2068" spans="6:6" hidden="1" x14ac:dyDescent="0.2">
      <c r="F2068" s="50"/>
    </row>
    <row r="2069" spans="6:6" hidden="1" x14ac:dyDescent="0.2">
      <c r="F2069" s="50"/>
    </row>
    <row r="2070" spans="6:6" hidden="1" x14ac:dyDescent="0.2">
      <c r="F2070" s="50"/>
    </row>
    <row r="2071" spans="6:6" hidden="1" x14ac:dyDescent="0.2">
      <c r="F2071" s="50"/>
    </row>
    <row r="2072" spans="6:6" hidden="1" x14ac:dyDescent="0.2">
      <c r="F2072" s="50"/>
    </row>
    <row r="2075" spans="6:6" hidden="1" x14ac:dyDescent="0.2">
      <c r="F2075" s="50"/>
    </row>
    <row r="2076" spans="6:6" hidden="1" x14ac:dyDescent="0.2">
      <c r="F2076" s="50"/>
    </row>
    <row r="2077" spans="6:6" hidden="1" x14ac:dyDescent="0.2">
      <c r="F2077" s="50"/>
    </row>
    <row r="2078" spans="6:6" hidden="1" x14ac:dyDescent="0.2">
      <c r="F2078" s="50"/>
    </row>
    <row r="2079" spans="6:6" hidden="1" x14ac:dyDescent="0.2">
      <c r="F2079" s="50"/>
    </row>
    <row r="2080" spans="6:6" hidden="1" x14ac:dyDescent="0.2">
      <c r="F2080" s="50"/>
    </row>
    <row r="2081" spans="6:6" hidden="1" x14ac:dyDescent="0.2">
      <c r="F2081" s="50"/>
    </row>
    <row r="2082" spans="6:6" hidden="1" x14ac:dyDescent="0.2">
      <c r="F2082" s="50"/>
    </row>
    <row r="2083" spans="6:6" hidden="1" x14ac:dyDescent="0.2">
      <c r="F2083" s="50"/>
    </row>
    <row r="2084" spans="6:6" hidden="1" x14ac:dyDescent="0.2">
      <c r="F2084" s="50"/>
    </row>
    <row r="2085" spans="6:6" hidden="1" x14ac:dyDescent="0.2">
      <c r="F2085" s="50"/>
    </row>
    <row r="2086" spans="6:6" hidden="1" x14ac:dyDescent="0.2">
      <c r="F2086" s="50"/>
    </row>
    <row r="2087" spans="6:6" hidden="1" x14ac:dyDescent="0.2">
      <c r="F2087" s="50"/>
    </row>
    <row r="2088" spans="6:6" hidden="1" x14ac:dyDescent="0.2">
      <c r="F2088" s="50"/>
    </row>
    <row r="2089" spans="6:6" hidden="1" x14ac:dyDescent="0.2">
      <c r="F2089" s="50"/>
    </row>
    <row r="2090" spans="6:6" hidden="1" x14ac:dyDescent="0.2">
      <c r="F2090" s="50"/>
    </row>
    <row r="2091" spans="6:6" hidden="1" x14ac:dyDescent="0.2">
      <c r="F2091" s="50"/>
    </row>
    <row r="2092" spans="6:6" hidden="1" x14ac:dyDescent="0.2">
      <c r="F2092" s="50"/>
    </row>
    <row r="2093" spans="6:6" hidden="1" x14ac:dyDescent="0.2">
      <c r="F2093" s="50"/>
    </row>
    <row r="2094" spans="6:6" hidden="1" x14ac:dyDescent="0.2">
      <c r="F2094" s="50"/>
    </row>
    <row r="2095" spans="6:6" hidden="1" x14ac:dyDescent="0.2">
      <c r="F2095" s="50"/>
    </row>
    <row r="2096" spans="6:6" hidden="1" x14ac:dyDescent="0.2">
      <c r="F2096" s="50"/>
    </row>
    <row r="2097" spans="6:6" hidden="1" x14ac:dyDescent="0.2">
      <c r="F2097" s="50"/>
    </row>
    <row r="2098" spans="6:6" hidden="1" x14ac:dyDescent="0.2">
      <c r="F2098" s="50"/>
    </row>
    <row r="2099" spans="6:6" hidden="1" x14ac:dyDescent="0.2">
      <c r="F2099" s="50"/>
    </row>
    <row r="2100" spans="6:6" hidden="1" x14ac:dyDescent="0.2">
      <c r="F2100" s="50"/>
    </row>
    <row r="2101" spans="6:6" hidden="1" x14ac:dyDescent="0.2">
      <c r="F2101" s="50"/>
    </row>
    <row r="2102" spans="6:6" hidden="1" x14ac:dyDescent="0.2">
      <c r="F2102" s="50"/>
    </row>
    <row r="2103" spans="6:6" hidden="1" x14ac:dyDescent="0.2">
      <c r="F2103" s="50"/>
    </row>
    <row r="2104" spans="6:6" hidden="1" x14ac:dyDescent="0.2">
      <c r="F2104" s="50"/>
    </row>
    <row r="2105" spans="6:6" hidden="1" x14ac:dyDescent="0.2">
      <c r="F2105" s="50"/>
    </row>
    <row r="2106" spans="6:6" hidden="1" x14ac:dyDescent="0.2">
      <c r="F2106" s="50"/>
    </row>
    <row r="2107" spans="6:6" hidden="1" x14ac:dyDescent="0.2">
      <c r="F2107" s="50"/>
    </row>
    <row r="2108" spans="6:6" hidden="1" x14ac:dyDescent="0.2">
      <c r="F2108" s="50"/>
    </row>
    <row r="2109" spans="6:6" hidden="1" x14ac:dyDescent="0.2">
      <c r="F2109" s="50"/>
    </row>
    <row r="2110" spans="6:6" hidden="1" x14ac:dyDescent="0.2">
      <c r="F2110" s="50"/>
    </row>
    <row r="2111" spans="6:6" hidden="1" x14ac:dyDescent="0.2">
      <c r="F2111" s="50"/>
    </row>
    <row r="2112" spans="6:6" hidden="1" x14ac:dyDescent="0.2">
      <c r="F2112" s="50"/>
    </row>
    <row r="2113" spans="6:6" hidden="1" x14ac:dyDescent="0.2">
      <c r="F2113" s="50"/>
    </row>
    <row r="2114" spans="6:6" hidden="1" x14ac:dyDescent="0.2">
      <c r="F2114" s="50"/>
    </row>
    <row r="2115" spans="6:6" hidden="1" x14ac:dyDescent="0.2">
      <c r="F2115" s="50"/>
    </row>
    <row r="2116" spans="6:6" hidden="1" x14ac:dyDescent="0.2">
      <c r="F2116" s="50"/>
    </row>
    <row r="2118" spans="6:6" hidden="1" x14ac:dyDescent="0.2">
      <c r="F2118" s="50"/>
    </row>
    <row r="2119" spans="6:6" hidden="1" x14ac:dyDescent="0.2">
      <c r="F2119" s="50"/>
    </row>
    <row r="2120" spans="6:6" hidden="1" x14ac:dyDescent="0.2">
      <c r="F2120" s="50"/>
    </row>
    <row r="2121" spans="6:6" hidden="1" x14ac:dyDescent="0.2">
      <c r="F2121" s="50"/>
    </row>
    <row r="2122" spans="6:6" hidden="1" x14ac:dyDescent="0.2">
      <c r="F2122" s="50"/>
    </row>
    <row r="2123" spans="6:6" hidden="1" x14ac:dyDescent="0.2">
      <c r="F2123" s="50"/>
    </row>
    <row r="2124" spans="6:6" hidden="1" x14ac:dyDescent="0.2">
      <c r="F2124" s="50"/>
    </row>
    <row r="2125" spans="6:6" hidden="1" x14ac:dyDescent="0.2">
      <c r="F2125" s="50"/>
    </row>
    <row r="2126" spans="6:6" hidden="1" x14ac:dyDescent="0.2">
      <c r="F2126" s="50"/>
    </row>
    <row r="2127" spans="6:6" hidden="1" x14ac:dyDescent="0.2">
      <c r="F2127" s="50"/>
    </row>
    <row r="2128" spans="6:6" hidden="1" x14ac:dyDescent="0.2">
      <c r="F2128" s="50"/>
    </row>
    <row r="2129" spans="6:6" hidden="1" x14ac:dyDescent="0.2">
      <c r="F2129" s="50"/>
    </row>
    <row r="2130" spans="6:6" hidden="1" x14ac:dyDescent="0.2">
      <c r="F2130" s="50"/>
    </row>
    <row r="2131" spans="6:6" hidden="1" x14ac:dyDescent="0.2">
      <c r="F2131" s="50"/>
    </row>
    <row r="2132" spans="6:6" hidden="1" x14ac:dyDescent="0.2">
      <c r="F2132" s="50"/>
    </row>
    <row r="2133" spans="6:6" hidden="1" x14ac:dyDescent="0.2">
      <c r="F2133" s="50"/>
    </row>
    <row r="2134" spans="6:6" hidden="1" x14ac:dyDescent="0.2">
      <c r="F2134" s="50"/>
    </row>
    <row r="2135" spans="6:6" hidden="1" x14ac:dyDescent="0.2">
      <c r="F2135" s="50"/>
    </row>
    <row r="2136" spans="6:6" hidden="1" x14ac:dyDescent="0.2">
      <c r="F2136" s="50"/>
    </row>
    <row r="2137" spans="6:6" hidden="1" x14ac:dyDescent="0.2">
      <c r="F2137" s="50"/>
    </row>
    <row r="2138" spans="6:6" hidden="1" x14ac:dyDescent="0.2">
      <c r="F2138" s="50"/>
    </row>
    <row r="2139" spans="6:6" hidden="1" x14ac:dyDescent="0.2">
      <c r="F2139" s="50"/>
    </row>
    <row r="2140" spans="6:6" hidden="1" x14ac:dyDescent="0.2">
      <c r="F2140" s="50"/>
    </row>
    <row r="2141" spans="6:6" hidden="1" x14ac:dyDescent="0.2">
      <c r="F2141" s="50"/>
    </row>
    <row r="2142" spans="6:6" hidden="1" x14ac:dyDescent="0.2">
      <c r="F2142" s="50"/>
    </row>
    <row r="2143" spans="6:6" hidden="1" x14ac:dyDescent="0.2">
      <c r="F2143" s="50"/>
    </row>
    <row r="2144" spans="6:6" hidden="1" x14ac:dyDescent="0.2">
      <c r="F2144" s="50"/>
    </row>
    <row r="2145" spans="6:6" hidden="1" x14ac:dyDescent="0.2">
      <c r="F2145" s="50"/>
    </row>
    <row r="2146" spans="6:6" hidden="1" x14ac:dyDescent="0.2">
      <c r="F2146" s="50"/>
    </row>
    <row r="2147" spans="6:6" hidden="1" x14ac:dyDescent="0.2">
      <c r="F2147" s="50"/>
    </row>
    <row r="2148" spans="6:6" hidden="1" x14ac:dyDescent="0.2">
      <c r="F2148" s="50"/>
    </row>
    <row r="2149" spans="6:6" hidden="1" x14ac:dyDescent="0.2">
      <c r="F2149" s="50"/>
    </row>
    <row r="2150" spans="6:6" hidden="1" x14ac:dyDescent="0.2">
      <c r="F2150" s="50"/>
    </row>
    <row r="2151" spans="6:6" hidden="1" x14ac:dyDescent="0.2">
      <c r="F2151" s="50"/>
    </row>
    <row r="2152" spans="6:6" hidden="1" x14ac:dyDescent="0.2">
      <c r="F2152" s="50"/>
    </row>
    <row r="2153" spans="6:6" hidden="1" x14ac:dyDescent="0.2">
      <c r="F2153" s="50"/>
    </row>
    <row r="2154" spans="6:6" hidden="1" x14ac:dyDescent="0.2">
      <c r="F2154" s="50"/>
    </row>
    <row r="2155" spans="6:6" hidden="1" x14ac:dyDescent="0.2">
      <c r="F2155" s="50"/>
    </row>
    <row r="2156" spans="6:6" hidden="1" x14ac:dyDescent="0.2">
      <c r="F2156" s="50"/>
    </row>
    <row r="2157" spans="6:6" hidden="1" x14ac:dyDescent="0.2">
      <c r="F2157" s="50"/>
    </row>
    <row r="2158" spans="6:6" hidden="1" x14ac:dyDescent="0.2">
      <c r="F2158" s="50"/>
    </row>
    <row r="2159" spans="6:6" hidden="1" x14ac:dyDescent="0.2">
      <c r="F2159" s="50"/>
    </row>
    <row r="2160" spans="6:6" hidden="1" x14ac:dyDescent="0.2">
      <c r="F2160" s="50"/>
    </row>
    <row r="2161" spans="6:6" hidden="1" x14ac:dyDescent="0.2">
      <c r="F2161" s="50"/>
    </row>
    <row r="2162" spans="6:6" hidden="1" x14ac:dyDescent="0.2">
      <c r="F2162" s="50"/>
    </row>
    <row r="2163" spans="6:6" hidden="1" x14ac:dyDescent="0.2">
      <c r="F2163" s="50"/>
    </row>
    <row r="2164" spans="6:6" hidden="1" x14ac:dyDescent="0.2">
      <c r="F2164" s="50"/>
    </row>
    <row r="2165" spans="6:6" hidden="1" x14ac:dyDescent="0.2">
      <c r="F2165" s="50"/>
    </row>
    <row r="2166" spans="6:6" hidden="1" x14ac:dyDescent="0.2">
      <c r="F2166" s="50"/>
    </row>
    <row r="2167" spans="6:6" hidden="1" x14ac:dyDescent="0.2">
      <c r="F2167" s="50"/>
    </row>
    <row r="2168" spans="6:6" hidden="1" x14ac:dyDescent="0.2">
      <c r="F2168" s="50"/>
    </row>
    <row r="2169" spans="6:6" hidden="1" x14ac:dyDescent="0.2">
      <c r="F2169" s="50"/>
    </row>
    <row r="2170" spans="6:6" hidden="1" x14ac:dyDescent="0.2">
      <c r="F2170" s="50"/>
    </row>
    <row r="2171" spans="6:6" hidden="1" x14ac:dyDescent="0.2">
      <c r="F2171" s="50"/>
    </row>
    <row r="2172" spans="6:6" hidden="1" x14ac:dyDescent="0.2">
      <c r="F2172" s="50"/>
    </row>
    <row r="2173" spans="6:6" hidden="1" x14ac:dyDescent="0.2">
      <c r="F2173" s="50"/>
    </row>
    <row r="2174" spans="6:6" hidden="1" x14ac:dyDescent="0.2">
      <c r="F2174" s="50"/>
    </row>
    <row r="2175" spans="6:6" hidden="1" x14ac:dyDescent="0.2">
      <c r="F2175" s="50"/>
    </row>
    <row r="2176" spans="6:6" hidden="1" x14ac:dyDescent="0.2">
      <c r="F2176" s="50"/>
    </row>
    <row r="2177" spans="6:6" hidden="1" x14ac:dyDescent="0.2">
      <c r="F2177" s="50"/>
    </row>
    <row r="2178" spans="6:6" hidden="1" x14ac:dyDescent="0.2">
      <c r="F2178" s="50"/>
    </row>
    <row r="2179" spans="6:6" hidden="1" x14ac:dyDescent="0.2">
      <c r="F2179" s="50"/>
    </row>
    <row r="2180" spans="6:6" hidden="1" x14ac:dyDescent="0.2">
      <c r="F2180" s="50"/>
    </row>
    <row r="2181" spans="6:6" hidden="1" x14ac:dyDescent="0.2">
      <c r="F2181" s="50"/>
    </row>
    <row r="2182" spans="6:6" hidden="1" x14ac:dyDescent="0.2">
      <c r="F2182" s="50"/>
    </row>
    <row r="2183" spans="6:6" hidden="1" x14ac:dyDescent="0.2">
      <c r="F2183" s="50"/>
    </row>
    <row r="2184" spans="6:6" hidden="1" x14ac:dyDescent="0.2">
      <c r="F2184" s="50"/>
    </row>
    <row r="2185" spans="6:6" hidden="1" x14ac:dyDescent="0.2">
      <c r="F2185" s="50"/>
    </row>
    <row r="2186" spans="6:6" hidden="1" x14ac:dyDescent="0.2">
      <c r="F2186" s="50"/>
    </row>
    <row r="2187" spans="6:6" hidden="1" x14ac:dyDescent="0.2">
      <c r="F2187" s="50"/>
    </row>
    <row r="2188" spans="6:6" hidden="1" x14ac:dyDescent="0.2">
      <c r="F2188" s="50"/>
    </row>
    <row r="2189" spans="6:6" hidden="1" x14ac:dyDescent="0.2">
      <c r="F2189" s="50"/>
    </row>
    <row r="2190" spans="6:6" hidden="1" x14ac:dyDescent="0.2">
      <c r="F2190" s="50"/>
    </row>
    <row r="2191" spans="6:6" hidden="1" x14ac:dyDescent="0.2">
      <c r="F2191" s="50"/>
    </row>
    <row r="2192" spans="6:6" hidden="1" x14ac:dyDescent="0.2">
      <c r="F2192" s="50"/>
    </row>
    <row r="2193" spans="6:6" hidden="1" x14ac:dyDescent="0.2">
      <c r="F2193" s="50"/>
    </row>
    <row r="2194" spans="6:6" hidden="1" x14ac:dyDescent="0.2">
      <c r="F2194" s="50"/>
    </row>
    <row r="2195" spans="6:6" hidden="1" x14ac:dyDescent="0.2">
      <c r="F2195" s="50"/>
    </row>
    <row r="2196" spans="6:6" hidden="1" x14ac:dyDescent="0.2">
      <c r="F2196" s="50"/>
    </row>
    <row r="2197" spans="6:6" hidden="1" x14ac:dyDescent="0.2">
      <c r="F2197" s="50"/>
    </row>
    <row r="2198" spans="6:6" hidden="1" x14ac:dyDescent="0.2">
      <c r="F2198" s="50"/>
    </row>
    <row r="2199" spans="6:6" hidden="1" x14ac:dyDescent="0.2">
      <c r="F2199" s="50"/>
    </row>
    <row r="2200" spans="6:6" hidden="1" x14ac:dyDescent="0.2">
      <c r="F2200" s="50"/>
    </row>
    <row r="2201" spans="6:6" hidden="1" x14ac:dyDescent="0.2">
      <c r="F2201" s="50"/>
    </row>
    <row r="2202" spans="6:6" hidden="1" x14ac:dyDescent="0.2">
      <c r="F2202" s="50"/>
    </row>
    <row r="2203" spans="6:6" hidden="1" x14ac:dyDescent="0.2">
      <c r="F2203" s="50"/>
    </row>
    <row r="2204" spans="6:6" hidden="1" x14ac:dyDescent="0.2">
      <c r="F2204" s="50"/>
    </row>
    <row r="2205" spans="6:6" hidden="1" x14ac:dyDescent="0.2">
      <c r="F2205" s="50"/>
    </row>
    <row r="2206" spans="6:6" hidden="1" x14ac:dyDescent="0.2">
      <c r="F2206" s="50"/>
    </row>
    <row r="2207" spans="6:6" hidden="1" x14ac:dyDescent="0.2">
      <c r="F2207" s="50"/>
    </row>
    <row r="2208" spans="6:6" hidden="1" x14ac:dyDescent="0.2">
      <c r="F2208" s="50"/>
    </row>
    <row r="2209" spans="6:6" hidden="1" x14ac:dyDescent="0.2">
      <c r="F2209" s="50"/>
    </row>
    <row r="2210" spans="6:6" hidden="1" x14ac:dyDescent="0.2">
      <c r="F2210" s="50"/>
    </row>
    <row r="2211" spans="6:6" hidden="1" x14ac:dyDescent="0.2">
      <c r="F2211" s="50"/>
    </row>
    <row r="2212" spans="6:6" hidden="1" x14ac:dyDescent="0.2">
      <c r="F2212" s="50"/>
    </row>
    <row r="2213" spans="6:6" hidden="1" x14ac:dyDescent="0.2">
      <c r="F2213" s="50"/>
    </row>
    <row r="2214" spans="6:6" hidden="1" x14ac:dyDescent="0.2">
      <c r="F2214" s="50"/>
    </row>
    <row r="2215" spans="6:6" hidden="1" x14ac:dyDescent="0.2">
      <c r="F2215" s="50"/>
    </row>
    <row r="2216" spans="6:6" hidden="1" x14ac:dyDescent="0.2">
      <c r="F2216" s="50"/>
    </row>
    <row r="2217" spans="6:6" hidden="1" x14ac:dyDescent="0.2">
      <c r="F2217" s="50"/>
    </row>
    <row r="2218" spans="6:6" hidden="1" x14ac:dyDescent="0.2">
      <c r="F2218" s="50"/>
    </row>
    <row r="2219" spans="6:6" hidden="1" x14ac:dyDescent="0.2">
      <c r="F2219" s="50"/>
    </row>
    <row r="2220" spans="6:6" hidden="1" x14ac:dyDescent="0.2">
      <c r="F2220" s="50"/>
    </row>
    <row r="2221" spans="6:6" hidden="1" x14ac:dyDescent="0.2">
      <c r="F2221" s="50"/>
    </row>
    <row r="2222" spans="6:6" hidden="1" x14ac:dyDescent="0.2">
      <c r="F2222" s="50"/>
    </row>
    <row r="2223" spans="6:6" hidden="1" x14ac:dyDescent="0.2">
      <c r="F2223" s="50"/>
    </row>
    <row r="2224" spans="6:6" hidden="1" x14ac:dyDescent="0.2">
      <c r="F2224" s="50"/>
    </row>
    <row r="2225" spans="6:8" hidden="1" x14ac:dyDescent="0.2">
      <c r="F2225" s="50"/>
    </row>
    <row r="2226" spans="6:8" hidden="1" x14ac:dyDescent="0.2">
      <c r="F2226" s="50"/>
    </row>
    <row r="2227" spans="6:8" hidden="1" x14ac:dyDescent="0.2">
      <c r="F2227" s="50"/>
    </row>
    <row r="2228" spans="6:8" hidden="1" x14ac:dyDescent="0.2">
      <c r="F2228" s="50"/>
    </row>
    <row r="2232" spans="6:8" hidden="1" x14ac:dyDescent="0.2">
      <c r="F2232" s="50"/>
    </row>
    <row r="2233" spans="6:8" hidden="1" x14ac:dyDescent="0.2">
      <c r="F2233" s="50"/>
    </row>
    <row r="2234" spans="6:8" hidden="1" x14ac:dyDescent="0.2">
      <c r="F2234" s="50"/>
    </row>
    <row r="2235" spans="6:8" hidden="1" x14ac:dyDescent="0.2">
      <c r="F2235" s="50"/>
    </row>
    <row r="2236" spans="6:8" ht="15" hidden="1" x14ac:dyDescent="0.25">
      <c r="F2236" s="50"/>
      <c r="H2236" s="62"/>
    </row>
    <row r="2237" spans="6:8" hidden="1" x14ac:dyDescent="0.2">
      <c r="F2237" s="50"/>
    </row>
    <row r="2238" spans="6:8" hidden="1" x14ac:dyDescent="0.2">
      <c r="F2238" s="50"/>
    </row>
    <row r="2239" spans="6:8" hidden="1" x14ac:dyDescent="0.2">
      <c r="F2239" s="50"/>
    </row>
    <row r="2240" spans="6:8" hidden="1" x14ac:dyDescent="0.2">
      <c r="F2240" s="50"/>
    </row>
    <row r="2241" spans="6:6" hidden="1" x14ac:dyDescent="0.2">
      <c r="F2241" s="50"/>
    </row>
    <row r="2242" spans="6:6" hidden="1" x14ac:dyDescent="0.2">
      <c r="F2242" s="50"/>
    </row>
    <row r="2243" spans="6:6" hidden="1" x14ac:dyDescent="0.2">
      <c r="F2243" s="50"/>
    </row>
    <row r="2244" spans="6:6" hidden="1" x14ac:dyDescent="0.2">
      <c r="F2244" s="50"/>
    </row>
    <row r="2246" spans="6:6" hidden="1" x14ac:dyDescent="0.2">
      <c r="F2246" s="50"/>
    </row>
    <row r="2247" spans="6:6" hidden="1" x14ac:dyDescent="0.2">
      <c r="F2247" s="50"/>
    </row>
    <row r="2248" spans="6:6" hidden="1" x14ac:dyDescent="0.2">
      <c r="F2248" s="50"/>
    </row>
    <row r="2249" spans="6:6" hidden="1" x14ac:dyDescent="0.2">
      <c r="F2249" s="50"/>
    </row>
    <row r="2250" spans="6:6" hidden="1" x14ac:dyDescent="0.2">
      <c r="F2250" s="50"/>
    </row>
    <row r="2251" spans="6:6" hidden="1" x14ac:dyDescent="0.2">
      <c r="F2251" s="50"/>
    </row>
    <row r="2252" spans="6:6" hidden="1" x14ac:dyDescent="0.2">
      <c r="F2252" s="50"/>
    </row>
    <row r="2253" spans="6:6" hidden="1" x14ac:dyDescent="0.2">
      <c r="F2253" s="50"/>
    </row>
    <row r="2254" spans="6:6" hidden="1" x14ac:dyDescent="0.2">
      <c r="F2254" s="50"/>
    </row>
    <row r="2255" spans="6:6" hidden="1" x14ac:dyDescent="0.2">
      <c r="F2255" s="50"/>
    </row>
    <row r="2256" spans="6:6" hidden="1" x14ac:dyDescent="0.2">
      <c r="F2256" s="50"/>
    </row>
    <row r="2257" spans="6:6" hidden="1" x14ac:dyDescent="0.2">
      <c r="F2257" s="50"/>
    </row>
    <row r="2258" spans="6:6" hidden="1" x14ac:dyDescent="0.2">
      <c r="F2258" s="50"/>
    </row>
    <row r="2259" spans="6:6" hidden="1" x14ac:dyDescent="0.2">
      <c r="F2259" s="50"/>
    </row>
    <row r="2260" spans="6:6" hidden="1" x14ac:dyDescent="0.2">
      <c r="F2260" s="50"/>
    </row>
    <row r="2261" spans="6:6" hidden="1" x14ac:dyDescent="0.2">
      <c r="F2261" s="50"/>
    </row>
    <row r="2262" spans="6:6" hidden="1" x14ac:dyDescent="0.2">
      <c r="F2262" s="50"/>
    </row>
    <row r="2263" spans="6:6" hidden="1" x14ac:dyDescent="0.2">
      <c r="F2263" s="50"/>
    </row>
    <row r="2264" spans="6:6" hidden="1" x14ac:dyDescent="0.2">
      <c r="F2264" s="50"/>
    </row>
    <row r="2265" spans="6:6" hidden="1" x14ac:dyDescent="0.2">
      <c r="F2265" s="50"/>
    </row>
    <row r="2266" spans="6:6" hidden="1" x14ac:dyDescent="0.2">
      <c r="F2266" s="50"/>
    </row>
    <row r="2267" spans="6:6" hidden="1" x14ac:dyDescent="0.2">
      <c r="F2267" s="50"/>
    </row>
    <row r="2268" spans="6:6" hidden="1" x14ac:dyDescent="0.2">
      <c r="F2268" s="50"/>
    </row>
    <row r="2269" spans="6:6" hidden="1" x14ac:dyDescent="0.2">
      <c r="F2269" s="50"/>
    </row>
    <row r="2270" spans="6:6" hidden="1" x14ac:dyDescent="0.2">
      <c r="F2270" s="50"/>
    </row>
    <row r="2271" spans="6:6" hidden="1" x14ac:dyDescent="0.2">
      <c r="F2271" s="50"/>
    </row>
    <row r="2272" spans="6:6" hidden="1" x14ac:dyDescent="0.2">
      <c r="F2272" s="50"/>
    </row>
    <row r="2273" spans="6:8" hidden="1" x14ac:dyDescent="0.2">
      <c r="F2273" s="50"/>
    </row>
    <row r="2274" spans="6:8" hidden="1" x14ac:dyDescent="0.2">
      <c r="F2274" s="50"/>
    </row>
    <row r="2275" spans="6:8" hidden="1" x14ac:dyDescent="0.2">
      <c r="F2275" s="50"/>
    </row>
    <row r="2276" spans="6:8" ht="15" hidden="1" x14ac:dyDescent="0.25">
      <c r="F2276" s="50"/>
      <c r="H2276" s="62"/>
    </row>
    <row r="2277" spans="6:8" hidden="1" x14ac:dyDescent="0.2">
      <c r="F2277" s="50"/>
    </row>
    <row r="2278" spans="6:8" hidden="1" x14ac:dyDescent="0.2">
      <c r="F2278" s="50"/>
    </row>
    <row r="2279" spans="6:8" hidden="1" x14ac:dyDescent="0.2">
      <c r="F2279" s="50"/>
    </row>
    <row r="2280" spans="6:8" hidden="1" x14ac:dyDescent="0.2">
      <c r="F2280" s="50"/>
    </row>
    <row r="2281" spans="6:8" hidden="1" x14ac:dyDescent="0.2">
      <c r="F2281" s="50"/>
    </row>
    <row r="2282" spans="6:8" hidden="1" x14ac:dyDescent="0.2">
      <c r="F2282" s="50"/>
    </row>
    <row r="2283" spans="6:8" hidden="1" x14ac:dyDescent="0.2">
      <c r="F2283" s="50"/>
    </row>
    <row r="2284" spans="6:8" hidden="1" x14ac:dyDescent="0.2">
      <c r="F2284" s="50"/>
    </row>
    <row r="2285" spans="6:8" hidden="1" x14ac:dyDescent="0.2">
      <c r="F2285" s="50"/>
    </row>
    <row r="2286" spans="6:8" hidden="1" x14ac:dyDescent="0.2">
      <c r="F2286" s="50"/>
    </row>
    <row r="2287" spans="6:8" hidden="1" x14ac:dyDescent="0.2">
      <c r="F2287" s="50"/>
    </row>
    <row r="2288" spans="6:8" hidden="1" x14ac:dyDescent="0.2">
      <c r="F2288" s="50"/>
    </row>
    <row r="2289" spans="6:6" hidden="1" x14ac:dyDescent="0.2">
      <c r="F2289" s="50"/>
    </row>
    <row r="2290" spans="6:6" hidden="1" x14ac:dyDescent="0.2">
      <c r="F2290" s="50"/>
    </row>
    <row r="2291" spans="6:6" hidden="1" x14ac:dyDescent="0.2">
      <c r="F2291" s="50"/>
    </row>
    <row r="2292" spans="6:6" hidden="1" x14ac:dyDescent="0.2">
      <c r="F2292" s="50"/>
    </row>
    <row r="2293" spans="6:6" hidden="1" x14ac:dyDescent="0.2">
      <c r="F2293" s="50"/>
    </row>
    <row r="2294" spans="6:6" hidden="1" x14ac:dyDescent="0.2">
      <c r="F2294" s="50"/>
    </row>
    <row r="2295" spans="6:6" hidden="1" x14ac:dyDescent="0.2">
      <c r="F2295" s="50"/>
    </row>
    <row r="2296" spans="6:6" hidden="1" x14ac:dyDescent="0.2">
      <c r="F2296" s="50"/>
    </row>
    <row r="2297" spans="6:6" hidden="1" x14ac:dyDescent="0.2">
      <c r="F2297" s="50"/>
    </row>
    <row r="2298" spans="6:6" hidden="1" x14ac:dyDescent="0.2">
      <c r="F2298" s="50"/>
    </row>
    <row r="2299" spans="6:6" hidden="1" x14ac:dyDescent="0.2">
      <c r="F2299" s="50"/>
    </row>
    <row r="2300" spans="6:6" hidden="1" x14ac:dyDescent="0.2">
      <c r="F2300" s="50"/>
    </row>
    <row r="2301" spans="6:6" hidden="1" x14ac:dyDescent="0.2">
      <c r="F2301" s="50"/>
    </row>
    <row r="2302" spans="6:6" hidden="1" x14ac:dyDescent="0.2">
      <c r="F2302" s="50"/>
    </row>
    <row r="2303" spans="6:6" hidden="1" x14ac:dyDescent="0.2">
      <c r="F2303" s="50"/>
    </row>
    <row r="2304" spans="6:6" hidden="1" x14ac:dyDescent="0.2">
      <c r="F2304" s="50"/>
    </row>
    <row r="2305" spans="6:6" hidden="1" x14ac:dyDescent="0.2">
      <c r="F2305" s="50"/>
    </row>
    <row r="2306" spans="6:6" hidden="1" x14ac:dyDescent="0.2">
      <c r="F2306" s="50"/>
    </row>
    <row r="2307" spans="6:6" hidden="1" x14ac:dyDescent="0.2">
      <c r="F2307" s="50"/>
    </row>
    <row r="2308" spans="6:6" hidden="1" x14ac:dyDescent="0.2">
      <c r="F2308" s="50"/>
    </row>
    <row r="2309" spans="6:6" hidden="1" x14ac:dyDescent="0.2">
      <c r="F2309" s="50"/>
    </row>
    <row r="2310" spans="6:6" hidden="1" x14ac:dyDescent="0.2">
      <c r="F2310" s="50"/>
    </row>
    <row r="2311" spans="6:6" hidden="1" x14ac:dyDescent="0.2">
      <c r="F2311" s="50"/>
    </row>
    <row r="2312" spans="6:6" hidden="1" x14ac:dyDescent="0.2">
      <c r="F2312" s="50"/>
    </row>
    <row r="2313" spans="6:6" hidden="1" x14ac:dyDescent="0.2">
      <c r="F2313" s="50"/>
    </row>
    <row r="2314" spans="6:6" hidden="1" x14ac:dyDescent="0.2">
      <c r="F2314" s="50"/>
    </row>
    <row r="2315" spans="6:6" hidden="1" x14ac:dyDescent="0.2">
      <c r="F2315" s="50"/>
    </row>
    <row r="2316" spans="6:6" hidden="1" x14ac:dyDescent="0.2">
      <c r="F2316" s="50"/>
    </row>
    <row r="2317" spans="6:6" hidden="1" x14ac:dyDescent="0.2">
      <c r="F2317" s="50"/>
    </row>
    <row r="2318" spans="6:6" hidden="1" x14ac:dyDescent="0.2">
      <c r="F2318" s="50"/>
    </row>
    <row r="2319" spans="6:6" hidden="1" x14ac:dyDescent="0.2">
      <c r="F2319" s="50"/>
    </row>
    <row r="2320" spans="6:6" hidden="1" x14ac:dyDescent="0.2">
      <c r="F2320" s="50"/>
    </row>
    <row r="2321" spans="6:6" hidden="1" x14ac:dyDescent="0.2">
      <c r="F2321" s="50"/>
    </row>
    <row r="2322" spans="6:6" hidden="1" x14ac:dyDescent="0.2">
      <c r="F2322" s="50"/>
    </row>
    <row r="2323" spans="6:6" hidden="1" x14ac:dyDescent="0.2">
      <c r="F2323" s="50"/>
    </row>
    <row r="2324" spans="6:6" hidden="1" x14ac:dyDescent="0.2">
      <c r="F2324" s="50"/>
    </row>
    <row r="2325" spans="6:6" hidden="1" x14ac:dyDescent="0.2">
      <c r="F2325" s="50"/>
    </row>
    <row r="2326" spans="6:6" hidden="1" x14ac:dyDescent="0.2">
      <c r="F2326" s="50"/>
    </row>
    <row r="2327" spans="6:6" hidden="1" x14ac:dyDescent="0.2">
      <c r="F2327" s="50"/>
    </row>
    <row r="2328" spans="6:6" hidden="1" x14ac:dyDescent="0.2">
      <c r="F2328" s="50"/>
    </row>
    <row r="2329" spans="6:6" hidden="1" x14ac:dyDescent="0.2">
      <c r="F2329" s="50"/>
    </row>
    <row r="2330" spans="6:6" hidden="1" x14ac:dyDescent="0.2">
      <c r="F2330" s="50"/>
    </row>
    <row r="2331" spans="6:6" hidden="1" x14ac:dyDescent="0.2">
      <c r="F2331" s="50"/>
    </row>
    <row r="2332" spans="6:6" hidden="1" x14ac:dyDescent="0.2">
      <c r="F2332" s="50"/>
    </row>
    <row r="2333" spans="6:6" hidden="1" x14ac:dyDescent="0.2">
      <c r="F2333" s="50"/>
    </row>
    <row r="2334" spans="6:6" hidden="1" x14ac:dyDescent="0.2">
      <c r="F2334" s="50"/>
    </row>
    <row r="2335" spans="6:6" hidden="1" x14ac:dyDescent="0.2">
      <c r="F2335" s="50"/>
    </row>
    <row r="2336" spans="6:6" hidden="1" x14ac:dyDescent="0.2">
      <c r="F2336" s="50"/>
    </row>
    <row r="2337" spans="1:8" hidden="1" x14ac:dyDescent="0.2">
      <c r="F2337" s="50"/>
    </row>
    <row r="2338" spans="1:8" hidden="1" x14ac:dyDescent="0.2">
      <c r="F2338" s="50"/>
    </row>
    <row r="2339" spans="1:8" hidden="1" x14ac:dyDescent="0.2">
      <c r="F2339" s="50"/>
    </row>
    <row r="2340" spans="1:8" hidden="1" x14ac:dyDescent="0.2">
      <c r="F2340" s="50"/>
    </row>
    <row r="2341" spans="1:8" hidden="1" x14ac:dyDescent="0.2">
      <c r="F2341" s="50"/>
    </row>
    <row r="2342" spans="1:8" hidden="1" x14ac:dyDescent="0.2">
      <c r="F2342" s="50"/>
    </row>
    <row r="2343" spans="1:8" hidden="1" x14ac:dyDescent="0.2">
      <c r="F2343" s="50"/>
    </row>
    <row r="2344" spans="1:8" hidden="1" x14ac:dyDescent="0.2">
      <c r="F2344" s="50"/>
    </row>
    <row r="2345" spans="1:8" hidden="1" x14ac:dyDescent="0.2">
      <c r="F2345" s="50"/>
    </row>
    <row r="2346" spans="1:8" hidden="1" x14ac:dyDescent="0.2">
      <c r="A2346" s="55"/>
      <c r="C2346" s="55"/>
    </row>
    <row r="2347" spans="1:8" hidden="1" x14ac:dyDescent="0.2">
      <c r="F2347" s="50"/>
    </row>
    <row r="2348" spans="1:8" hidden="1" x14ac:dyDescent="0.2">
      <c r="F2348" s="50"/>
    </row>
    <row r="2349" spans="1:8" hidden="1" x14ac:dyDescent="0.2">
      <c r="F2349" s="50"/>
    </row>
    <row r="2350" spans="1:8" hidden="1" x14ac:dyDescent="0.2">
      <c r="F2350" s="50"/>
    </row>
    <row r="2351" spans="1:8" hidden="1" x14ac:dyDescent="0.2">
      <c r="F2351" s="50"/>
    </row>
    <row r="2352" spans="1:8" ht="15" hidden="1" x14ac:dyDescent="0.25">
      <c r="F2352" s="50"/>
      <c r="H2352" s="62"/>
    </row>
    <row r="2353" spans="6:6" hidden="1" x14ac:dyDescent="0.2">
      <c r="F2353" s="50"/>
    </row>
    <row r="2354" spans="6:6" hidden="1" x14ac:dyDescent="0.2">
      <c r="F2354" s="50"/>
    </row>
    <row r="2355" spans="6:6" hidden="1" x14ac:dyDescent="0.2">
      <c r="F2355" s="50"/>
    </row>
    <row r="2356" spans="6:6" hidden="1" x14ac:dyDescent="0.2">
      <c r="F2356" s="50"/>
    </row>
    <row r="2357" spans="6:6" hidden="1" x14ac:dyDescent="0.2">
      <c r="F2357" s="50"/>
    </row>
    <row r="2358" spans="6:6" hidden="1" x14ac:dyDescent="0.2">
      <c r="F2358" s="50"/>
    </row>
    <row r="2359" spans="6:6" hidden="1" x14ac:dyDescent="0.2">
      <c r="F2359" s="50"/>
    </row>
    <row r="2360" spans="6:6" hidden="1" x14ac:dyDescent="0.2">
      <c r="F2360" s="50"/>
    </row>
    <row r="2361" spans="6:6" hidden="1" x14ac:dyDescent="0.2">
      <c r="F2361" s="50"/>
    </row>
    <row r="2362" spans="6:6" hidden="1" x14ac:dyDescent="0.2">
      <c r="F2362" s="50"/>
    </row>
    <row r="2363" spans="6:6" hidden="1" x14ac:dyDescent="0.2">
      <c r="F2363" s="50"/>
    </row>
    <row r="2364" spans="6:6" hidden="1" x14ac:dyDescent="0.2">
      <c r="F2364" s="50"/>
    </row>
    <row r="2365" spans="6:6" hidden="1" x14ac:dyDescent="0.2">
      <c r="F2365" s="50"/>
    </row>
    <row r="2366" spans="6:6" hidden="1" x14ac:dyDescent="0.2">
      <c r="F2366" s="50"/>
    </row>
    <row r="2367" spans="6:6" hidden="1" x14ac:dyDescent="0.2">
      <c r="F2367" s="50"/>
    </row>
    <row r="2368" spans="6:6" hidden="1" x14ac:dyDescent="0.2">
      <c r="F2368" s="50"/>
    </row>
    <row r="2371" spans="2:6" hidden="1" x14ac:dyDescent="0.2">
      <c r="F2371" s="50"/>
    </row>
    <row r="2373" spans="2:6" hidden="1" x14ac:dyDescent="0.2">
      <c r="F2373" s="50"/>
    </row>
    <row r="2374" spans="2:6" ht="12" hidden="1" customHeight="1" x14ac:dyDescent="0.2">
      <c r="B2374" s="74"/>
    </row>
    <row r="2375" spans="2:6" hidden="1" x14ac:dyDescent="0.2">
      <c r="F2375" s="50"/>
    </row>
    <row r="2376" spans="2:6" hidden="1" x14ac:dyDescent="0.2">
      <c r="F2376" s="50"/>
    </row>
    <row r="2383" spans="2:6" hidden="1" x14ac:dyDescent="0.2">
      <c r="F2383" s="50"/>
    </row>
    <row r="2384" spans="2:6" hidden="1" x14ac:dyDescent="0.2">
      <c r="F2384" s="50"/>
    </row>
    <row r="2389" spans="6:8" hidden="1" x14ac:dyDescent="0.2">
      <c r="F2389" s="50"/>
    </row>
    <row r="2390" spans="6:8" hidden="1" x14ac:dyDescent="0.2">
      <c r="F2390" s="50"/>
    </row>
    <row r="2391" spans="6:8" hidden="1" x14ac:dyDescent="0.2">
      <c r="F2391" s="50"/>
    </row>
    <row r="2392" spans="6:8" hidden="1" x14ac:dyDescent="0.2">
      <c r="F2392" s="50"/>
    </row>
    <row r="2393" spans="6:8" ht="15" hidden="1" x14ac:dyDescent="0.25">
      <c r="F2393" s="50"/>
      <c r="H2393" s="62"/>
    </row>
    <row r="2394" spans="6:8" hidden="1" x14ac:dyDescent="0.2">
      <c r="F2394" s="50"/>
    </row>
    <row r="2395" spans="6:8" hidden="1" x14ac:dyDescent="0.2">
      <c r="F2395" s="50"/>
    </row>
    <row r="2396" spans="6:8" hidden="1" x14ac:dyDescent="0.2">
      <c r="F2396" s="50"/>
    </row>
    <row r="2397" spans="6:8" hidden="1" x14ac:dyDescent="0.2">
      <c r="F2397" s="50"/>
    </row>
    <row r="2398" spans="6:8" hidden="1" x14ac:dyDescent="0.2">
      <c r="F2398" s="50"/>
    </row>
    <row r="2399" spans="6:8" hidden="1" x14ac:dyDescent="0.2">
      <c r="F2399" s="50"/>
    </row>
    <row r="2400" spans="6:8" hidden="1" x14ac:dyDescent="0.2">
      <c r="F2400" s="50"/>
    </row>
    <row r="2401" spans="6:6" hidden="1" x14ac:dyDescent="0.2">
      <c r="F2401" s="50"/>
    </row>
    <row r="2402" spans="6:6" hidden="1" x14ac:dyDescent="0.2">
      <c r="F2402" s="50"/>
    </row>
    <row r="2403" spans="6:6" hidden="1" x14ac:dyDescent="0.2">
      <c r="F2403" s="50"/>
    </row>
    <row r="2404" spans="6:6" hidden="1" x14ac:dyDescent="0.2">
      <c r="F2404" s="50"/>
    </row>
    <row r="2405" spans="6:6" hidden="1" x14ac:dyDescent="0.2">
      <c r="F2405" s="50"/>
    </row>
    <row r="2406" spans="6:6" hidden="1" x14ac:dyDescent="0.2">
      <c r="F2406" s="50"/>
    </row>
    <row r="2407" spans="6:6" hidden="1" x14ac:dyDescent="0.2">
      <c r="F2407" s="50"/>
    </row>
    <row r="2408" spans="6:6" hidden="1" x14ac:dyDescent="0.2">
      <c r="F2408" s="50"/>
    </row>
    <row r="2409" spans="6:6" hidden="1" x14ac:dyDescent="0.2">
      <c r="F2409" s="50"/>
    </row>
    <row r="2410" spans="6:6" hidden="1" x14ac:dyDescent="0.2">
      <c r="F2410" s="50"/>
    </row>
    <row r="2411" spans="6:6" hidden="1" x14ac:dyDescent="0.2">
      <c r="F2411" s="50"/>
    </row>
    <row r="2412" spans="6:6" hidden="1" x14ac:dyDescent="0.2">
      <c r="F2412" s="50"/>
    </row>
    <row r="2413" spans="6:6" hidden="1" x14ac:dyDescent="0.2">
      <c r="F2413" s="50"/>
    </row>
    <row r="2414" spans="6:6" hidden="1" x14ac:dyDescent="0.2">
      <c r="F2414" s="50"/>
    </row>
    <row r="2415" spans="6:6" hidden="1" x14ac:dyDescent="0.2">
      <c r="F2415" s="50"/>
    </row>
    <row r="2416" spans="6:6" hidden="1" x14ac:dyDescent="0.2">
      <c r="F2416" s="50"/>
    </row>
    <row r="2417" spans="6:6" hidden="1" x14ac:dyDescent="0.2">
      <c r="F2417" s="50"/>
    </row>
    <row r="2418" spans="6:6" hidden="1" x14ac:dyDescent="0.2">
      <c r="F2418" s="50"/>
    </row>
    <row r="2419" spans="6:6" hidden="1" x14ac:dyDescent="0.2">
      <c r="F2419" s="50"/>
    </row>
    <row r="2420" spans="6:6" hidden="1" x14ac:dyDescent="0.2">
      <c r="F2420" s="50"/>
    </row>
    <row r="2421" spans="6:6" hidden="1" x14ac:dyDescent="0.2">
      <c r="F2421" s="50"/>
    </row>
    <row r="2422" spans="6:6" hidden="1" x14ac:dyDescent="0.2">
      <c r="F2422" s="50"/>
    </row>
    <row r="2424" spans="6:6" hidden="1" x14ac:dyDescent="0.2">
      <c r="F2424" s="50"/>
    </row>
    <row r="2425" spans="6:6" hidden="1" x14ac:dyDescent="0.2">
      <c r="F2425" s="50"/>
    </row>
    <row r="2426" spans="6:6" hidden="1" x14ac:dyDescent="0.2">
      <c r="F2426" s="50"/>
    </row>
    <row r="2427" spans="6:6" hidden="1" x14ac:dyDescent="0.2">
      <c r="F2427" s="50"/>
    </row>
    <row r="2428" spans="6:6" hidden="1" x14ac:dyDescent="0.2">
      <c r="F2428" s="50"/>
    </row>
    <row r="2429" spans="6:6" hidden="1" x14ac:dyDescent="0.2">
      <c r="F2429" s="50"/>
    </row>
    <row r="2430" spans="6:6" hidden="1" x14ac:dyDescent="0.2">
      <c r="F2430" s="50"/>
    </row>
    <row r="2431" spans="6:6" hidden="1" x14ac:dyDescent="0.2">
      <c r="F2431" s="50"/>
    </row>
    <row r="2432" spans="6:6" hidden="1" x14ac:dyDescent="0.2">
      <c r="F2432" s="50"/>
    </row>
    <row r="2433" spans="6:6" hidden="1" x14ac:dyDescent="0.2">
      <c r="F2433" s="50"/>
    </row>
    <row r="2434" spans="6:6" hidden="1" x14ac:dyDescent="0.2">
      <c r="F2434" s="50"/>
    </row>
    <row r="2435" spans="6:6" hidden="1" x14ac:dyDescent="0.2">
      <c r="F2435" s="50"/>
    </row>
    <row r="2436" spans="6:6" hidden="1" x14ac:dyDescent="0.2">
      <c r="F2436" s="50"/>
    </row>
    <row r="2437" spans="6:6" hidden="1" x14ac:dyDescent="0.2">
      <c r="F2437" s="50"/>
    </row>
    <row r="2438" spans="6:6" hidden="1" x14ac:dyDescent="0.2">
      <c r="F2438" s="50"/>
    </row>
    <row r="2439" spans="6:6" hidden="1" x14ac:dyDescent="0.2">
      <c r="F2439" s="50"/>
    </row>
    <row r="2440" spans="6:6" hidden="1" x14ac:dyDescent="0.2">
      <c r="F2440" s="50"/>
    </row>
    <row r="2441" spans="6:6" hidden="1" x14ac:dyDescent="0.2">
      <c r="F2441" s="50"/>
    </row>
    <row r="2442" spans="6:6" hidden="1" x14ac:dyDescent="0.2">
      <c r="F2442" s="50"/>
    </row>
    <row r="2443" spans="6:6" hidden="1" x14ac:dyDescent="0.2">
      <c r="F2443" s="50"/>
    </row>
    <row r="2444" spans="6:6" hidden="1" x14ac:dyDescent="0.2">
      <c r="F2444" s="50"/>
    </row>
    <row r="2445" spans="6:6" hidden="1" x14ac:dyDescent="0.2">
      <c r="F2445" s="50"/>
    </row>
    <row r="2446" spans="6:6" hidden="1" x14ac:dyDescent="0.2">
      <c r="F2446" s="50"/>
    </row>
    <row r="2447" spans="6:6" hidden="1" x14ac:dyDescent="0.2">
      <c r="F2447" s="50"/>
    </row>
    <row r="2448" spans="6:6" hidden="1" x14ac:dyDescent="0.2">
      <c r="F2448" s="50"/>
    </row>
    <row r="2449" spans="6:6" hidden="1" x14ac:dyDescent="0.2">
      <c r="F2449" s="50"/>
    </row>
    <row r="2450" spans="6:6" hidden="1" x14ac:dyDescent="0.2">
      <c r="F2450" s="50"/>
    </row>
    <row r="2451" spans="6:6" hidden="1" x14ac:dyDescent="0.2">
      <c r="F2451" s="50"/>
    </row>
    <row r="2452" spans="6:6" hidden="1" x14ac:dyDescent="0.2">
      <c r="F2452" s="50"/>
    </row>
    <row r="2453" spans="6:6" hidden="1" x14ac:dyDescent="0.2">
      <c r="F2453" s="50"/>
    </row>
    <row r="2454" spans="6:6" hidden="1" x14ac:dyDescent="0.2">
      <c r="F2454" s="50"/>
    </row>
    <row r="2456" spans="6:6" hidden="1" x14ac:dyDescent="0.2">
      <c r="F2456" s="50"/>
    </row>
    <row r="2457" spans="6:6" hidden="1" x14ac:dyDescent="0.2">
      <c r="F2457" s="50"/>
    </row>
    <row r="2458" spans="6:6" hidden="1" x14ac:dyDescent="0.2">
      <c r="F2458" s="50"/>
    </row>
    <row r="2459" spans="6:6" hidden="1" x14ac:dyDescent="0.2">
      <c r="F2459" s="50"/>
    </row>
    <row r="2460" spans="6:6" hidden="1" x14ac:dyDescent="0.2">
      <c r="F2460" s="50"/>
    </row>
    <row r="2461" spans="6:6" hidden="1" x14ac:dyDescent="0.2">
      <c r="F2461" s="50"/>
    </row>
    <row r="2462" spans="6:6" hidden="1" x14ac:dyDescent="0.2">
      <c r="F2462" s="50"/>
    </row>
    <row r="2463" spans="6:6" hidden="1" x14ac:dyDescent="0.2">
      <c r="F2463" s="50"/>
    </row>
    <row r="2464" spans="6:6" hidden="1" x14ac:dyDescent="0.2">
      <c r="F2464" s="50"/>
    </row>
    <row r="2465" spans="6:6" hidden="1" x14ac:dyDescent="0.2">
      <c r="F2465" s="50"/>
    </row>
    <row r="2466" spans="6:6" hidden="1" x14ac:dyDescent="0.2">
      <c r="F2466" s="50"/>
    </row>
    <row r="2467" spans="6:6" hidden="1" x14ac:dyDescent="0.2">
      <c r="F2467" s="50"/>
    </row>
    <row r="2468" spans="6:6" hidden="1" x14ac:dyDescent="0.2">
      <c r="F2468" s="50"/>
    </row>
    <row r="2469" spans="6:6" hidden="1" x14ac:dyDescent="0.2">
      <c r="F2469" s="50"/>
    </row>
    <row r="2470" spans="6:6" hidden="1" x14ac:dyDescent="0.2">
      <c r="F2470" s="50"/>
    </row>
    <row r="2471" spans="6:6" hidden="1" x14ac:dyDescent="0.2">
      <c r="F2471" s="50"/>
    </row>
    <row r="2472" spans="6:6" hidden="1" x14ac:dyDescent="0.2">
      <c r="F2472" s="50"/>
    </row>
    <row r="2473" spans="6:6" hidden="1" x14ac:dyDescent="0.2">
      <c r="F2473" s="50"/>
    </row>
    <row r="2474" spans="6:6" hidden="1" x14ac:dyDescent="0.2">
      <c r="F2474" s="50"/>
    </row>
    <row r="2475" spans="6:6" hidden="1" x14ac:dyDescent="0.2">
      <c r="F2475" s="50"/>
    </row>
    <row r="2476" spans="6:6" hidden="1" x14ac:dyDescent="0.2">
      <c r="F2476" s="50"/>
    </row>
    <row r="2477" spans="6:6" hidden="1" x14ac:dyDescent="0.2">
      <c r="F2477" s="50"/>
    </row>
    <row r="2478" spans="6:6" hidden="1" x14ac:dyDescent="0.2">
      <c r="F2478" s="50"/>
    </row>
    <row r="2479" spans="6:6" hidden="1" x14ac:dyDescent="0.2">
      <c r="F2479" s="50"/>
    </row>
    <row r="2480" spans="6:6" hidden="1" x14ac:dyDescent="0.2">
      <c r="F2480" s="50"/>
    </row>
    <row r="2481" spans="6:6" hidden="1" x14ac:dyDescent="0.2">
      <c r="F2481" s="50"/>
    </row>
    <row r="2482" spans="6:6" hidden="1" x14ac:dyDescent="0.2">
      <c r="F2482" s="50"/>
    </row>
    <row r="2483" spans="6:6" hidden="1" x14ac:dyDescent="0.2">
      <c r="F2483" s="50"/>
    </row>
    <row r="2484" spans="6:6" hidden="1" x14ac:dyDescent="0.2">
      <c r="F2484" s="50"/>
    </row>
    <row r="2485" spans="6:6" hidden="1" x14ac:dyDescent="0.2">
      <c r="F2485" s="50"/>
    </row>
    <row r="2486" spans="6:6" hidden="1" x14ac:dyDescent="0.2">
      <c r="F2486" s="50"/>
    </row>
    <row r="2487" spans="6:6" hidden="1" x14ac:dyDescent="0.2">
      <c r="F2487" s="50"/>
    </row>
    <row r="2488" spans="6:6" hidden="1" x14ac:dyDescent="0.2">
      <c r="F2488" s="50"/>
    </row>
    <row r="2489" spans="6:6" hidden="1" x14ac:dyDescent="0.2">
      <c r="F2489" s="50"/>
    </row>
    <row r="2490" spans="6:6" hidden="1" x14ac:dyDescent="0.2">
      <c r="F2490" s="50"/>
    </row>
    <row r="2491" spans="6:6" hidden="1" x14ac:dyDescent="0.2">
      <c r="F2491" s="50"/>
    </row>
    <row r="2492" spans="6:6" hidden="1" x14ac:dyDescent="0.2">
      <c r="F2492" s="50"/>
    </row>
    <row r="2493" spans="6:6" hidden="1" x14ac:dyDescent="0.2">
      <c r="F2493" s="50"/>
    </row>
    <row r="2494" spans="6:6" hidden="1" x14ac:dyDescent="0.2">
      <c r="F2494" s="50"/>
    </row>
    <row r="2495" spans="6:6" hidden="1" x14ac:dyDescent="0.2">
      <c r="F2495" s="50"/>
    </row>
    <row r="2496" spans="6:6" hidden="1" x14ac:dyDescent="0.2">
      <c r="F2496" s="50"/>
    </row>
    <row r="2497" spans="6:6" hidden="1" x14ac:dyDescent="0.2">
      <c r="F2497" s="50"/>
    </row>
    <row r="2498" spans="6:6" hidden="1" x14ac:dyDescent="0.2">
      <c r="F2498" s="50"/>
    </row>
    <row r="2499" spans="6:6" hidden="1" x14ac:dyDescent="0.2">
      <c r="F2499" s="50"/>
    </row>
    <row r="2500" spans="6:6" hidden="1" x14ac:dyDescent="0.2">
      <c r="F2500" s="50"/>
    </row>
    <row r="2501" spans="6:6" hidden="1" x14ac:dyDescent="0.2">
      <c r="F2501" s="50"/>
    </row>
    <row r="2502" spans="6:6" hidden="1" x14ac:dyDescent="0.2">
      <c r="F2502" s="50"/>
    </row>
    <row r="2503" spans="6:6" hidden="1" x14ac:dyDescent="0.2">
      <c r="F2503" s="50"/>
    </row>
    <row r="2504" spans="6:6" hidden="1" x14ac:dyDescent="0.2">
      <c r="F2504" s="50"/>
    </row>
    <row r="2505" spans="6:6" hidden="1" x14ac:dyDescent="0.2">
      <c r="F2505" s="50"/>
    </row>
    <row r="2506" spans="6:6" hidden="1" x14ac:dyDescent="0.2">
      <c r="F2506" s="50"/>
    </row>
    <row r="2507" spans="6:6" hidden="1" x14ac:dyDescent="0.2">
      <c r="F2507" s="50"/>
    </row>
    <row r="2508" spans="6:6" hidden="1" x14ac:dyDescent="0.2">
      <c r="F2508" s="50"/>
    </row>
    <row r="2509" spans="6:6" hidden="1" x14ac:dyDescent="0.2">
      <c r="F2509" s="50"/>
    </row>
    <row r="2510" spans="6:6" hidden="1" x14ac:dyDescent="0.2">
      <c r="F2510" s="50"/>
    </row>
    <row r="2511" spans="6:6" hidden="1" x14ac:dyDescent="0.2">
      <c r="F2511" s="50"/>
    </row>
    <row r="2512" spans="6:6" hidden="1" x14ac:dyDescent="0.2">
      <c r="F2512" s="50"/>
    </row>
    <row r="2513" spans="1:6" hidden="1" x14ac:dyDescent="0.2">
      <c r="F2513" s="50"/>
    </row>
    <row r="2514" spans="1:6" hidden="1" x14ac:dyDescent="0.2">
      <c r="F2514" s="50"/>
    </row>
    <row r="2515" spans="1:6" hidden="1" x14ac:dyDescent="0.2">
      <c r="F2515" s="50"/>
    </row>
    <row r="2516" spans="1:6" hidden="1" x14ac:dyDescent="0.2">
      <c r="F2516" s="50"/>
    </row>
    <row r="2517" spans="1:6" hidden="1" x14ac:dyDescent="0.2">
      <c r="F2517" s="50"/>
    </row>
    <row r="2518" spans="1:6" hidden="1" x14ac:dyDescent="0.2">
      <c r="F2518" s="50"/>
    </row>
    <row r="2519" spans="1:6" hidden="1" x14ac:dyDescent="0.2">
      <c r="A2519" s="66"/>
      <c r="C2519" s="66"/>
    </row>
    <row r="2520" spans="1:6" hidden="1" x14ac:dyDescent="0.2">
      <c r="A2520" s="66"/>
      <c r="C2520" s="66"/>
    </row>
    <row r="2521" spans="1:6" hidden="1" x14ac:dyDescent="0.2">
      <c r="A2521" s="66"/>
      <c r="C2521" s="66"/>
    </row>
    <row r="2522" spans="1:6" hidden="1" x14ac:dyDescent="0.2">
      <c r="A2522" s="66"/>
      <c r="C2522" s="66"/>
    </row>
    <row r="2523" spans="1:6" hidden="1" x14ac:dyDescent="0.2">
      <c r="A2523" s="66"/>
      <c r="C2523" s="66"/>
    </row>
    <row r="2524" spans="1:6" hidden="1" x14ac:dyDescent="0.2">
      <c r="A2524" s="66"/>
      <c r="C2524" s="66"/>
    </row>
    <row r="2525" spans="1:6" hidden="1" x14ac:dyDescent="0.2">
      <c r="A2525" s="66"/>
      <c r="C2525" s="66"/>
    </row>
    <row r="2526" spans="1:6" hidden="1" x14ac:dyDescent="0.2">
      <c r="A2526" s="66"/>
      <c r="C2526" s="66"/>
    </row>
    <row r="2527" spans="1:6" hidden="1" x14ac:dyDescent="0.2">
      <c r="A2527" s="66"/>
      <c r="C2527" s="66"/>
    </row>
    <row r="2528" spans="1:6" hidden="1" x14ac:dyDescent="0.2">
      <c r="A2528" s="66"/>
      <c r="C2528" s="66"/>
    </row>
    <row r="2529" spans="1:7" hidden="1" x14ac:dyDescent="0.2">
      <c r="A2529" s="66"/>
      <c r="C2529" s="66"/>
    </row>
    <row r="2530" spans="1:7" hidden="1" x14ac:dyDescent="0.2">
      <c r="A2530" s="66"/>
      <c r="C2530" s="66"/>
    </row>
    <row r="2531" spans="1:7" hidden="1" x14ac:dyDescent="0.2">
      <c r="A2531" s="66"/>
      <c r="C2531" s="66"/>
    </row>
    <row r="2532" spans="1:7" hidden="1" x14ac:dyDescent="0.2">
      <c r="A2532" s="66"/>
      <c r="C2532" s="66"/>
      <c r="F2532" s="50"/>
      <c r="G2532" s="50"/>
    </row>
    <row r="2533" spans="1:7" hidden="1" x14ac:dyDescent="0.2">
      <c r="A2533" s="66"/>
      <c r="C2533" s="66"/>
      <c r="F2533" s="50"/>
      <c r="G2533" s="50"/>
    </row>
    <row r="2534" spans="1:7" hidden="1" x14ac:dyDescent="0.2">
      <c r="A2534" s="66"/>
      <c r="C2534" s="66"/>
    </row>
    <row r="2535" spans="1:7" hidden="1" x14ac:dyDescent="0.2">
      <c r="A2535" s="66"/>
      <c r="C2535" s="66"/>
    </row>
    <row r="2536" spans="1:7" hidden="1" x14ac:dyDescent="0.2">
      <c r="A2536" s="66"/>
      <c r="C2536" s="66"/>
    </row>
    <row r="2537" spans="1:7" hidden="1" x14ac:dyDescent="0.2">
      <c r="A2537" s="66"/>
      <c r="C2537" s="66"/>
    </row>
    <row r="2538" spans="1:7" hidden="1" x14ac:dyDescent="0.2">
      <c r="A2538" s="66"/>
      <c r="C2538" s="66"/>
    </row>
    <row r="2539" spans="1:7" hidden="1" x14ac:dyDescent="0.2">
      <c r="A2539" s="66"/>
      <c r="C2539" s="66"/>
    </row>
    <row r="2540" spans="1:7" hidden="1" x14ac:dyDescent="0.2">
      <c r="A2540" s="66"/>
      <c r="C2540" s="66"/>
    </row>
    <row r="2541" spans="1:7" hidden="1" x14ac:dyDescent="0.2">
      <c r="A2541" s="66"/>
      <c r="C2541" s="66"/>
    </row>
    <row r="2542" spans="1:7" hidden="1" x14ac:dyDescent="0.2">
      <c r="A2542" s="66"/>
      <c r="C2542" s="66"/>
    </row>
    <row r="2543" spans="1:7" hidden="1" x14ac:dyDescent="0.2">
      <c r="A2543" s="66"/>
      <c r="C2543" s="66"/>
    </row>
    <row r="2544" spans="1:7" hidden="1" x14ac:dyDescent="0.2">
      <c r="A2544" s="66"/>
      <c r="C2544" s="66"/>
    </row>
    <row r="2545" spans="1:3" hidden="1" x14ac:dyDescent="0.2">
      <c r="A2545" s="66"/>
      <c r="C2545" s="66"/>
    </row>
    <row r="2546" spans="1:3" hidden="1" x14ac:dyDescent="0.2">
      <c r="A2546" s="66"/>
      <c r="C2546" s="66"/>
    </row>
    <row r="2547" spans="1:3" hidden="1" x14ac:dyDescent="0.2">
      <c r="A2547" s="66"/>
      <c r="C2547" s="66"/>
    </row>
    <row r="2548" spans="1:3" hidden="1" x14ac:dyDescent="0.2">
      <c r="A2548" s="66"/>
      <c r="C2548" s="66"/>
    </row>
    <row r="2549" spans="1:3" hidden="1" x14ac:dyDescent="0.2">
      <c r="A2549" s="66"/>
      <c r="C2549" s="66"/>
    </row>
    <row r="2550" spans="1:3" hidden="1" x14ac:dyDescent="0.2">
      <c r="A2550" s="66"/>
      <c r="C2550" s="66"/>
    </row>
    <row r="2551" spans="1:3" hidden="1" x14ac:dyDescent="0.2">
      <c r="A2551" s="66"/>
      <c r="C2551" s="66"/>
    </row>
    <row r="2552" spans="1:3" hidden="1" x14ac:dyDescent="0.2">
      <c r="A2552" s="66"/>
      <c r="C2552" s="66"/>
    </row>
    <row r="2553" spans="1:3" hidden="1" x14ac:dyDescent="0.2">
      <c r="A2553" s="66"/>
      <c r="C2553" s="66"/>
    </row>
    <row r="2554" spans="1:3" hidden="1" x14ac:dyDescent="0.2">
      <c r="A2554" s="66"/>
      <c r="C2554" s="66"/>
    </row>
    <row r="2555" spans="1:3" hidden="1" x14ac:dyDescent="0.2">
      <c r="A2555" s="66"/>
      <c r="C2555" s="66"/>
    </row>
    <row r="2556" spans="1:3" hidden="1" x14ac:dyDescent="0.2">
      <c r="A2556" s="66"/>
      <c r="C2556" s="66"/>
    </row>
    <row r="2557" spans="1:3" hidden="1" x14ac:dyDescent="0.2">
      <c r="A2557" s="66"/>
      <c r="C2557" s="66"/>
    </row>
    <row r="2558" spans="1:3" hidden="1" x14ac:dyDescent="0.2">
      <c r="A2558" s="66"/>
      <c r="C2558" s="66"/>
    </row>
    <row r="2559" spans="1:3" hidden="1" x14ac:dyDescent="0.2">
      <c r="A2559" s="66"/>
      <c r="C2559" s="66"/>
    </row>
    <row r="2560" spans="1:3" hidden="1" x14ac:dyDescent="0.2">
      <c r="A2560" s="66"/>
      <c r="C2560" s="66"/>
    </row>
    <row r="2561" spans="1:6" hidden="1" x14ac:dyDescent="0.2">
      <c r="A2561" s="66"/>
      <c r="C2561" s="66"/>
    </row>
    <row r="2562" spans="1:6" hidden="1" x14ac:dyDescent="0.2">
      <c r="F2562" s="50"/>
    </row>
    <row r="2563" spans="1:6" hidden="1" x14ac:dyDescent="0.2">
      <c r="F2563" s="50"/>
    </row>
    <row r="2564" spans="1:6" hidden="1" x14ac:dyDescent="0.2">
      <c r="F2564" s="50"/>
    </row>
    <row r="2565" spans="1:6" hidden="1" x14ac:dyDescent="0.2">
      <c r="F2565" s="50"/>
    </row>
    <row r="2566" spans="1:6" hidden="1" x14ac:dyDescent="0.2">
      <c r="F2566" s="50"/>
    </row>
    <row r="2567" spans="1:6" hidden="1" x14ac:dyDescent="0.2">
      <c r="F2567" s="50"/>
    </row>
    <row r="2568" spans="1:6" hidden="1" x14ac:dyDescent="0.2">
      <c r="F2568" s="50"/>
    </row>
    <row r="2569" spans="1:6" hidden="1" x14ac:dyDescent="0.2">
      <c r="F2569" s="50"/>
    </row>
    <row r="2570" spans="1:6" hidden="1" x14ac:dyDescent="0.2">
      <c r="F2570" s="50"/>
    </row>
    <row r="2571" spans="1:6" hidden="1" x14ac:dyDescent="0.2">
      <c r="F2571" s="50"/>
    </row>
    <row r="2572" spans="1:6" hidden="1" x14ac:dyDescent="0.2">
      <c r="F2572" s="50"/>
    </row>
    <row r="2573" spans="1:6" hidden="1" x14ac:dyDescent="0.2">
      <c r="F2573" s="50"/>
    </row>
    <row r="2574" spans="1:6" hidden="1" x14ac:dyDescent="0.2">
      <c r="F2574" s="50"/>
    </row>
    <row r="2575" spans="1:6" hidden="1" x14ac:dyDescent="0.2">
      <c r="F2575" s="50"/>
    </row>
    <row r="2576" spans="1:6" hidden="1" x14ac:dyDescent="0.2">
      <c r="F2576" s="50"/>
    </row>
    <row r="2577" spans="1:6" hidden="1" x14ac:dyDescent="0.2">
      <c r="F2577" s="50"/>
    </row>
    <row r="2578" spans="1:6" hidden="1" x14ac:dyDescent="0.2">
      <c r="F2578" s="50"/>
    </row>
    <row r="2579" spans="1:6" hidden="1" x14ac:dyDescent="0.2">
      <c r="F2579" s="50"/>
    </row>
    <row r="2580" spans="1:6" hidden="1" x14ac:dyDescent="0.2">
      <c r="F2580" s="50"/>
    </row>
    <row r="2581" spans="1:6" hidden="1" x14ac:dyDescent="0.2">
      <c r="F2581" s="50"/>
    </row>
    <row r="2582" spans="1:6" hidden="1" x14ac:dyDescent="0.2">
      <c r="F2582" s="50"/>
    </row>
    <row r="2583" spans="1:6" hidden="1" x14ac:dyDescent="0.2">
      <c r="F2583" s="50"/>
    </row>
    <row r="2584" spans="1:6" hidden="1" x14ac:dyDescent="0.2">
      <c r="F2584" s="50"/>
    </row>
    <row r="2585" spans="1:6" hidden="1" x14ac:dyDescent="0.2">
      <c r="F2585" s="50"/>
    </row>
    <row r="2586" spans="1:6" hidden="1" x14ac:dyDescent="0.2">
      <c r="F2586" s="50"/>
    </row>
    <row r="2587" spans="1:6" hidden="1" x14ac:dyDescent="0.2">
      <c r="F2587" s="50"/>
    </row>
    <row r="2588" spans="1:6" hidden="1" x14ac:dyDescent="0.2">
      <c r="F2588" s="50"/>
    </row>
    <row r="2589" spans="1:6" hidden="1" x14ac:dyDescent="0.2">
      <c r="F2589" s="50"/>
    </row>
    <row r="2590" spans="1:6" hidden="1" x14ac:dyDescent="0.2">
      <c r="F2590" s="50"/>
    </row>
    <row r="2591" spans="1:6" hidden="1" x14ac:dyDescent="0.2">
      <c r="F2591" s="50"/>
    </row>
    <row r="2592" spans="1:6" hidden="1" x14ac:dyDescent="0.2">
      <c r="A2592" s="66"/>
      <c r="C2592" s="66"/>
    </row>
    <row r="2593" spans="6:6" hidden="1" x14ac:dyDescent="0.2">
      <c r="F2593" s="50"/>
    </row>
    <row r="2594" spans="6:6" hidden="1" x14ac:dyDescent="0.2">
      <c r="F2594" s="50"/>
    </row>
    <row r="2595" spans="6:6" hidden="1" x14ac:dyDescent="0.2">
      <c r="F2595" s="50"/>
    </row>
    <row r="2596" spans="6:6" hidden="1" x14ac:dyDescent="0.2">
      <c r="F2596" s="50"/>
    </row>
    <row r="2597" spans="6:6" hidden="1" x14ac:dyDescent="0.2">
      <c r="F2597" s="50"/>
    </row>
    <row r="2598" spans="6:6" hidden="1" x14ac:dyDescent="0.2">
      <c r="F2598" s="50"/>
    </row>
    <row r="2599" spans="6:6" hidden="1" x14ac:dyDescent="0.2">
      <c r="F2599" s="50"/>
    </row>
    <row r="2600" spans="6:6" hidden="1" x14ac:dyDescent="0.2">
      <c r="F2600" s="50"/>
    </row>
    <row r="2601" spans="6:6" hidden="1" x14ac:dyDescent="0.2">
      <c r="F2601" s="50"/>
    </row>
    <row r="2602" spans="6:6" hidden="1" x14ac:dyDescent="0.2">
      <c r="F2602" s="50"/>
    </row>
    <row r="2603" spans="6:6" hidden="1" x14ac:dyDescent="0.2">
      <c r="F2603" s="50"/>
    </row>
    <row r="2604" spans="6:6" hidden="1" x14ac:dyDescent="0.2">
      <c r="F2604" s="50"/>
    </row>
    <row r="2605" spans="6:6" hidden="1" x14ac:dyDescent="0.2">
      <c r="F2605" s="50"/>
    </row>
    <row r="2606" spans="6:6" hidden="1" x14ac:dyDescent="0.2">
      <c r="F2606" s="50"/>
    </row>
    <row r="2607" spans="6:6" hidden="1" x14ac:dyDescent="0.2">
      <c r="F2607" s="50"/>
    </row>
    <row r="2608" spans="6:6" hidden="1" x14ac:dyDescent="0.2">
      <c r="F2608" s="50"/>
    </row>
    <row r="2609" spans="6:8" hidden="1" x14ac:dyDescent="0.2">
      <c r="F2609" s="50"/>
    </row>
    <row r="2610" spans="6:8" hidden="1" x14ac:dyDescent="0.2">
      <c r="F2610" s="50"/>
    </row>
    <row r="2611" spans="6:8" hidden="1" x14ac:dyDescent="0.2">
      <c r="F2611" s="50"/>
    </row>
    <row r="2612" spans="6:8" ht="15" hidden="1" x14ac:dyDescent="0.25">
      <c r="F2612" s="50"/>
      <c r="H2612" s="62"/>
    </row>
    <row r="2613" spans="6:8" hidden="1" x14ac:dyDescent="0.2">
      <c r="F2613" s="50"/>
    </row>
    <row r="2614" spans="6:8" hidden="1" x14ac:dyDescent="0.2">
      <c r="F2614" s="50"/>
    </row>
    <row r="2615" spans="6:8" hidden="1" x14ac:dyDescent="0.2">
      <c r="F2615" s="50"/>
    </row>
    <row r="2616" spans="6:8" hidden="1" x14ac:dyDescent="0.2">
      <c r="F2616" s="50"/>
    </row>
    <row r="2617" spans="6:8" hidden="1" x14ac:dyDescent="0.2">
      <c r="F2617" s="50"/>
    </row>
    <row r="2618" spans="6:8" hidden="1" x14ac:dyDescent="0.2">
      <c r="F2618" s="50"/>
    </row>
    <row r="2619" spans="6:8" hidden="1" x14ac:dyDescent="0.2">
      <c r="F2619" s="50"/>
    </row>
    <row r="2620" spans="6:8" hidden="1" x14ac:dyDescent="0.2">
      <c r="F2620" s="50"/>
    </row>
    <row r="2621" spans="6:8" hidden="1" x14ac:dyDescent="0.2">
      <c r="F2621" s="50"/>
    </row>
    <row r="2622" spans="6:8" hidden="1" x14ac:dyDescent="0.2">
      <c r="F2622" s="50"/>
    </row>
    <row r="2623" spans="6:8" hidden="1" x14ac:dyDescent="0.2">
      <c r="F2623" s="50"/>
    </row>
    <row r="2625" spans="6:6" hidden="1" x14ac:dyDescent="0.2">
      <c r="F2625" s="50"/>
    </row>
    <row r="2626" spans="6:6" hidden="1" x14ac:dyDescent="0.2">
      <c r="F2626" s="50"/>
    </row>
    <row r="2627" spans="6:6" hidden="1" x14ac:dyDescent="0.2">
      <c r="F2627" s="50"/>
    </row>
    <row r="2628" spans="6:6" hidden="1" x14ac:dyDescent="0.2">
      <c r="F2628" s="50"/>
    </row>
    <row r="2629" spans="6:6" hidden="1" x14ac:dyDescent="0.2">
      <c r="F2629" s="50"/>
    </row>
    <row r="2630" spans="6:6" hidden="1" x14ac:dyDescent="0.2">
      <c r="F2630" s="50"/>
    </row>
    <row r="2631" spans="6:6" hidden="1" x14ac:dyDescent="0.2">
      <c r="F2631" s="50"/>
    </row>
    <row r="2632" spans="6:6" hidden="1" x14ac:dyDescent="0.2">
      <c r="F2632" s="50"/>
    </row>
    <row r="2633" spans="6:6" hidden="1" x14ac:dyDescent="0.2">
      <c r="F2633" s="50"/>
    </row>
    <row r="2634" spans="6:6" hidden="1" x14ac:dyDescent="0.2">
      <c r="F2634" s="50"/>
    </row>
    <row r="2635" spans="6:6" hidden="1" x14ac:dyDescent="0.2">
      <c r="F2635" s="50"/>
    </row>
    <row r="2636" spans="6:6" hidden="1" x14ac:dyDescent="0.2">
      <c r="F2636" s="50"/>
    </row>
    <row r="2637" spans="6:6" hidden="1" x14ac:dyDescent="0.2">
      <c r="F2637" s="50"/>
    </row>
    <row r="2638" spans="6:6" hidden="1" x14ac:dyDescent="0.2">
      <c r="F2638" s="50"/>
    </row>
    <row r="2639" spans="6:6" hidden="1" x14ac:dyDescent="0.2">
      <c r="F2639" s="50"/>
    </row>
    <row r="2640" spans="6:6" hidden="1" x14ac:dyDescent="0.2">
      <c r="F2640" s="50"/>
    </row>
    <row r="2641" spans="6:6" hidden="1" x14ac:dyDescent="0.2">
      <c r="F2641" s="50"/>
    </row>
    <row r="2642" spans="6:6" hidden="1" x14ac:dyDescent="0.2">
      <c r="F2642" s="50"/>
    </row>
    <row r="2643" spans="6:6" hidden="1" x14ac:dyDescent="0.2">
      <c r="F2643" s="50"/>
    </row>
    <row r="2644" spans="6:6" hidden="1" x14ac:dyDescent="0.2">
      <c r="F2644" s="50"/>
    </row>
    <row r="2645" spans="6:6" hidden="1" x14ac:dyDescent="0.2">
      <c r="F2645" s="50"/>
    </row>
    <row r="2646" spans="6:6" hidden="1" x14ac:dyDescent="0.2">
      <c r="F2646" s="50"/>
    </row>
    <row r="2647" spans="6:6" hidden="1" x14ac:dyDescent="0.2">
      <c r="F2647" s="50"/>
    </row>
    <row r="2648" spans="6:6" hidden="1" x14ac:dyDescent="0.2">
      <c r="F2648" s="50"/>
    </row>
    <row r="2649" spans="6:6" hidden="1" x14ac:dyDescent="0.2">
      <c r="F2649" s="50"/>
    </row>
    <row r="2650" spans="6:6" hidden="1" x14ac:dyDescent="0.2">
      <c r="F2650" s="50"/>
    </row>
    <row r="2651" spans="6:6" hidden="1" x14ac:dyDescent="0.2">
      <c r="F2651" s="50"/>
    </row>
    <row r="2652" spans="6:6" hidden="1" x14ac:dyDescent="0.2">
      <c r="F2652" s="50"/>
    </row>
    <row r="2653" spans="6:6" hidden="1" x14ac:dyDescent="0.2">
      <c r="F2653" s="50"/>
    </row>
    <row r="2654" spans="6:6" hidden="1" x14ac:dyDescent="0.2">
      <c r="F2654" s="50"/>
    </row>
    <row r="2655" spans="6:6" hidden="1" x14ac:dyDescent="0.2">
      <c r="F2655" s="50"/>
    </row>
    <row r="2656" spans="6:6" hidden="1" x14ac:dyDescent="0.2">
      <c r="F2656" s="50"/>
    </row>
    <row r="2657" spans="1:6" hidden="1" x14ac:dyDescent="0.2">
      <c r="F2657" s="50"/>
    </row>
    <row r="2658" spans="1:6" hidden="1" x14ac:dyDescent="0.2">
      <c r="F2658" s="50"/>
    </row>
    <row r="2659" spans="1:6" hidden="1" x14ac:dyDescent="0.2">
      <c r="F2659" s="50"/>
    </row>
    <row r="2660" spans="1:6" hidden="1" x14ac:dyDescent="0.2">
      <c r="F2660" s="50"/>
    </row>
    <row r="2661" spans="1:6" hidden="1" x14ac:dyDescent="0.2">
      <c r="F2661" s="50"/>
    </row>
    <row r="2662" spans="1:6" hidden="1" x14ac:dyDescent="0.2">
      <c r="F2662" s="50"/>
    </row>
    <row r="2663" spans="1:6" hidden="1" x14ac:dyDescent="0.2">
      <c r="F2663" s="50"/>
    </row>
    <row r="2664" spans="1:6" hidden="1" x14ac:dyDescent="0.2">
      <c r="F2664" s="50"/>
    </row>
    <row r="2665" spans="1:6" hidden="1" x14ac:dyDescent="0.2">
      <c r="A2665" s="60"/>
      <c r="C2665" s="60"/>
    </row>
    <row r="2666" spans="1:6" hidden="1" x14ac:dyDescent="0.2">
      <c r="A2666" s="60"/>
      <c r="C2666" s="60"/>
    </row>
    <row r="2667" spans="1:6" hidden="1" x14ac:dyDescent="0.2">
      <c r="F2667" s="50"/>
    </row>
    <row r="2668" spans="1:6" hidden="1" x14ac:dyDescent="0.2">
      <c r="F2668" s="50"/>
    </row>
    <row r="2669" spans="1:6" hidden="1" x14ac:dyDescent="0.2">
      <c r="F2669" s="50"/>
    </row>
    <row r="2670" spans="1:6" hidden="1" x14ac:dyDescent="0.2">
      <c r="F2670" s="50"/>
    </row>
    <row r="2671" spans="1:6" hidden="1" x14ac:dyDescent="0.2">
      <c r="F2671" s="50"/>
    </row>
    <row r="2672" spans="1:6" hidden="1" x14ac:dyDescent="0.2">
      <c r="F2672" s="50"/>
    </row>
    <row r="2673" spans="6:6" hidden="1" x14ac:dyDescent="0.2">
      <c r="F2673" s="50"/>
    </row>
    <row r="2674" spans="6:6" hidden="1" x14ac:dyDescent="0.2">
      <c r="F2674" s="50"/>
    </row>
    <row r="2675" spans="6:6" hidden="1" x14ac:dyDescent="0.2">
      <c r="F2675" s="50"/>
    </row>
    <row r="2676" spans="6:6" hidden="1" x14ac:dyDescent="0.2">
      <c r="F2676" s="50"/>
    </row>
    <row r="2677" spans="6:6" hidden="1" x14ac:dyDescent="0.2">
      <c r="F2677" s="50"/>
    </row>
    <row r="2678" spans="6:6" hidden="1" x14ac:dyDescent="0.2">
      <c r="F2678" s="50"/>
    </row>
    <row r="2679" spans="6:6" hidden="1" x14ac:dyDescent="0.2">
      <c r="F2679" s="50"/>
    </row>
    <row r="2680" spans="6:6" hidden="1" x14ac:dyDescent="0.2">
      <c r="F2680" s="50"/>
    </row>
    <row r="2681" spans="6:6" hidden="1" x14ac:dyDescent="0.2">
      <c r="F2681" s="50"/>
    </row>
    <row r="2682" spans="6:6" hidden="1" x14ac:dyDescent="0.2">
      <c r="F2682" s="50"/>
    </row>
    <row r="2683" spans="6:6" hidden="1" x14ac:dyDescent="0.2">
      <c r="F2683" s="50"/>
    </row>
    <row r="2684" spans="6:6" hidden="1" x14ac:dyDescent="0.2">
      <c r="F2684" s="50"/>
    </row>
    <row r="2685" spans="6:6" hidden="1" x14ac:dyDescent="0.2">
      <c r="F2685" s="50"/>
    </row>
    <row r="2687" spans="6:6" hidden="1" x14ac:dyDescent="0.2">
      <c r="F2687" s="50"/>
    </row>
    <row r="2688" spans="6:6" hidden="1" x14ac:dyDescent="0.2">
      <c r="F2688" s="50"/>
    </row>
    <row r="2689" spans="6:6" hidden="1" x14ac:dyDescent="0.2">
      <c r="F2689" s="50"/>
    </row>
    <row r="2690" spans="6:6" hidden="1" x14ac:dyDescent="0.2">
      <c r="F2690" s="50"/>
    </row>
    <row r="2691" spans="6:6" hidden="1" x14ac:dyDescent="0.2">
      <c r="F2691" s="50"/>
    </row>
    <row r="2692" spans="6:6" hidden="1" x14ac:dyDescent="0.2">
      <c r="F2692" s="50"/>
    </row>
    <row r="2693" spans="6:6" hidden="1" x14ac:dyDescent="0.2">
      <c r="F2693" s="50"/>
    </row>
    <row r="2694" spans="6:6" hidden="1" x14ac:dyDescent="0.2">
      <c r="F2694" s="50"/>
    </row>
    <row r="2695" spans="6:6" hidden="1" x14ac:dyDescent="0.2">
      <c r="F2695" s="50"/>
    </row>
    <row r="2696" spans="6:6" hidden="1" x14ac:dyDescent="0.2">
      <c r="F2696" s="50"/>
    </row>
    <row r="2697" spans="6:6" hidden="1" x14ac:dyDescent="0.2">
      <c r="F2697" s="50"/>
    </row>
    <row r="2698" spans="6:6" hidden="1" x14ac:dyDescent="0.2">
      <c r="F2698" s="50"/>
    </row>
    <row r="2699" spans="6:6" hidden="1" x14ac:dyDescent="0.2">
      <c r="F2699" s="50"/>
    </row>
    <row r="2700" spans="6:6" hidden="1" x14ac:dyDescent="0.2">
      <c r="F2700" s="50"/>
    </row>
    <row r="2701" spans="6:6" hidden="1" x14ac:dyDescent="0.2">
      <c r="F2701" s="50"/>
    </row>
    <row r="2702" spans="6:6" hidden="1" x14ac:dyDescent="0.2">
      <c r="F2702" s="50"/>
    </row>
    <row r="2703" spans="6:6" hidden="1" x14ac:dyDescent="0.2">
      <c r="F2703" s="50"/>
    </row>
    <row r="2704" spans="6:6" hidden="1" x14ac:dyDescent="0.2">
      <c r="F2704" s="50"/>
    </row>
    <row r="2705" spans="6:6" hidden="1" x14ac:dyDescent="0.2">
      <c r="F2705" s="50"/>
    </row>
    <row r="2706" spans="6:6" hidden="1" x14ac:dyDescent="0.2">
      <c r="F2706" s="50"/>
    </row>
    <row r="2707" spans="6:6" hidden="1" x14ac:dyDescent="0.2">
      <c r="F2707" s="50"/>
    </row>
    <row r="2708" spans="6:6" hidden="1" x14ac:dyDescent="0.2">
      <c r="F2708" s="50"/>
    </row>
    <row r="2709" spans="6:6" hidden="1" x14ac:dyDescent="0.2">
      <c r="F2709" s="50"/>
    </row>
    <row r="2710" spans="6:6" hidden="1" x14ac:dyDescent="0.2">
      <c r="F2710" s="50"/>
    </row>
    <row r="2711" spans="6:6" hidden="1" x14ac:dyDescent="0.2">
      <c r="F2711" s="50"/>
    </row>
    <row r="2712" spans="6:6" hidden="1" x14ac:dyDescent="0.2">
      <c r="F2712" s="50"/>
    </row>
    <row r="2713" spans="6:6" hidden="1" x14ac:dyDescent="0.2">
      <c r="F2713" s="50"/>
    </row>
    <row r="2714" spans="6:6" hidden="1" x14ac:dyDescent="0.2">
      <c r="F2714" s="50"/>
    </row>
    <row r="2715" spans="6:6" hidden="1" x14ac:dyDescent="0.2">
      <c r="F2715" s="50"/>
    </row>
    <row r="2716" spans="6:6" hidden="1" x14ac:dyDescent="0.2">
      <c r="F2716" s="50"/>
    </row>
    <row r="2717" spans="6:6" hidden="1" x14ac:dyDescent="0.2">
      <c r="F2717" s="50"/>
    </row>
    <row r="2718" spans="6:6" hidden="1" x14ac:dyDescent="0.2">
      <c r="F2718" s="50"/>
    </row>
    <row r="2719" spans="6:6" hidden="1" x14ac:dyDescent="0.2">
      <c r="F2719" s="50"/>
    </row>
    <row r="2720" spans="6:6" hidden="1" x14ac:dyDescent="0.2">
      <c r="F2720" s="50"/>
    </row>
    <row r="2721" spans="6:6" hidden="1" x14ac:dyDescent="0.2">
      <c r="F2721" s="50"/>
    </row>
    <row r="2722" spans="6:6" hidden="1" x14ac:dyDescent="0.2">
      <c r="F2722" s="50"/>
    </row>
    <row r="2723" spans="6:6" hidden="1" x14ac:dyDescent="0.2">
      <c r="F2723" s="50"/>
    </row>
    <row r="2724" spans="6:6" hidden="1" x14ac:dyDescent="0.2">
      <c r="F2724" s="50"/>
    </row>
    <row r="2725" spans="6:6" hidden="1" x14ac:dyDescent="0.2">
      <c r="F2725" s="50"/>
    </row>
    <row r="2726" spans="6:6" hidden="1" x14ac:dyDescent="0.2">
      <c r="F2726" s="50"/>
    </row>
    <row r="2727" spans="6:6" hidden="1" x14ac:dyDescent="0.2">
      <c r="F2727" s="50"/>
    </row>
    <row r="2728" spans="6:6" hidden="1" x14ac:dyDescent="0.2">
      <c r="F2728" s="50"/>
    </row>
    <row r="2729" spans="6:6" hidden="1" x14ac:dyDescent="0.2">
      <c r="F2729" s="50"/>
    </row>
    <row r="2730" spans="6:6" hidden="1" x14ac:dyDescent="0.2">
      <c r="F2730" s="50"/>
    </row>
    <row r="2731" spans="6:6" hidden="1" x14ac:dyDescent="0.2">
      <c r="F2731" s="50"/>
    </row>
    <row r="2732" spans="6:6" hidden="1" x14ac:dyDescent="0.2">
      <c r="F2732" s="50"/>
    </row>
    <row r="2734" spans="6:6" hidden="1" x14ac:dyDescent="0.2">
      <c r="F2734" s="50"/>
    </row>
    <row r="2735" spans="6:6" hidden="1" x14ac:dyDescent="0.2">
      <c r="F2735" s="50"/>
    </row>
    <row r="2736" spans="6:6" hidden="1" x14ac:dyDescent="0.2">
      <c r="F2736" s="50"/>
    </row>
    <row r="2737" spans="6:6" hidden="1" x14ac:dyDescent="0.2">
      <c r="F2737" s="50"/>
    </row>
    <row r="2738" spans="6:6" hidden="1" x14ac:dyDescent="0.2">
      <c r="F2738" s="50"/>
    </row>
    <row r="2739" spans="6:6" hidden="1" x14ac:dyDescent="0.2">
      <c r="F2739" s="50"/>
    </row>
    <row r="2740" spans="6:6" hidden="1" x14ac:dyDescent="0.2">
      <c r="F2740" s="50"/>
    </row>
    <row r="2741" spans="6:6" hidden="1" x14ac:dyDescent="0.2">
      <c r="F2741" s="50"/>
    </row>
    <row r="2742" spans="6:6" hidden="1" x14ac:dyDescent="0.2">
      <c r="F2742" s="50"/>
    </row>
    <row r="2743" spans="6:6" hidden="1" x14ac:dyDescent="0.2">
      <c r="F2743" s="50"/>
    </row>
    <row r="2744" spans="6:6" hidden="1" x14ac:dyDescent="0.2">
      <c r="F2744" s="50"/>
    </row>
    <row r="2745" spans="6:6" hidden="1" x14ac:dyDescent="0.2">
      <c r="F2745" s="50"/>
    </row>
    <row r="2746" spans="6:6" hidden="1" x14ac:dyDescent="0.2">
      <c r="F2746" s="50"/>
    </row>
    <row r="2747" spans="6:6" hidden="1" x14ac:dyDescent="0.2">
      <c r="F2747" s="50"/>
    </row>
    <row r="2748" spans="6:6" hidden="1" x14ac:dyDescent="0.2">
      <c r="F2748" s="50"/>
    </row>
    <row r="2749" spans="6:6" hidden="1" x14ac:dyDescent="0.2">
      <c r="F2749" s="50"/>
    </row>
    <row r="2750" spans="6:6" hidden="1" x14ac:dyDescent="0.2">
      <c r="F2750" s="50"/>
    </row>
    <row r="2751" spans="6:6" hidden="1" x14ac:dyDescent="0.2">
      <c r="F2751" s="50"/>
    </row>
    <row r="2752" spans="6:6" hidden="1" x14ac:dyDescent="0.2">
      <c r="F2752" s="50"/>
    </row>
    <row r="2753" spans="6:6" hidden="1" x14ac:dyDescent="0.2">
      <c r="F2753" s="50"/>
    </row>
    <row r="2754" spans="6:6" hidden="1" x14ac:dyDescent="0.2">
      <c r="F2754" s="50"/>
    </row>
    <row r="2755" spans="6:6" hidden="1" x14ac:dyDescent="0.2">
      <c r="F2755" s="50"/>
    </row>
    <row r="2756" spans="6:6" hidden="1" x14ac:dyDescent="0.2">
      <c r="F2756" s="50"/>
    </row>
    <row r="2757" spans="6:6" hidden="1" x14ac:dyDescent="0.2">
      <c r="F2757" s="50"/>
    </row>
    <row r="2758" spans="6:6" hidden="1" x14ac:dyDescent="0.2">
      <c r="F2758" s="50"/>
    </row>
    <row r="2759" spans="6:6" hidden="1" x14ac:dyDescent="0.2">
      <c r="F2759" s="50"/>
    </row>
    <row r="2760" spans="6:6" hidden="1" x14ac:dyDescent="0.2">
      <c r="F2760" s="50"/>
    </row>
    <row r="2761" spans="6:6" hidden="1" x14ac:dyDescent="0.2">
      <c r="F2761" s="50"/>
    </row>
    <row r="2762" spans="6:6" hidden="1" x14ac:dyDescent="0.2">
      <c r="F2762" s="50"/>
    </row>
    <row r="2763" spans="6:6" hidden="1" x14ac:dyDescent="0.2">
      <c r="F2763" s="50"/>
    </row>
    <row r="2764" spans="6:6" hidden="1" x14ac:dyDescent="0.2">
      <c r="F2764" s="50"/>
    </row>
    <row r="2765" spans="6:6" hidden="1" x14ac:dyDescent="0.2">
      <c r="F2765" s="50"/>
    </row>
    <row r="2766" spans="6:6" hidden="1" x14ac:dyDescent="0.2">
      <c r="F2766" s="50"/>
    </row>
    <row r="2767" spans="6:6" hidden="1" x14ac:dyDescent="0.2">
      <c r="F2767" s="50"/>
    </row>
    <row r="2768" spans="6:6" hidden="1" x14ac:dyDescent="0.2">
      <c r="F2768" s="50"/>
    </row>
    <row r="2769" spans="6:6" hidden="1" x14ac:dyDescent="0.2">
      <c r="F2769" s="50"/>
    </row>
    <row r="2770" spans="6:6" hidden="1" x14ac:dyDescent="0.2">
      <c r="F2770" s="50"/>
    </row>
    <row r="2771" spans="6:6" hidden="1" x14ac:dyDescent="0.2">
      <c r="F2771" s="50"/>
    </row>
    <row r="2774" spans="6:6" hidden="1" x14ac:dyDescent="0.2">
      <c r="F2774" s="50"/>
    </row>
    <row r="2775" spans="6:6" hidden="1" x14ac:dyDescent="0.2">
      <c r="F2775" s="50"/>
    </row>
    <row r="2776" spans="6:6" hidden="1" x14ac:dyDescent="0.2">
      <c r="F2776" s="50"/>
    </row>
    <row r="2777" spans="6:6" hidden="1" x14ac:dyDescent="0.2">
      <c r="F2777" s="50"/>
    </row>
    <row r="2778" spans="6:6" hidden="1" x14ac:dyDescent="0.2">
      <c r="F2778" s="50"/>
    </row>
    <row r="2779" spans="6:6" hidden="1" x14ac:dyDescent="0.2">
      <c r="F2779" s="50"/>
    </row>
    <row r="2780" spans="6:6" hidden="1" x14ac:dyDescent="0.2">
      <c r="F2780" s="50"/>
    </row>
    <row r="2781" spans="6:6" hidden="1" x14ac:dyDescent="0.2">
      <c r="F2781" s="50"/>
    </row>
    <row r="2782" spans="6:6" hidden="1" x14ac:dyDescent="0.2">
      <c r="F2782" s="50"/>
    </row>
    <row r="2783" spans="6:6" hidden="1" x14ac:dyDescent="0.2">
      <c r="F2783" s="50"/>
    </row>
    <row r="2784" spans="6:6" hidden="1" x14ac:dyDescent="0.2">
      <c r="F2784" s="50"/>
    </row>
    <row r="2785" spans="6:6" hidden="1" x14ac:dyDescent="0.2">
      <c r="F2785" s="50"/>
    </row>
    <row r="2786" spans="6:6" hidden="1" x14ac:dyDescent="0.2">
      <c r="F2786" s="50"/>
    </row>
    <row r="2787" spans="6:6" hidden="1" x14ac:dyDescent="0.2">
      <c r="F2787" s="50"/>
    </row>
    <row r="2788" spans="6:6" hidden="1" x14ac:dyDescent="0.2">
      <c r="F2788" s="50"/>
    </row>
    <row r="2789" spans="6:6" hidden="1" x14ac:dyDescent="0.2">
      <c r="F2789" s="50"/>
    </row>
    <row r="2790" spans="6:6" hidden="1" x14ac:dyDescent="0.2">
      <c r="F2790" s="50"/>
    </row>
    <row r="2791" spans="6:6" hidden="1" x14ac:dyDescent="0.2">
      <c r="F2791" s="50"/>
    </row>
    <row r="2792" spans="6:6" hidden="1" x14ac:dyDescent="0.2">
      <c r="F2792" s="50"/>
    </row>
    <row r="2793" spans="6:6" hidden="1" x14ac:dyDescent="0.2">
      <c r="F2793" s="50"/>
    </row>
    <row r="2794" spans="6:6" hidden="1" x14ac:dyDescent="0.2">
      <c r="F2794" s="50"/>
    </row>
    <row r="2795" spans="6:6" hidden="1" x14ac:dyDescent="0.2">
      <c r="F2795" s="50"/>
    </row>
    <row r="2796" spans="6:6" hidden="1" x14ac:dyDescent="0.2">
      <c r="F2796" s="50"/>
    </row>
    <row r="2797" spans="6:6" hidden="1" x14ac:dyDescent="0.2">
      <c r="F2797" s="50"/>
    </row>
    <row r="2798" spans="6:6" hidden="1" x14ac:dyDescent="0.2">
      <c r="F2798" s="50"/>
    </row>
    <row r="2799" spans="6:6" hidden="1" x14ac:dyDescent="0.2">
      <c r="F2799" s="50"/>
    </row>
    <row r="2800" spans="6:6" hidden="1" x14ac:dyDescent="0.2">
      <c r="F2800" s="50"/>
    </row>
    <row r="2801" spans="6:6" hidden="1" x14ac:dyDescent="0.2">
      <c r="F2801" s="50"/>
    </row>
    <row r="2802" spans="6:6" hidden="1" x14ac:dyDescent="0.2">
      <c r="F2802" s="50"/>
    </row>
    <row r="2803" spans="6:6" hidden="1" x14ac:dyDescent="0.2">
      <c r="F2803" s="50"/>
    </row>
    <row r="2804" spans="6:6" hidden="1" x14ac:dyDescent="0.2">
      <c r="F2804" s="50"/>
    </row>
    <row r="2805" spans="6:6" hidden="1" x14ac:dyDescent="0.2">
      <c r="F2805" s="50"/>
    </row>
    <row r="2806" spans="6:6" hidden="1" x14ac:dyDescent="0.2">
      <c r="F2806" s="50"/>
    </row>
    <row r="2807" spans="6:6" hidden="1" x14ac:dyDescent="0.2">
      <c r="F2807" s="50"/>
    </row>
    <row r="2808" spans="6:6" hidden="1" x14ac:dyDescent="0.2">
      <c r="F2808" s="50"/>
    </row>
    <row r="2809" spans="6:6" hidden="1" x14ac:dyDescent="0.2">
      <c r="F2809" s="50"/>
    </row>
    <row r="2810" spans="6:6" hidden="1" x14ac:dyDescent="0.2">
      <c r="F2810" s="50"/>
    </row>
    <row r="2811" spans="6:6" hidden="1" x14ac:dyDescent="0.2">
      <c r="F2811" s="50"/>
    </row>
    <row r="2812" spans="6:6" hidden="1" x14ac:dyDescent="0.2">
      <c r="F2812" s="50"/>
    </row>
    <row r="2813" spans="6:6" hidden="1" x14ac:dyDescent="0.2">
      <c r="F2813" s="50"/>
    </row>
    <row r="2814" spans="6:6" hidden="1" x14ac:dyDescent="0.2">
      <c r="F2814" s="50"/>
    </row>
    <row r="2815" spans="6:6" hidden="1" x14ac:dyDescent="0.2">
      <c r="F2815" s="50"/>
    </row>
    <row r="2816" spans="6:6" hidden="1" x14ac:dyDescent="0.2">
      <c r="F2816" s="50"/>
    </row>
    <row r="2817" spans="6:6" hidden="1" x14ac:dyDescent="0.2">
      <c r="F2817" s="50"/>
    </row>
    <row r="2818" spans="6:6" hidden="1" x14ac:dyDescent="0.2">
      <c r="F2818" s="50"/>
    </row>
    <row r="2819" spans="6:6" hidden="1" x14ac:dyDescent="0.2">
      <c r="F2819" s="50"/>
    </row>
    <row r="2820" spans="6:6" hidden="1" x14ac:dyDescent="0.2">
      <c r="F2820" s="50"/>
    </row>
    <row r="2821" spans="6:6" hidden="1" x14ac:dyDescent="0.2">
      <c r="F2821" s="50"/>
    </row>
    <row r="2822" spans="6:6" hidden="1" x14ac:dyDescent="0.2">
      <c r="F2822" s="50"/>
    </row>
    <row r="2823" spans="6:6" hidden="1" x14ac:dyDescent="0.2">
      <c r="F2823" s="50"/>
    </row>
    <row r="2824" spans="6:6" hidden="1" x14ac:dyDescent="0.2">
      <c r="F2824" s="50"/>
    </row>
    <row r="2825" spans="6:6" hidden="1" x14ac:dyDescent="0.2">
      <c r="F2825" s="50"/>
    </row>
    <row r="2826" spans="6:6" hidden="1" x14ac:dyDescent="0.2">
      <c r="F2826" s="50"/>
    </row>
    <row r="2827" spans="6:6" hidden="1" x14ac:dyDescent="0.2">
      <c r="F2827" s="50"/>
    </row>
    <row r="2828" spans="6:6" hidden="1" x14ac:dyDescent="0.2">
      <c r="F2828" s="50"/>
    </row>
    <row r="2829" spans="6:6" hidden="1" x14ac:dyDescent="0.2">
      <c r="F2829" s="50"/>
    </row>
    <row r="2830" spans="6:6" hidden="1" x14ac:dyDescent="0.2">
      <c r="F2830" s="50"/>
    </row>
    <row r="2831" spans="6:6" hidden="1" x14ac:dyDescent="0.2">
      <c r="F2831" s="50"/>
    </row>
    <row r="2832" spans="6:6" hidden="1" x14ac:dyDescent="0.2">
      <c r="F2832" s="50"/>
    </row>
    <row r="2833" spans="1:6" hidden="1" x14ac:dyDescent="0.2">
      <c r="F2833" s="50"/>
    </row>
    <row r="2834" spans="1:6" hidden="1" x14ac:dyDescent="0.2">
      <c r="F2834" s="50"/>
    </row>
    <row r="2835" spans="1:6" hidden="1" x14ac:dyDescent="0.2">
      <c r="F2835" s="50"/>
    </row>
    <row r="2836" spans="1:6" hidden="1" x14ac:dyDescent="0.2">
      <c r="F2836" s="50"/>
    </row>
    <row r="2837" spans="1:6" hidden="1" x14ac:dyDescent="0.2">
      <c r="F2837" s="50"/>
    </row>
    <row r="2838" spans="1:6" hidden="1" x14ac:dyDescent="0.2">
      <c r="F2838" s="50"/>
    </row>
    <row r="2839" spans="1:6" hidden="1" x14ac:dyDescent="0.2">
      <c r="F2839" s="50"/>
    </row>
    <row r="2840" spans="1:6" hidden="1" x14ac:dyDescent="0.2">
      <c r="F2840" s="50"/>
    </row>
    <row r="2841" spans="1:6" hidden="1" x14ac:dyDescent="0.2">
      <c r="F2841" s="50"/>
    </row>
    <row r="2842" spans="1:6" hidden="1" x14ac:dyDescent="0.2">
      <c r="F2842" s="50"/>
    </row>
    <row r="2843" spans="1:6" hidden="1" x14ac:dyDescent="0.2">
      <c r="F2843" s="50"/>
    </row>
    <row r="2844" spans="1:6" hidden="1" x14ac:dyDescent="0.2">
      <c r="F2844" s="50"/>
    </row>
    <row r="2845" spans="1:6" hidden="1" x14ac:dyDescent="0.2">
      <c r="F2845" s="50"/>
    </row>
    <row r="2846" spans="1:6" hidden="1" x14ac:dyDescent="0.2">
      <c r="F2846" s="50"/>
    </row>
    <row r="2847" spans="1:6" hidden="1" x14ac:dyDescent="0.2">
      <c r="A2847" s="60"/>
      <c r="C2847" s="60"/>
    </row>
    <row r="2849" spans="6:6" hidden="1" x14ac:dyDescent="0.2">
      <c r="F2849" s="50"/>
    </row>
    <row r="2850" spans="6:6" hidden="1" x14ac:dyDescent="0.2">
      <c r="F2850" s="50"/>
    </row>
    <row r="2851" spans="6:6" hidden="1" x14ac:dyDescent="0.2">
      <c r="F2851" s="50"/>
    </row>
    <row r="2852" spans="6:6" hidden="1" x14ac:dyDescent="0.2">
      <c r="F2852" s="50"/>
    </row>
    <row r="2853" spans="6:6" hidden="1" x14ac:dyDescent="0.2">
      <c r="F2853" s="50"/>
    </row>
    <row r="2854" spans="6:6" hidden="1" x14ac:dyDescent="0.2">
      <c r="F2854" s="50"/>
    </row>
    <row r="2855" spans="6:6" hidden="1" x14ac:dyDescent="0.2">
      <c r="F2855" s="50"/>
    </row>
    <row r="2856" spans="6:6" hidden="1" x14ac:dyDescent="0.2">
      <c r="F2856" s="50"/>
    </row>
    <row r="2857" spans="6:6" hidden="1" x14ac:dyDescent="0.2">
      <c r="F2857" s="50"/>
    </row>
    <row r="2858" spans="6:6" hidden="1" x14ac:dyDescent="0.2">
      <c r="F2858" s="50"/>
    </row>
    <row r="2859" spans="6:6" hidden="1" x14ac:dyDescent="0.2">
      <c r="F2859" s="50"/>
    </row>
    <row r="2860" spans="6:6" hidden="1" x14ac:dyDescent="0.2">
      <c r="F2860" s="50"/>
    </row>
    <row r="2861" spans="6:6" hidden="1" x14ac:dyDescent="0.2">
      <c r="F2861" s="50"/>
    </row>
    <row r="2862" spans="6:6" hidden="1" x14ac:dyDescent="0.2">
      <c r="F2862" s="50"/>
    </row>
    <row r="2863" spans="6:6" hidden="1" x14ac:dyDescent="0.2">
      <c r="F2863" s="50"/>
    </row>
    <row r="2864" spans="6:6" hidden="1" x14ac:dyDescent="0.2">
      <c r="F2864" s="50"/>
    </row>
    <row r="2865" spans="6:6" hidden="1" x14ac:dyDescent="0.2">
      <c r="F2865" s="50"/>
    </row>
    <row r="2866" spans="6:6" hidden="1" x14ac:dyDescent="0.2">
      <c r="F2866" s="50"/>
    </row>
    <row r="2867" spans="6:6" hidden="1" x14ac:dyDescent="0.2">
      <c r="F2867" s="50"/>
    </row>
    <row r="2868" spans="6:6" hidden="1" x14ac:dyDescent="0.2">
      <c r="F2868" s="50"/>
    </row>
    <row r="2869" spans="6:6" hidden="1" x14ac:dyDescent="0.2">
      <c r="F2869" s="50"/>
    </row>
    <row r="2870" spans="6:6" hidden="1" x14ac:dyDescent="0.2">
      <c r="F2870" s="50"/>
    </row>
    <row r="2871" spans="6:6" hidden="1" x14ac:dyDescent="0.2">
      <c r="F2871" s="50"/>
    </row>
    <row r="2872" spans="6:6" hidden="1" x14ac:dyDescent="0.2">
      <c r="F2872" s="50"/>
    </row>
    <row r="2873" spans="6:6" hidden="1" x14ac:dyDescent="0.2">
      <c r="F2873" s="50"/>
    </row>
    <row r="2874" spans="6:6" hidden="1" x14ac:dyDescent="0.2">
      <c r="F2874" s="50"/>
    </row>
    <row r="2875" spans="6:6" hidden="1" x14ac:dyDescent="0.2">
      <c r="F2875" s="50"/>
    </row>
    <row r="2876" spans="6:6" hidden="1" x14ac:dyDescent="0.2">
      <c r="F2876" s="50"/>
    </row>
    <row r="2877" spans="6:6" hidden="1" x14ac:dyDescent="0.2">
      <c r="F2877" s="50"/>
    </row>
    <row r="2878" spans="6:6" hidden="1" x14ac:dyDescent="0.2">
      <c r="F2878" s="50"/>
    </row>
    <row r="2879" spans="6:6" hidden="1" x14ac:dyDescent="0.2">
      <c r="F2879" s="50"/>
    </row>
    <row r="2880" spans="6:6" hidden="1" x14ac:dyDescent="0.2">
      <c r="F2880" s="50"/>
    </row>
    <row r="2881" spans="6:6" hidden="1" x14ac:dyDescent="0.2">
      <c r="F2881" s="50"/>
    </row>
    <row r="2883" spans="6:6" hidden="1" x14ac:dyDescent="0.2">
      <c r="F2883" s="50"/>
    </row>
    <row r="2884" spans="6:6" hidden="1" x14ac:dyDescent="0.2">
      <c r="F2884" s="50"/>
    </row>
    <row r="2885" spans="6:6" hidden="1" x14ac:dyDescent="0.2">
      <c r="F2885" s="50"/>
    </row>
    <row r="2886" spans="6:6" hidden="1" x14ac:dyDescent="0.2">
      <c r="F2886" s="50"/>
    </row>
    <row r="2890" spans="6:6" hidden="1" x14ac:dyDescent="0.2">
      <c r="F2890" s="50"/>
    </row>
    <row r="2891" spans="6:6" ht="12" hidden="1" customHeight="1" x14ac:dyDescent="0.2">
      <c r="F2891" s="50"/>
    </row>
    <row r="2892" spans="6:6" hidden="1" x14ac:dyDescent="0.2">
      <c r="F2892" s="50"/>
    </row>
    <row r="2893" spans="6:6" hidden="1" x14ac:dyDescent="0.2">
      <c r="F2893" s="50"/>
    </row>
    <row r="2894" spans="6:6" hidden="1" x14ac:dyDescent="0.2">
      <c r="F2894" s="50"/>
    </row>
    <row r="2895" spans="6:6" hidden="1" x14ac:dyDescent="0.2">
      <c r="F2895" s="50"/>
    </row>
    <row r="2896" spans="6:6" hidden="1" x14ac:dyDescent="0.2">
      <c r="F2896" s="50"/>
    </row>
    <row r="2897" spans="6:6" hidden="1" x14ac:dyDescent="0.2">
      <c r="F2897" s="50"/>
    </row>
    <row r="2898" spans="6:6" hidden="1" x14ac:dyDescent="0.2">
      <c r="F2898" s="50"/>
    </row>
    <row r="2899" spans="6:6" hidden="1" x14ac:dyDescent="0.2">
      <c r="F2899" s="50"/>
    </row>
    <row r="2900" spans="6:6" hidden="1" x14ac:dyDescent="0.2">
      <c r="F2900" s="50"/>
    </row>
    <row r="2901" spans="6:6" hidden="1" x14ac:dyDescent="0.2">
      <c r="F2901" s="50"/>
    </row>
    <row r="2902" spans="6:6" hidden="1" x14ac:dyDescent="0.2">
      <c r="F2902" s="50"/>
    </row>
    <row r="2903" spans="6:6" hidden="1" x14ac:dyDescent="0.2">
      <c r="F2903" s="50"/>
    </row>
    <row r="2904" spans="6:6" hidden="1" x14ac:dyDescent="0.2">
      <c r="F2904" s="50"/>
    </row>
    <row r="2905" spans="6:6" hidden="1" x14ac:dyDescent="0.2">
      <c r="F2905" s="50"/>
    </row>
    <row r="2906" spans="6:6" hidden="1" x14ac:dyDescent="0.2">
      <c r="F2906" s="50"/>
    </row>
    <row r="2907" spans="6:6" hidden="1" x14ac:dyDescent="0.2">
      <c r="F2907" s="50"/>
    </row>
    <row r="2908" spans="6:6" hidden="1" x14ac:dyDescent="0.2">
      <c r="F2908" s="50"/>
    </row>
    <row r="2909" spans="6:6" hidden="1" x14ac:dyDescent="0.2">
      <c r="F2909" s="50"/>
    </row>
    <row r="2910" spans="6:6" hidden="1" x14ac:dyDescent="0.2">
      <c r="F2910" s="50"/>
    </row>
    <row r="2911" spans="6:6" hidden="1" x14ac:dyDescent="0.2">
      <c r="F2911" s="50"/>
    </row>
    <row r="2912" spans="6:6" hidden="1" x14ac:dyDescent="0.2">
      <c r="F2912" s="50"/>
    </row>
    <row r="2913" spans="6:6" hidden="1" x14ac:dyDescent="0.2">
      <c r="F2913" s="50"/>
    </row>
    <row r="2914" spans="6:6" hidden="1" x14ac:dyDescent="0.2">
      <c r="F2914" s="50"/>
    </row>
    <row r="2915" spans="6:6" hidden="1" x14ac:dyDescent="0.2">
      <c r="F2915" s="50"/>
    </row>
    <row r="2916" spans="6:6" hidden="1" x14ac:dyDescent="0.2">
      <c r="F2916" s="50"/>
    </row>
    <row r="2917" spans="6:6" hidden="1" x14ac:dyDescent="0.2">
      <c r="F2917" s="50"/>
    </row>
    <row r="2918" spans="6:6" hidden="1" x14ac:dyDescent="0.2">
      <c r="F2918" s="50"/>
    </row>
    <row r="2919" spans="6:6" ht="14.25" hidden="1" customHeight="1" x14ac:dyDescent="0.2">
      <c r="F2919" s="50"/>
    </row>
    <row r="2920" spans="6:6" hidden="1" x14ac:dyDescent="0.2">
      <c r="F2920" s="50"/>
    </row>
    <row r="2921" spans="6:6" hidden="1" x14ac:dyDescent="0.2">
      <c r="F2921" s="50"/>
    </row>
    <row r="2922" spans="6:6" hidden="1" x14ac:dyDescent="0.2">
      <c r="F2922" s="50"/>
    </row>
    <row r="2923" spans="6:6" hidden="1" x14ac:dyDescent="0.2">
      <c r="F2923" s="50"/>
    </row>
    <row r="2924" spans="6:6" hidden="1" x14ac:dyDescent="0.2">
      <c r="F2924" s="50"/>
    </row>
    <row r="2925" spans="6:6" hidden="1" x14ac:dyDescent="0.2">
      <c r="F2925" s="50"/>
    </row>
    <row r="2926" spans="6:6" hidden="1" x14ac:dyDescent="0.2">
      <c r="F2926" s="50"/>
    </row>
    <row r="2927" spans="6:6" hidden="1" x14ac:dyDescent="0.2">
      <c r="F2927" s="50"/>
    </row>
    <row r="2928" spans="6:6" hidden="1" x14ac:dyDescent="0.2">
      <c r="F2928" s="50"/>
    </row>
    <row r="2929" spans="3:6" hidden="1" x14ac:dyDescent="0.2">
      <c r="F2929" s="50"/>
    </row>
    <row r="2930" spans="3:6" hidden="1" x14ac:dyDescent="0.2">
      <c r="F2930" s="50"/>
    </row>
    <row r="2931" spans="3:6" hidden="1" x14ac:dyDescent="0.2">
      <c r="F2931" s="50"/>
    </row>
    <row r="2932" spans="3:6" hidden="1" x14ac:dyDescent="0.2">
      <c r="F2932" s="50"/>
    </row>
    <row r="2933" spans="3:6" hidden="1" x14ac:dyDescent="0.2">
      <c r="F2933" s="50"/>
    </row>
    <row r="2934" spans="3:6" hidden="1" x14ac:dyDescent="0.2">
      <c r="F2934" s="50"/>
    </row>
    <row r="2935" spans="3:6" hidden="1" x14ac:dyDescent="0.2">
      <c r="F2935" s="50"/>
    </row>
    <row r="2936" spans="3:6" hidden="1" x14ac:dyDescent="0.2">
      <c r="F2936" s="50"/>
    </row>
    <row r="2937" spans="3:6" hidden="1" x14ac:dyDescent="0.2">
      <c r="F2937" s="50"/>
    </row>
    <row r="2938" spans="3:6" hidden="1" x14ac:dyDescent="0.2">
      <c r="F2938" s="50"/>
    </row>
    <row r="2939" spans="3:6" hidden="1" x14ac:dyDescent="0.2">
      <c r="F2939" s="50"/>
    </row>
    <row r="2940" spans="3:6" hidden="1" x14ac:dyDescent="0.2">
      <c r="F2940" s="50"/>
    </row>
    <row r="2941" spans="3:6" hidden="1" x14ac:dyDescent="0.2">
      <c r="F2941" s="50"/>
    </row>
    <row r="2942" spans="3:6" hidden="1" x14ac:dyDescent="0.2">
      <c r="F2942" s="50"/>
    </row>
    <row r="2943" spans="3:6" hidden="1" x14ac:dyDescent="0.2">
      <c r="F2943" s="50"/>
    </row>
    <row r="2944" spans="3:6" ht="15" hidden="1" x14ac:dyDescent="0.25">
      <c r="C2944" s="58"/>
    </row>
    <row r="2945" spans="6:6" hidden="1" x14ac:dyDescent="0.2">
      <c r="F2945" s="50"/>
    </row>
    <row r="2946" spans="6:6" hidden="1" x14ac:dyDescent="0.2">
      <c r="F2946" s="50"/>
    </row>
    <row r="2947" spans="6:6" hidden="1" x14ac:dyDescent="0.2">
      <c r="F2947" s="50"/>
    </row>
    <row r="2948" spans="6:6" hidden="1" x14ac:dyDescent="0.2">
      <c r="F2948" s="50"/>
    </row>
    <row r="2949" spans="6:6" hidden="1" x14ac:dyDescent="0.2">
      <c r="F2949" s="50"/>
    </row>
    <row r="2950" spans="6:6" hidden="1" x14ac:dyDescent="0.2">
      <c r="F2950" s="50"/>
    </row>
    <row r="2951" spans="6:6" hidden="1" x14ac:dyDescent="0.2">
      <c r="F2951" s="50"/>
    </row>
    <row r="2952" spans="6:6" hidden="1" x14ac:dyDescent="0.2">
      <c r="F2952" s="50"/>
    </row>
    <row r="2953" spans="6:6" hidden="1" x14ac:dyDescent="0.2">
      <c r="F2953" s="50"/>
    </row>
    <row r="2954" spans="6:6" hidden="1" x14ac:dyDescent="0.2">
      <c r="F2954" s="50"/>
    </row>
    <row r="2955" spans="6:6" hidden="1" x14ac:dyDescent="0.2">
      <c r="F2955" s="50"/>
    </row>
    <row r="2956" spans="6:6" hidden="1" x14ac:dyDescent="0.2">
      <c r="F2956" s="50"/>
    </row>
    <row r="2957" spans="6:6" hidden="1" x14ac:dyDescent="0.2">
      <c r="F2957" s="50"/>
    </row>
    <row r="2958" spans="6:6" hidden="1" x14ac:dyDescent="0.2">
      <c r="F2958" s="50"/>
    </row>
    <row r="2959" spans="6:6" hidden="1" x14ac:dyDescent="0.2">
      <c r="F2959" s="50"/>
    </row>
    <row r="2960" spans="6:6" hidden="1" x14ac:dyDescent="0.2">
      <c r="F2960" s="50"/>
    </row>
    <row r="2961" spans="6:6" hidden="1" x14ac:dyDescent="0.2">
      <c r="F2961" s="50"/>
    </row>
    <row r="2962" spans="6:6" hidden="1" x14ac:dyDescent="0.2">
      <c r="F2962" s="50"/>
    </row>
    <row r="2963" spans="6:6" hidden="1" x14ac:dyDescent="0.2">
      <c r="F2963" s="50"/>
    </row>
    <row r="2964" spans="6:6" hidden="1" x14ac:dyDescent="0.2">
      <c r="F2964" s="50"/>
    </row>
    <row r="2965" spans="6:6" hidden="1" x14ac:dyDescent="0.2">
      <c r="F2965" s="50"/>
    </row>
    <row r="2966" spans="6:6" hidden="1" x14ac:dyDescent="0.2">
      <c r="F2966" s="50"/>
    </row>
    <row r="2967" spans="6:6" hidden="1" x14ac:dyDescent="0.2">
      <c r="F2967" s="50"/>
    </row>
    <row r="2968" spans="6:6" hidden="1" x14ac:dyDescent="0.2">
      <c r="F2968" s="50"/>
    </row>
    <row r="2969" spans="6:6" hidden="1" x14ac:dyDescent="0.2">
      <c r="F2969" s="50"/>
    </row>
    <row r="2970" spans="6:6" hidden="1" x14ac:dyDescent="0.2">
      <c r="F2970" s="50"/>
    </row>
    <row r="2971" spans="6:6" hidden="1" x14ac:dyDescent="0.2">
      <c r="F2971" s="50"/>
    </row>
    <row r="2972" spans="6:6" hidden="1" x14ac:dyDescent="0.2">
      <c r="F2972" s="50"/>
    </row>
    <row r="2973" spans="6:6" hidden="1" x14ac:dyDescent="0.2">
      <c r="F2973" s="50"/>
    </row>
    <row r="2974" spans="6:6" hidden="1" x14ac:dyDescent="0.2">
      <c r="F2974" s="50"/>
    </row>
    <row r="2975" spans="6:6" hidden="1" x14ac:dyDescent="0.2">
      <c r="F2975" s="50"/>
    </row>
    <row r="2976" spans="6:6" hidden="1" x14ac:dyDescent="0.2">
      <c r="F2976" s="50"/>
    </row>
    <row r="2977" spans="1:6" hidden="1" x14ac:dyDescent="0.2">
      <c r="F2977" s="50"/>
    </row>
    <row r="2978" spans="1:6" hidden="1" x14ac:dyDescent="0.2">
      <c r="F2978" s="50"/>
    </row>
    <row r="2979" spans="1:6" hidden="1" x14ac:dyDescent="0.2">
      <c r="F2979" s="50"/>
    </row>
    <row r="2980" spans="1:6" hidden="1" x14ac:dyDescent="0.2">
      <c r="F2980" s="50"/>
    </row>
    <row r="2981" spans="1:6" hidden="1" x14ac:dyDescent="0.2">
      <c r="F2981" s="50"/>
    </row>
    <row r="2982" spans="1:6" hidden="1" x14ac:dyDescent="0.2">
      <c r="F2982" s="50"/>
    </row>
    <row r="2983" spans="1:6" hidden="1" x14ac:dyDescent="0.2">
      <c r="F2983" s="50"/>
    </row>
    <row r="2984" spans="1:6" hidden="1" x14ac:dyDescent="0.2">
      <c r="A2984" s="60"/>
      <c r="C2984" s="60"/>
    </row>
    <row r="2985" spans="1:6" hidden="1" x14ac:dyDescent="0.2">
      <c r="F2985" s="50"/>
    </row>
    <row r="2986" spans="1:6" hidden="1" x14ac:dyDescent="0.2">
      <c r="F2986" s="50"/>
    </row>
    <row r="2988" spans="1:6" hidden="1" x14ac:dyDescent="0.2">
      <c r="F2988" s="50"/>
    </row>
    <row r="2989" spans="1:6" hidden="1" x14ac:dyDescent="0.2">
      <c r="F2989" s="50"/>
    </row>
    <row r="2990" spans="1:6" hidden="1" x14ac:dyDescent="0.2">
      <c r="F2990" s="50"/>
    </row>
    <row r="2991" spans="1:6" hidden="1" x14ac:dyDescent="0.2">
      <c r="F2991" s="50"/>
    </row>
    <row r="2992" spans="1:6" hidden="1" x14ac:dyDescent="0.2">
      <c r="F2992" s="50"/>
    </row>
    <row r="2993" spans="6:6" hidden="1" x14ac:dyDescent="0.2">
      <c r="F2993" s="50"/>
    </row>
    <row r="2994" spans="6:6" hidden="1" x14ac:dyDescent="0.2">
      <c r="F2994" s="50"/>
    </row>
    <row r="2995" spans="6:6" hidden="1" x14ac:dyDescent="0.2">
      <c r="F2995" s="50"/>
    </row>
    <row r="2996" spans="6:6" hidden="1" x14ac:dyDescent="0.2">
      <c r="F2996" s="50"/>
    </row>
    <row r="2997" spans="6:6" hidden="1" x14ac:dyDescent="0.2">
      <c r="F2997" s="50"/>
    </row>
    <row r="2998" spans="6:6" hidden="1" x14ac:dyDescent="0.2">
      <c r="F2998" s="50"/>
    </row>
    <row r="2999" spans="6:6" hidden="1" x14ac:dyDescent="0.2">
      <c r="F2999" s="50"/>
    </row>
    <row r="3000" spans="6:6" hidden="1" x14ac:dyDescent="0.2">
      <c r="F3000" s="50"/>
    </row>
    <row r="3001" spans="6:6" hidden="1" x14ac:dyDescent="0.2">
      <c r="F3001" s="50"/>
    </row>
    <row r="3002" spans="6:6" hidden="1" x14ac:dyDescent="0.2">
      <c r="F3002" s="50"/>
    </row>
    <row r="3003" spans="6:6" hidden="1" x14ac:dyDescent="0.2">
      <c r="F3003" s="50"/>
    </row>
    <row r="3004" spans="6:6" hidden="1" x14ac:dyDescent="0.2">
      <c r="F3004" s="50"/>
    </row>
    <row r="3005" spans="6:6" hidden="1" x14ac:dyDescent="0.2">
      <c r="F3005" s="50"/>
    </row>
    <row r="3006" spans="6:6" hidden="1" x14ac:dyDescent="0.2">
      <c r="F3006" s="50"/>
    </row>
    <row r="3007" spans="6:6" hidden="1" x14ac:dyDescent="0.2">
      <c r="F3007" s="50"/>
    </row>
    <row r="3008" spans="6:6" hidden="1" x14ac:dyDescent="0.2">
      <c r="F3008" s="50"/>
    </row>
    <row r="3009" spans="6:6" hidden="1" x14ac:dyDescent="0.2">
      <c r="F3009" s="50"/>
    </row>
    <row r="3010" spans="6:6" hidden="1" x14ac:dyDescent="0.2">
      <c r="F3010" s="50"/>
    </row>
    <row r="3013" spans="6:6" hidden="1" x14ac:dyDescent="0.2">
      <c r="F3013" s="50"/>
    </row>
    <row r="3015" spans="6:6" hidden="1" x14ac:dyDescent="0.2">
      <c r="F3015" s="50"/>
    </row>
    <row r="3016" spans="6:6" hidden="1" x14ac:dyDescent="0.2">
      <c r="F3016" s="50"/>
    </row>
    <row r="3017" spans="6:6" hidden="1" x14ac:dyDescent="0.2">
      <c r="F3017" s="50"/>
    </row>
    <row r="3018" spans="6:6" hidden="1" x14ac:dyDescent="0.2">
      <c r="F3018" s="50"/>
    </row>
    <row r="3019" spans="6:6" hidden="1" x14ac:dyDescent="0.2">
      <c r="F3019" s="50"/>
    </row>
    <row r="3020" spans="6:6" hidden="1" x14ac:dyDescent="0.2">
      <c r="F3020" s="50"/>
    </row>
    <row r="3021" spans="6:6" hidden="1" x14ac:dyDescent="0.2">
      <c r="F3021" s="50"/>
    </row>
    <row r="3022" spans="6:6" hidden="1" x14ac:dyDescent="0.2">
      <c r="F3022" s="50"/>
    </row>
    <row r="3023" spans="6:6" hidden="1" x14ac:dyDescent="0.2">
      <c r="F3023" s="50"/>
    </row>
    <row r="3024" spans="6:6" hidden="1" x14ac:dyDescent="0.2">
      <c r="F3024" s="50"/>
    </row>
    <row r="3025" spans="6:8" hidden="1" x14ac:dyDescent="0.2">
      <c r="F3025" s="50"/>
    </row>
    <row r="3026" spans="6:8" hidden="1" x14ac:dyDescent="0.2">
      <c r="F3026" s="50"/>
    </row>
    <row r="3027" spans="6:8" hidden="1" x14ac:dyDescent="0.2">
      <c r="F3027" s="50"/>
    </row>
    <row r="3028" spans="6:8" hidden="1" x14ac:dyDescent="0.2">
      <c r="F3028" s="50"/>
    </row>
    <row r="3029" spans="6:8" hidden="1" x14ac:dyDescent="0.2">
      <c r="F3029" s="50"/>
    </row>
    <row r="3030" spans="6:8" hidden="1" x14ac:dyDescent="0.2">
      <c r="F3030" s="50"/>
    </row>
    <row r="3031" spans="6:8" hidden="1" x14ac:dyDescent="0.2">
      <c r="F3031" s="50"/>
    </row>
    <row r="3032" spans="6:8" hidden="1" x14ac:dyDescent="0.2">
      <c r="F3032" s="50"/>
    </row>
    <row r="3033" spans="6:8" hidden="1" x14ac:dyDescent="0.2">
      <c r="F3033" s="50"/>
    </row>
    <row r="3034" spans="6:8" hidden="1" x14ac:dyDescent="0.2">
      <c r="F3034" s="50"/>
    </row>
    <row r="3035" spans="6:8" hidden="1" x14ac:dyDescent="0.2">
      <c r="F3035" s="50"/>
    </row>
    <row r="3036" spans="6:8" hidden="1" x14ac:dyDescent="0.2">
      <c r="F3036" s="50"/>
    </row>
    <row r="3037" spans="6:8" hidden="1" x14ac:dyDescent="0.2">
      <c r="F3037" s="50"/>
      <c r="H3037"/>
    </row>
    <row r="3038" spans="6:8" hidden="1" x14ac:dyDescent="0.2">
      <c r="F3038" s="50"/>
    </row>
    <row r="3039" spans="6:8" hidden="1" x14ac:dyDescent="0.2">
      <c r="F3039" s="50"/>
    </row>
    <row r="3040" spans="6:8" hidden="1" x14ac:dyDescent="0.2">
      <c r="F3040" s="50"/>
    </row>
    <row r="3041" spans="6:6" hidden="1" x14ac:dyDescent="0.2">
      <c r="F3041" s="50"/>
    </row>
    <row r="3042" spans="6:6" hidden="1" x14ac:dyDescent="0.2">
      <c r="F3042" s="50"/>
    </row>
    <row r="3043" spans="6:6" hidden="1" x14ac:dyDescent="0.2">
      <c r="F3043" s="50"/>
    </row>
    <row r="3044" spans="6:6" hidden="1" x14ac:dyDescent="0.2">
      <c r="F3044" s="50"/>
    </row>
    <row r="3045" spans="6:6" hidden="1" x14ac:dyDescent="0.2">
      <c r="F3045" s="50"/>
    </row>
    <row r="3046" spans="6:6" hidden="1" x14ac:dyDescent="0.2">
      <c r="F3046" s="50"/>
    </row>
    <row r="3047" spans="6:6" hidden="1" x14ac:dyDescent="0.2">
      <c r="F3047" s="50"/>
    </row>
    <row r="3048" spans="6:6" hidden="1" x14ac:dyDescent="0.2">
      <c r="F3048" s="50"/>
    </row>
    <row r="3049" spans="6:6" hidden="1" x14ac:dyDescent="0.2">
      <c r="F3049" s="50"/>
    </row>
    <row r="3050" spans="6:6" hidden="1" x14ac:dyDescent="0.2">
      <c r="F3050" s="50"/>
    </row>
    <row r="3051" spans="6:6" hidden="1" x14ac:dyDescent="0.2">
      <c r="F3051" s="50"/>
    </row>
    <row r="3052" spans="6:6" hidden="1" x14ac:dyDescent="0.2">
      <c r="F3052" s="50"/>
    </row>
    <row r="3053" spans="6:6" hidden="1" x14ac:dyDescent="0.2">
      <c r="F3053" s="50"/>
    </row>
    <row r="3054" spans="6:6" hidden="1" x14ac:dyDescent="0.2">
      <c r="F3054" s="50"/>
    </row>
    <row r="3055" spans="6:6" hidden="1" x14ac:dyDescent="0.2">
      <c r="F3055" s="50"/>
    </row>
    <row r="3056" spans="6:6" hidden="1" x14ac:dyDescent="0.2">
      <c r="F3056" s="50"/>
    </row>
    <row r="3057" spans="6:6" hidden="1" x14ac:dyDescent="0.2">
      <c r="F3057" s="50"/>
    </row>
    <row r="3060" spans="6:6" hidden="1" x14ac:dyDescent="0.2">
      <c r="F3060" s="50"/>
    </row>
    <row r="3061" spans="6:6" hidden="1" x14ac:dyDescent="0.2">
      <c r="F3061" s="50"/>
    </row>
    <row r="3062" spans="6:6" hidden="1" x14ac:dyDescent="0.2">
      <c r="F3062" s="50"/>
    </row>
    <row r="3063" spans="6:6" hidden="1" x14ac:dyDescent="0.2">
      <c r="F3063" s="50"/>
    </row>
    <row r="3064" spans="6:6" hidden="1" x14ac:dyDescent="0.2">
      <c r="F3064" s="50"/>
    </row>
    <row r="3065" spans="6:6" hidden="1" x14ac:dyDescent="0.2">
      <c r="F3065" s="50"/>
    </row>
    <row r="3066" spans="6:6" hidden="1" x14ac:dyDescent="0.2">
      <c r="F3066" s="50"/>
    </row>
    <row r="3067" spans="6:6" hidden="1" x14ac:dyDescent="0.2">
      <c r="F3067" s="50"/>
    </row>
    <row r="3068" spans="6:6" hidden="1" x14ac:dyDescent="0.2">
      <c r="F3068" s="50"/>
    </row>
    <row r="3069" spans="6:6" hidden="1" x14ac:dyDescent="0.2">
      <c r="F3069" s="50"/>
    </row>
    <row r="3070" spans="6:6" hidden="1" x14ac:dyDescent="0.2">
      <c r="F3070" s="50"/>
    </row>
    <row r="3071" spans="6:6" hidden="1" x14ac:dyDescent="0.2">
      <c r="F3071" s="50"/>
    </row>
    <row r="3072" spans="6:6" hidden="1" x14ac:dyDescent="0.2">
      <c r="F3072" s="50"/>
    </row>
    <row r="3073" spans="6:6" hidden="1" x14ac:dyDescent="0.2">
      <c r="F3073" s="50"/>
    </row>
    <row r="3074" spans="6:6" hidden="1" x14ac:dyDescent="0.2">
      <c r="F3074" s="50"/>
    </row>
    <row r="3075" spans="6:6" hidden="1" x14ac:dyDescent="0.2">
      <c r="F3075" s="50"/>
    </row>
    <row r="3076" spans="6:6" hidden="1" x14ac:dyDescent="0.2">
      <c r="F3076" s="50"/>
    </row>
    <row r="3077" spans="6:6" hidden="1" x14ac:dyDescent="0.2">
      <c r="F3077" s="50"/>
    </row>
    <row r="3078" spans="6:6" hidden="1" x14ac:dyDescent="0.2">
      <c r="F3078" s="50"/>
    </row>
    <row r="3079" spans="6:6" hidden="1" x14ac:dyDescent="0.2">
      <c r="F3079" s="50"/>
    </row>
    <row r="3080" spans="6:6" hidden="1" x14ac:dyDescent="0.2">
      <c r="F3080" s="50"/>
    </row>
    <row r="3081" spans="6:6" hidden="1" x14ac:dyDescent="0.2">
      <c r="F3081" s="50"/>
    </row>
    <row r="3082" spans="6:6" hidden="1" x14ac:dyDescent="0.2">
      <c r="F3082" s="50"/>
    </row>
    <row r="3083" spans="6:6" hidden="1" x14ac:dyDescent="0.2">
      <c r="F3083" s="50"/>
    </row>
    <row r="3084" spans="6:6" hidden="1" x14ac:dyDescent="0.2">
      <c r="F3084" s="50"/>
    </row>
    <row r="3085" spans="6:6" hidden="1" x14ac:dyDescent="0.2">
      <c r="F3085" s="50"/>
    </row>
    <row r="3086" spans="6:6" hidden="1" x14ac:dyDescent="0.2">
      <c r="F3086" s="50"/>
    </row>
    <row r="3087" spans="6:6" hidden="1" x14ac:dyDescent="0.2">
      <c r="F3087" s="50"/>
    </row>
    <row r="3088" spans="6:6" hidden="1" x14ac:dyDescent="0.2">
      <c r="F3088" s="50"/>
    </row>
    <row r="3089" spans="6:6" hidden="1" x14ac:dyDescent="0.2">
      <c r="F3089" s="50"/>
    </row>
    <row r="3090" spans="6:6" hidden="1" x14ac:dyDescent="0.2">
      <c r="F3090" s="50"/>
    </row>
    <row r="3091" spans="6:6" hidden="1" x14ac:dyDescent="0.2">
      <c r="F3091" s="50"/>
    </row>
    <row r="3092" spans="6:6" hidden="1" x14ac:dyDescent="0.2">
      <c r="F3092" s="50"/>
    </row>
    <row r="3093" spans="6:6" hidden="1" x14ac:dyDescent="0.2">
      <c r="F3093" s="50"/>
    </row>
    <row r="3094" spans="6:6" hidden="1" x14ac:dyDescent="0.2">
      <c r="F3094" s="50"/>
    </row>
    <row r="3095" spans="6:6" hidden="1" x14ac:dyDescent="0.2">
      <c r="F3095" s="50"/>
    </row>
    <row r="3096" spans="6:6" hidden="1" x14ac:dyDescent="0.2">
      <c r="F3096" s="50"/>
    </row>
    <row r="3097" spans="6:6" hidden="1" x14ac:dyDescent="0.2">
      <c r="F3097" s="50"/>
    </row>
    <row r="3098" spans="6:6" hidden="1" x14ac:dyDescent="0.2">
      <c r="F3098" s="50"/>
    </row>
    <row r="3099" spans="6:6" hidden="1" x14ac:dyDescent="0.2">
      <c r="F3099" s="50"/>
    </row>
    <row r="3100" spans="6:6" hidden="1" x14ac:dyDescent="0.2">
      <c r="F3100" s="50"/>
    </row>
    <row r="3101" spans="6:6" hidden="1" x14ac:dyDescent="0.2">
      <c r="F3101" s="50"/>
    </row>
    <row r="3102" spans="6:6" hidden="1" x14ac:dyDescent="0.2">
      <c r="F3102" s="50"/>
    </row>
    <row r="3103" spans="6:6" hidden="1" x14ac:dyDescent="0.2">
      <c r="F3103" s="50"/>
    </row>
    <row r="3104" spans="6:6" hidden="1" x14ac:dyDescent="0.2">
      <c r="F3104" s="50"/>
    </row>
    <row r="3105" spans="6:6" hidden="1" x14ac:dyDescent="0.2">
      <c r="F3105" s="50"/>
    </row>
    <row r="3106" spans="6:6" hidden="1" x14ac:dyDescent="0.2">
      <c r="F3106" s="50"/>
    </row>
    <row r="3107" spans="6:6" hidden="1" x14ac:dyDescent="0.2">
      <c r="F3107" s="50"/>
    </row>
    <row r="3108" spans="6:6" hidden="1" x14ac:dyDescent="0.2">
      <c r="F3108" s="50"/>
    </row>
    <row r="3109" spans="6:6" hidden="1" x14ac:dyDescent="0.2">
      <c r="F3109" s="50"/>
    </row>
    <row r="3110" spans="6:6" hidden="1" x14ac:dyDescent="0.2">
      <c r="F3110" s="50"/>
    </row>
    <row r="3111" spans="6:6" hidden="1" x14ac:dyDescent="0.2">
      <c r="F3111" s="50"/>
    </row>
    <row r="3112" spans="6:6" hidden="1" x14ac:dyDescent="0.2">
      <c r="F3112" s="50"/>
    </row>
    <row r="3113" spans="6:6" hidden="1" x14ac:dyDescent="0.2">
      <c r="F3113" s="50"/>
    </row>
    <row r="3114" spans="6:6" hidden="1" x14ac:dyDescent="0.2">
      <c r="F3114" s="50"/>
    </row>
    <row r="3115" spans="6:6" hidden="1" x14ac:dyDescent="0.2">
      <c r="F3115" s="50"/>
    </row>
    <row r="3116" spans="6:6" hidden="1" x14ac:dyDescent="0.2">
      <c r="F3116" s="50"/>
    </row>
    <row r="3117" spans="6:6" hidden="1" x14ac:dyDescent="0.2">
      <c r="F3117" s="50"/>
    </row>
    <row r="3118" spans="6:6" hidden="1" x14ac:dyDescent="0.2">
      <c r="F3118" s="50"/>
    </row>
    <row r="3119" spans="6:6" ht="12" hidden="1" customHeight="1" x14ac:dyDescent="0.2">
      <c r="F3119" s="50"/>
    </row>
    <row r="3120" spans="6:6" hidden="1" x14ac:dyDescent="0.2">
      <c r="F3120" s="50"/>
    </row>
    <row r="3121" spans="6:6" hidden="1" x14ac:dyDescent="0.2">
      <c r="F3121" s="50"/>
    </row>
    <row r="3122" spans="6:6" hidden="1" x14ac:dyDescent="0.2">
      <c r="F3122" s="50"/>
    </row>
    <row r="3123" spans="6:6" hidden="1" x14ac:dyDescent="0.2">
      <c r="F3123" s="50"/>
    </row>
    <row r="3124" spans="6:6" hidden="1" x14ac:dyDescent="0.2">
      <c r="F3124" s="50"/>
    </row>
    <row r="3125" spans="6:6" hidden="1" x14ac:dyDescent="0.2">
      <c r="F3125" s="50"/>
    </row>
    <row r="3126" spans="6:6" hidden="1" x14ac:dyDescent="0.2">
      <c r="F3126" s="50"/>
    </row>
    <row r="3127" spans="6:6" hidden="1" x14ac:dyDescent="0.2">
      <c r="F3127" s="50"/>
    </row>
    <row r="3128" spans="6:6" hidden="1" x14ac:dyDescent="0.2">
      <c r="F3128" s="50"/>
    </row>
    <row r="3129" spans="6:6" hidden="1" x14ac:dyDescent="0.2">
      <c r="F3129" s="50"/>
    </row>
    <row r="3130" spans="6:6" hidden="1" x14ac:dyDescent="0.2">
      <c r="F3130" s="50"/>
    </row>
    <row r="3131" spans="6:6" hidden="1" x14ac:dyDescent="0.2">
      <c r="F3131" s="50"/>
    </row>
    <row r="3132" spans="6:6" hidden="1" x14ac:dyDescent="0.2">
      <c r="F3132" s="50"/>
    </row>
    <row r="3133" spans="6:6" hidden="1" x14ac:dyDescent="0.2">
      <c r="F3133" s="50"/>
    </row>
    <row r="3134" spans="6:6" hidden="1" x14ac:dyDescent="0.2">
      <c r="F3134" s="50"/>
    </row>
    <row r="3135" spans="6:6" hidden="1" x14ac:dyDescent="0.2">
      <c r="F3135" s="50"/>
    </row>
    <row r="3136" spans="6:6" hidden="1" x14ac:dyDescent="0.2">
      <c r="F3136" s="50"/>
    </row>
    <row r="3137" spans="6:6" hidden="1" x14ac:dyDescent="0.2">
      <c r="F3137" s="50"/>
    </row>
    <row r="3138" spans="6:6" hidden="1" x14ac:dyDescent="0.2">
      <c r="F3138" s="50"/>
    </row>
    <row r="3139" spans="6:6" hidden="1" x14ac:dyDescent="0.2">
      <c r="F3139" s="50"/>
    </row>
    <row r="3140" spans="6:6" hidden="1" x14ac:dyDescent="0.2">
      <c r="F3140" s="50"/>
    </row>
    <row r="3141" spans="6:6" hidden="1" x14ac:dyDescent="0.2">
      <c r="F3141" s="50"/>
    </row>
    <row r="3142" spans="6:6" hidden="1" x14ac:dyDescent="0.2">
      <c r="F3142" s="50"/>
    </row>
    <row r="3143" spans="6:6" hidden="1" x14ac:dyDescent="0.2">
      <c r="F3143" s="50"/>
    </row>
    <row r="3144" spans="6:6" hidden="1" x14ac:dyDescent="0.2">
      <c r="F3144" s="50"/>
    </row>
    <row r="3145" spans="6:6" hidden="1" x14ac:dyDescent="0.2">
      <c r="F3145" s="50"/>
    </row>
    <row r="3146" spans="6:6" hidden="1" x14ac:dyDescent="0.2">
      <c r="F3146" s="50"/>
    </row>
    <row r="3147" spans="6:6" hidden="1" x14ac:dyDescent="0.2">
      <c r="F3147" s="50"/>
    </row>
    <row r="3148" spans="6:6" hidden="1" x14ac:dyDescent="0.2">
      <c r="F3148" s="50"/>
    </row>
    <row r="3149" spans="6:6" hidden="1" x14ac:dyDescent="0.2">
      <c r="F3149" s="50"/>
    </row>
    <row r="3150" spans="6:6" hidden="1" x14ac:dyDescent="0.2">
      <c r="F3150" s="50"/>
    </row>
    <row r="3151" spans="6:6" hidden="1" x14ac:dyDescent="0.2">
      <c r="F3151" s="50"/>
    </row>
    <row r="3152" spans="6:6" hidden="1" x14ac:dyDescent="0.2">
      <c r="F3152" s="50"/>
    </row>
    <row r="3153" spans="6:6" hidden="1" x14ac:dyDescent="0.2">
      <c r="F3153" s="50"/>
    </row>
    <row r="3154" spans="6:6" hidden="1" x14ac:dyDescent="0.2">
      <c r="F3154" s="50"/>
    </row>
    <row r="3155" spans="6:6" hidden="1" x14ac:dyDescent="0.2">
      <c r="F3155" s="50"/>
    </row>
    <row r="3156" spans="6:6" hidden="1" x14ac:dyDescent="0.2">
      <c r="F3156" s="50"/>
    </row>
    <row r="3157" spans="6:6" hidden="1" x14ac:dyDescent="0.2">
      <c r="F3157" s="50"/>
    </row>
    <row r="3158" spans="6:6" hidden="1" x14ac:dyDescent="0.2">
      <c r="F3158" s="50"/>
    </row>
    <row r="3159" spans="6:6" hidden="1" x14ac:dyDescent="0.2">
      <c r="F3159" s="50"/>
    </row>
    <row r="3160" spans="6:6" hidden="1" x14ac:dyDescent="0.2">
      <c r="F3160" s="50"/>
    </row>
    <row r="3161" spans="6:6" hidden="1" x14ac:dyDescent="0.2">
      <c r="F3161" s="50"/>
    </row>
    <row r="3162" spans="6:6" hidden="1" x14ac:dyDescent="0.2">
      <c r="F3162" s="50"/>
    </row>
    <row r="3163" spans="6:6" hidden="1" x14ac:dyDescent="0.2">
      <c r="F3163" s="50"/>
    </row>
    <row r="3164" spans="6:6" hidden="1" x14ac:dyDescent="0.2">
      <c r="F3164" s="50"/>
    </row>
    <row r="3165" spans="6:6" hidden="1" x14ac:dyDescent="0.2">
      <c r="F3165" s="50"/>
    </row>
    <row r="3166" spans="6:6" hidden="1" x14ac:dyDescent="0.2">
      <c r="F3166" s="50"/>
    </row>
    <row r="3167" spans="6:6" hidden="1" x14ac:dyDescent="0.2">
      <c r="F3167" s="50"/>
    </row>
    <row r="3168" spans="6:6" hidden="1" x14ac:dyDescent="0.2">
      <c r="F3168" s="50"/>
    </row>
    <row r="3169" spans="6:6" hidden="1" x14ac:dyDescent="0.2">
      <c r="F3169" s="50"/>
    </row>
    <row r="3170" spans="6:6" hidden="1" x14ac:dyDescent="0.2">
      <c r="F3170" s="50"/>
    </row>
    <row r="3171" spans="6:6" hidden="1" x14ac:dyDescent="0.2">
      <c r="F3171" s="50"/>
    </row>
    <row r="3172" spans="6:6" hidden="1" x14ac:dyDescent="0.2">
      <c r="F3172" s="50"/>
    </row>
    <row r="3173" spans="6:6" hidden="1" x14ac:dyDescent="0.2">
      <c r="F3173" s="50"/>
    </row>
    <row r="3174" spans="6:6" hidden="1" x14ac:dyDescent="0.2">
      <c r="F3174" s="50"/>
    </row>
    <row r="3175" spans="6:6" hidden="1" x14ac:dyDescent="0.2">
      <c r="F3175" s="50"/>
    </row>
    <row r="3176" spans="6:6" hidden="1" x14ac:dyDescent="0.2">
      <c r="F3176" s="50"/>
    </row>
    <row r="3177" spans="6:6" hidden="1" x14ac:dyDescent="0.2">
      <c r="F3177" s="50"/>
    </row>
    <row r="3178" spans="6:6" hidden="1" x14ac:dyDescent="0.2">
      <c r="F3178" s="50"/>
    </row>
    <row r="3179" spans="6:6" hidden="1" x14ac:dyDescent="0.2">
      <c r="F3179" s="50"/>
    </row>
    <row r="3180" spans="6:6" hidden="1" x14ac:dyDescent="0.2">
      <c r="F3180" s="50"/>
    </row>
    <row r="3181" spans="6:6" hidden="1" x14ac:dyDescent="0.2">
      <c r="F3181" s="50"/>
    </row>
    <row r="3182" spans="6:6" hidden="1" x14ac:dyDescent="0.2">
      <c r="F3182" s="50"/>
    </row>
    <row r="3183" spans="6:6" hidden="1" x14ac:dyDescent="0.2">
      <c r="F3183" s="50"/>
    </row>
    <row r="3184" spans="6:6" hidden="1" x14ac:dyDescent="0.2">
      <c r="F3184" s="50"/>
    </row>
    <row r="3185" spans="6:6" hidden="1" x14ac:dyDescent="0.2">
      <c r="F3185" s="50"/>
    </row>
    <row r="3186" spans="6:6" hidden="1" x14ac:dyDescent="0.2">
      <c r="F3186" s="50"/>
    </row>
    <row r="3187" spans="6:6" hidden="1" x14ac:dyDescent="0.2">
      <c r="F3187" s="50"/>
    </row>
    <row r="3188" spans="6:6" hidden="1" x14ac:dyDescent="0.2">
      <c r="F3188" s="50"/>
    </row>
    <row r="3189" spans="6:6" hidden="1" x14ac:dyDescent="0.2">
      <c r="F3189" s="50"/>
    </row>
    <row r="3190" spans="6:6" hidden="1" x14ac:dyDescent="0.2">
      <c r="F3190" s="50"/>
    </row>
    <row r="3191" spans="6:6" hidden="1" x14ac:dyDescent="0.2">
      <c r="F3191" s="50"/>
    </row>
    <row r="3192" spans="6:6" hidden="1" x14ac:dyDescent="0.2">
      <c r="F3192" s="50"/>
    </row>
    <row r="3193" spans="6:6" hidden="1" x14ac:dyDescent="0.2">
      <c r="F3193" s="50"/>
    </row>
    <row r="3194" spans="6:6" hidden="1" x14ac:dyDescent="0.2">
      <c r="F3194" s="50"/>
    </row>
    <row r="3195" spans="6:6" hidden="1" x14ac:dyDescent="0.2">
      <c r="F3195" s="50"/>
    </row>
    <row r="3196" spans="6:6" hidden="1" x14ac:dyDescent="0.2">
      <c r="F3196" s="50"/>
    </row>
    <row r="3197" spans="6:6" hidden="1" x14ac:dyDescent="0.2">
      <c r="F3197" s="50"/>
    </row>
    <row r="3198" spans="6:6" hidden="1" x14ac:dyDescent="0.2">
      <c r="F3198" s="50"/>
    </row>
    <row r="3199" spans="6:6" hidden="1" x14ac:dyDescent="0.2">
      <c r="F3199" s="50"/>
    </row>
    <row r="3200" spans="6:6" hidden="1" x14ac:dyDescent="0.2">
      <c r="F3200" s="50"/>
    </row>
    <row r="3202" spans="6:6" hidden="1" x14ac:dyDescent="0.2">
      <c r="F3202" s="50"/>
    </row>
    <row r="3203" spans="6:6" hidden="1" x14ac:dyDescent="0.2">
      <c r="F3203" s="50"/>
    </row>
    <row r="3204" spans="6:6" hidden="1" x14ac:dyDescent="0.2">
      <c r="F3204" s="50"/>
    </row>
    <row r="3205" spans="6:6" hidden="1" x14ac:dyDescent="0.2">
      <c r="F3205" s="50"/>
    </row>
    <row r="3206" spans="6:6" hidden="1" x14ac:dyDescent="0.2">
      <c r="F3206" s="50"/>
    </row>
    <row r="3207" spans="6:6" hidden="1" x14ac:dyDescent="0.2">
      <c r="F3207" s="50"/>
    </row>
    <row r="3208" spans="6:6" hidden="1" x14ac:dyDescent="0.2">
      <c r="F3208" s="50"/>
    </row>
    <row r="3209" spans="6:6" hidden="1" x14ac:dyDescent="0.2">
      <c r="F3209" s="50"/>
    </row>
    <row r="3210" spans="6:6" hidden="1" x14ac:dyDescent="0.2">
      <c r="F3210" s="50"/>
    </row>
    <row r="3211" spans="6:6" hidden="1" x14ac:dyDescent="0.2">
      <c r="F3211" s="50"/>
    </row>
    <row r="3212" spans="6:6" hidden="1" x14ac:dyDescent="0.2">
      <c r="F3212" s="50"/>
    </row>
    <row r="3213" spans="6:6" hidden="1" x14ac:dyDescent="0.2">
      <c r="F3213" s="50"/>
    </row>
    <row r="3215" spans="6:6" hidden="1" x14ac:dyDescent="0.2">
      <c r="F3215" s="50"/>
    </row>
    <row r="3216" spans="6:6" hidden="1" x14ac:dyDescent="0.2">
      <c r="F3216" s="50"/>
    </row>
    <row r="3217" spans="6:6" hidden="1" x14ac:dyDescent="0.2">
      <c r="F3217" s="50"/>
    </row>
    <row r="3218" spans="6:6" hidden="1" x14ac:dyDescent="0.2">
      <c r="F3218" s="50"/>
    </row>
    <row r="3219" spans="6:6" hidden="1" x14ac:dyDescent="0.2">
      <c r="F3219" s="50"/>
    </row>
    <row r="3220" spans="6:6" hidden="1" x14ac:dyDescent="0.2">
      <c r="F3220" s="50"/>
    </row>
    <row r="3221" spans="6:6" hidden="1" x14ac:dyDescent="0.2">
      <c r="F3221" s="50"/>
    </row>
    <row r="3222" spans="6:6" hidden="1" x14ac:dyDescent="0.2">
      <c r="F3222" s="50"/>
    </row>
    <row r="3223" spans="6:6" hidden="1" x14ac:dyDescent="0.2">
      <c r="F3223" s="50"/>
    </row>
    <row r="3224" spans="6:6" hidden="1" x14ac:dyDescent="0.2">
      <c r="F3224" s="50"/>
    </row>
    <row r="3225" spans="6:6" hidden="1" x14ac:dyDescent="0.2">
      <c r="F3225" s="50"/>
    </row>
    <row r="3226" spans="6:6" hidden="1" x14ac:dyDescent="0.2">
      <c r="F3226" s="50"/>
    </row>
    <row r="3227" spans="6:6" hidden="1" x14ac:dyDescent="0.2">
      <c r="F3227" s="50"/>
    </row>
    <row r="3228" spans="6:6" hidden="1" x14ac:dyDescent="0.2">
      <c r="F3228" s="50"/>
    </row>
    <row r="3229" spans="6:6" hidden="1" x14ac:dyDescent="0.2">
      <c r="F3229" s="50"/>
    </row>
    <row r="3230" spans="6:6" hidden="1" x14ac:dyDescent="0.2">
      <c r="F3230" s="50"/>
    </row>
    <row r="3231" spans="6:6" hidden="1" x14ac:dyDescent="0.2">
      <c r="F3231" s="50"/>
    </row>
    <row r="3233" spans="6:6" hidden="1" x14ac:dyDescent="0.2">
      <c r="F3233" s="50"/>
    </row>
    <row r="3234" spans="6:6" hidden="1" x14ac:dyDescent="0.2">
      <c r="F3234" s="50"/>
    </row>
    <row r="3235" spans="6:6" hidden="1" x14ac:dyDescent="0.2">
      <c r="F3235" s="50"/>
    </row>
    <row r="3236" spans="6:6" hidden="1" x14ac:dyDescent="0.2">
      <c r="F3236" s="50"/>
    </row>
    <row r="3237" spans="6:6" hidden="1" x14ac:dyDescent="0.2">
      <c r="F3237" s="50"/>
    </row>
    <row r="3238" spans="6:6" hidden="1" x14ac:dyDescent="0.2">
      <c r="F3238" s="50"/>
    </row>
    <row r="3239" spans="6:6" hidden="1" x14ac:dyDescent="0.2">
      <c r="F3239" s="50"/>
    </row>
    <row r="3240" spans="6:6" hidden="1" x14ac:dyDescent="0.2">
      <c r="F3240" s="50"/>
    </row>
    <row r="3241" spans="6:6" hidden="1" x14ac:dyDescent="0.2">
      <c r="F3241" s="50"/>
    </row>
    <row r="3242" spans="6:6" hidden="1" x14ac:dyDescent="0.2">
      <c r="F3242" s="50"/>
    </row>
    <row r="3243" spans="6:6" hidden="1" x14ac:dyDescent="0.2">
      <c r="F3243" s="50"/>
    </row>
    <row r="3244" spans="6:6" hidden="1" x14ac:dyDescent="0.2">
      <c r="F3244" s="50"/>
    </row>
    <row r="3245" spans="6:6" hidden="1" x14ac:dyDescent="0.2">
      <c r="F3245" s="50"/>
    </row>
    <row r="3246" spans="6:6" hidden="1" x14ac:dyDescent="0.2">
      <c r="F3246" s="50"/>
    </row>
    <row r="3247" spans="6:6" hidden="1" x14ac:dyDescent="0.2">
      <c r="F3247" s="50"/>
    </row>
    <row r="3248" spans="6:6" hidden="1" x14ac:dyDescent="0.2">
      <c r="F3248" s="50"/>
    </row>
    <row r="3249" spans="6:6" hidden="1" x14ac:dyDescent="0.2">
      <c r="F3249" s="50"/>
    </row>
    <row r="3250" spans="6:6" hidden="1" x14ac:dyDescent="0.2">
      <c r="F3250" s="50"/>
    </row>
    <row r="3251" spans="6:6" hidden="1" x14ac:dyDescent="0.2">
      <c r="F3251" s="50"/>
    </row>
    <row r="3252" spans="6:6" hidden="1" x14ac:dyDescent="0.2">
      <c r="F3252" s="50"/>
    </row>
    <row r="3253" spans="6:6" hidden="1" x14ac:dyDescent="0.2">
      <c r="F3253" s="50"/>
    </row>
    <row r="3254" spans="6:6" hidden="1" x14ac:dyDescent="0.2">
      <c r="F3254" s="50"/>
    </row>
    <row r="3255" spans="6:6" hidden="1" x14ac:dyDescent="0.2">
      <c r="F3255" s="50"/>
    </row>
    <row r="3256" spans="6:6" hidden="1" x14ac:dyDescent="0.2">
      <c r="F3256" s="50"/>
    </row>
    <row r="3260" spans="6:6" hidden="1" x14ac:dyDescent="0.2">
      <c r="F3260" s="50"/>
    </row>
    <row r="3261" spans="6:6" hidden="1" x14ac:dyDescent="0.2">
      <c r="F3261" s="50"/>
    </row>
    <row r="3262" spans="6:6" hidden="1" x14ac:dyDescent="0.2">
      <c r="F3262" s="50"/>
    </row>
    <row r="3263" spans="6:6" hidden="1" x14ac:dyDescent="0.2">
      <c r="F3263" s="50"/>
    </row>
    <row r="3264" spans="6:6" hidden="1" x14ac:dyDescent="0.2">
      <c r="F3264" s="50"/>
    </row>
    <row r="3265" spans="6:6" hidden="1" x14ac:dyDescent="0.2">
      <c r="F3265" s="50"/>
    </row>
    <row r="3266" spans="6:6" hidden="1" x14ac:dyDescent="0.2">
      <c r="F3266" s="50"/>
    </row>
    <row r="3267" spans="6:6" hidden="1" x14ac:dyDescent="0.2">
      <c r="F3267" s="50"/>
    </row>
    <row r="3268" spans="6:6" hidden="1" x14ac:dyDescent="0.2">
      <c r="F3268" s="50"/>
    </row>
    <row r="3269" spans="6:6" hidden="1" x14ac:dyDescent="0.2">
      <c r="F3269" s="50"/>
    </row>
    <row r="3270" spans="6:6" hidden="1" x14ac:dyDescent="0.2">
      <c r="F3270" s="50"/>
    </row>
    <row r="3271" spans="6:6" hidden="1" x14ac:dyDescent="0.2">
      <c r="F3271" s="50"/>
    </row>
    <row r="3272" spans="6:6" hidden="1" x14ac:dyDescent="0.2">
      <c r="F3272" s="50"/>
    </row>
    <row r="3273" spans="6:6" hidden="1" x14ac:dyDescent="0.2">
      <c r="F3273" s="50"/>
    </row>
    <row r="3274" spans="6:6" hidden="1" x14ac:dyDescent="0.2">
      <c r="F3274" s="50"/>
    </row>
    <row r="3275" spans="6:6" hidden="1" x14ac:dyDescent="0.2">
      <c r="F3275" s="50"/>
    </row>
    <row r="3276" spans="6:6" hidden="1" x14ac:dyDescent="0.2">
      <c r="F3276" s="50"/>
    </row>
    <row r="3277" spans="6:6" hidden="1" x14ac:dyDescent="0.2">
      <c r="F3277" s="50"/>
    </row>
    <row r="3278" spans="6:6" hidden="1" x14ac:dyDescent="0.2">
      <c r="F3278" s="50"/>
    </row>
    <row r="3279" spans="6:6" hidden="1" x14ac:dyDescent="0.2">
      <c r="F3279" s="50"/>
    </row>
    <row r="3280" spans="6:6" hidden="1" x14ac:dyDescent="0.2">
      <c r="F3280" s="50"/>
    </row>
    <row r="3282" spans="6:6" hidden="1" x14ac:dyDescent="0.2">
      <c r="F3282" s="50"/>
    </row>
    <row r="3283" spans="6:6" hidden="1" x14ac:dyDescent="0.2">
      <c r="F3283" s="50"/>
    </row>
    <row r="3284" spans="6:6" hidden="1" x14ac:dyDescent="0.2">
      <c r="F3284" s="50"/>
    </row>
    <row r="3285" spans="6:6" hidden="1" x14ac:dyDescent="0.2">
      <c r="F3285" s="50"/>
    </row>
    <row r="3286" spans="6:6" hidden="1" x14ac:dyDescent="0.2">
      <c r="F3286" s="50"/>
    </row>
    <row r="3287" spans="6:6" hidden="1" x14ac:dyDescent="0.2">
      <c r="F3287" s="50"/>
    </row>
    <row r="3288" spans="6:6" hidden="1" x14ac:dyDescent="0.2">
      <c r="F3288" s="50"/>
    </row>
    <row r="3289" spans="6:6" hidden="1" x14ac:dyDescent="0.2">
      <c r="F3289" s="50"/>
    </row>
    <row r="3290" spans="6:6" hidden="1" x14ac:dyDescent="0.2">
      <c r="F3290" s="50"/>
    </row>
    <row r="3291" spans="6:6" hidden="1" x14ac:dyDescent="0.2">
      <c r="F3291" s="50"/>
    </row>
    <row r="3292" spans="6:6" hidden="1" x14ac:dyDescent="0.2">
      <c r="F3292" s="50"/>
    </row>
    <row r="3293" spans="6:6" hidden="1" x14ac:dyDescent="0.2">
      <c r="F3293" s="50"/>
    </row>
    <row r="3294" spans="6:6" hidden="1" x14ac:dyDescent="0.2">
      <c r="F3294" s="50"/>
    </row>
    <row r="3295" spans="6:6" hidden="1" x14ac:dyDescent="0.2">
      <c r="F3295" s="50"/>
    </row>
    <row r="3296" spans="6:6" hidden="1" x14ac:dyDescent="0.2">
      <c r="F3296" s="50"/>
    </row>
    <row r="3297" spans="1:6" hidden="1" x14ac:dyDescent="0.2">
      <c r="F3297" s="50"/>
    </row>
    <row r="3298" spans="1:6" hidden="1" x14ac:dyDescent="0.2">
      <c r="F3298" s="50"/>
    </row>
    <row r="3299" spans="1:6" hidden="1" x14ac:dyDescent="0.2">
      <c r="F3299" s="50"/>
    </row>
    <row r="3300" spans="1:6" hidden="1" x14ac:dyDescent="0.2">
      <c r="F3300" s="50"/>
    </row>
    <row r="3301" spans="1:6" ht="15" hidden="1" thickBot="1" x14ac:dyDescent="0.25">
      <c r="F3301" s="50"/>
    </row>
    <row r="3302" spans="1:6" ht="15.75" hidden="1" thickBot="1" x14ac:dyDescent="0.25">
      <c r="A3302" s="63"/>
      <c r="C3302" s="63"/>
    </row>
    <row r="3303" spans="1:6" ht="15.75" hidden="1" thickBot="1" x14ac:dyDescent="0.25">
      <c r="A3303" s="59"/>
      <c r="C3303" s="59"/>
    </row>
    <row r="3304" spans="1:6" ht="15.75" hidden="1" thickBot="1" x14ac:dyDescent="0.25">
      <c r="A3304" s="59"/>
      <c r="C3304" s="59"/>
    </row>
    <row r="3305" spans="1:6" ht="15.75" hidden="1" thickBot="1" x14ac:dyDescent="0.25">
      <c r="A3305" s="59"/>
      <c r="C3305" s="59"/>
    </row>
    <row r="3306" spans="1:6" ht="15.75" hidden="1" thickBot="1" x14ac:dyDescent="0.25">
      <c r="A3306" s="59"/>
    </row>
    <row r="3307" spans="1:6" hidden="1" x14ac:dyDescent="0.2">
      <c r="F3307" s="50"/>
    </row>
    <row r="3308" spans="1:6" ht="15.75" hidden="1" thickBot="1" x14ac:dyDescent="0.25">
      <c r="A3308" s="59"/>
      <c r="C3308" s="59"/>
    </row>
    <row r="3309" spans="1:6" ht="15.75" hidden="1" thickBot="1" x14ac:dyDescent="0.25">
      <c r="A3309" s="63"/>
      <c r="C3309" s="63"/>
    </row>
    <row r="3310" spans="1:6" ht="15.75" hidden="1" thickBot="1" x14ac:dyDescent="0.25">
      <c r="A3310" s="59"/>
      <c r="C3310" s="59"/>
    </row>
    <row r="3311" spans="1:6" ht="15.75" hidden="1" thickBot="1" x14ac:dyDescent="0.25">
      <c r="A3311" s="59"/>
      <c r="C3311" s="59"/>
    </row>
    <row r="3312" spans="1:6" ht="15.75" hidden="1" thickBot="1" x14ac:dyDescent="0.25">
      <c r="A3312" s="59"/>
      <c r="C3312" s="59"/>
    </row>
    <row r="3313" spans="1:6" ht="15.75" hidden="1" thickBot="1" x14ac:dyDescent="0.25">
      <c r="A3313" s="59"/>
      <c r="C3313" s="59"/>
    </row>
    <row r="3314" spans="1:6" ht="15" hidden="1" thickBot="1" x14ac:dyDescent="0.25">
      <c r="A3314" s="55"/>
      <c r="C3314" s="55"/>
    </row>
    <row r="3315" spans="1:6" ht="15.75" hidden="1" thickBot="1" x14ac:dyDescent="0.25">
      <c r="A3315" s="63"/>
      <c r="C3315" s="63"/>
    </row>
    <row r="3316" spans="1:6" ht="15.75" hidden="1" thickBot="1" x14ac:dyDescent="0.25">
      <c r="A3316" s="59"/>
      <c r="C3316" s="59"/>
    </row>
    <row r="3317" spans="1:6" hidden="1" x14ac:dyDescent="0.2">
      <c r="A3317" s="65"/>
      <c r="C3317" s="65"/>
    </row>
    <row r="3318" spans="1:6" hidden="1" x14ac:dyDescent="0.2">
      <c r="F3318" s="50"/>
    </row>
    <row r="3319" spans="1:6" hidden="1" x14ac:dyDescent="0.2">
      <c r="F3319" s="50"/>
    </row>
    <row r="3321" spans="1:6" hidden="1" x14ac:dyDescent="0.2">
      <c r="F3321" s="50"/>
    </row>
    <row r="3322" spans="1:6" hidden="1" x14ac:dyDescent="0.2">
      <c r="F3322" s="50"/>
    </row>
    <row r="3323" spans="1:6" hidden="1" x14ac:dyDescent="0.2">
      <c r="F3323" s="50"/>
    </row>
    <row r="3324" spans="1:6" hidden="1" x14ac:dyDescent="0.2">
      <c r="F3324" s="50"/>
    </row>
    <row r="3325" spans="1:6" hidden="1" x14ac:dyDescent="0.2">
      <c r="F3325" s="50"/>
    </row>
    <row r="3326" spans="1:6" hidden="1" x14ac:dyDescent="0.2">
      <c r="F3326" s="50"/>
    </row>
    <row r="3327" spans="1:6" hidden="1" x14ac:dyDescent="0.2">
      <c r="F3327" s="50"/>
    </row>
    <row r="3328" spans="1:6" hidden="1" x14ac:dyDescent="0.2">
      <c r="F3328" s="50"/>
    </row>
    <row r="3329" spans="6:6" hidden="1" x14ac:dyDescent="0.2">
      <c r="F3329" s="50"/>
    </row>
    <row r="3330" spans="6:6" hidden="1" x14ac:dyDescent="0.2">
      <c r="F3330" s="50"/>
    </row>
    <row r="3331" spans="6:6" hidden="1" x14ac:dyDescent="0.2">
      <c r="F3331" s="50"/>
    </row>
    <row r="3332" spans="6:6" hidden="1" x14ac:dyDescent="0.2">
      <c r="F3332" s="50"/>
    </row>
    <row r="3333" spans="6:6" hidden="1" x14ac:dyDescent="0.2">
      <c r="F3333" s="50"/>
    </row>
    <row r="3334" spans="6:6" hidden="1" x14ac:dyDescent="0.2">
      <c r="F3334" s="50"/>
    </row>
    <row r="3335" spans="6:6" hidden="1" x14ac:dyDescent="0.2">
      <c r="F3335" s="50"/>
    </row>
    <row r="3336" spans="6:6" hidden="1" x14ac:dyDescent="0.2">
      <c r="F3336" s="50"/>
    </row>
    <row r="3337" spans="6:6" hidden="1" x14ac:dyDescent="0.2">
      <c r="F3337" s="50"/>
    </row>
    <row r="3338" spans="6:6" hidden="1" x14ac:dyDescent="0.2">
      <c r="F3338" s="50"/>
    </row>
    <row r="3339" spans="6:6" hidden="1" x14ac:dyDescent="0.2">
      <c r="F3339" s="50"/>
    </row>
    <row r="3340" spans="6:6" hidden="1" x14ac:dyDescent="0.2">
      <c r="F3340" s="50"/>
    </row>
    <row r="3341" spans="6:6" hidden="1" x14ac:dyDescent="0.2">
      <c r="F3341" s="50"/>
    </row>
    <row r="3342" spans="6:6" hidden="1" x14ac:dyDescent="0.2">
      <c r="F3342" s="50"/>
    </row>
    <row r="3343" spans="6:6" hidden="1" x14ac:dyDescent="0.2">
      <c r="F3343" s="50"/>
    </row>
    <row r="3344" spans="6:6" hidden="1" x14ac:dyDescent="0.2">
      <c r="F3344" s="50"/>
    </row>
    <row r="3345" spans="6:6" hidden="1" x14ac:dyDescent="0.2">
      <c r="F3345" s="50"/>
    </row>
    <row r="3346" spans="6:6" hidden="1" x14ac:dyDescent="0.2">
      <c r="F3346" s="50"/>
    </row>
    <row r="3347" spans="6:6" hidden="1" x14ac:dyDescent="0.2">
      <c r="F3347" s="50"/>
    </row>
    <row r="3348" spans="6:6" hidden="1" x14ac:dyDescent="0.2">
      <c r="F3348" s="50"/>
    </row>
    <row r="3349" spans="6:6" hidden="1" x14ac:dyDescent="0.2">
      <c r="F3349" s="50"/>
    </row>
    <row r="3350" spans="6:6" hidden="1" x14ac:dyDescent="0.2">
      <c r="F3350" s="50"/>
    </row>
    <row r="3351" spans="6:6" hidden="1" x14ac:dyDescent="0.2">
      <c r="F3351" s="50"/>
    </row>
    <row r="3352" spans="6:6" hidden="1" x14ac:dyDescent="0.2">
      <c r="F3352" s="50"/>
    </row>
    <row r="3353" spans="6:6" hidden="1" x14ac:dyDescent="0.2">
      <c r="F3353" s="50"/>
    </row>
    <row r="3354" spans="6:6" hidden="1" x14ac:dyDescent="0.2">
      <c r="F3354" s="50"/>
    </row>
    <row r="3355" spans="6:6" hidden="1" x14ac:dyDescent="0.2">
      <c r="F3355" s="50"/>
    </row>
    <row r="3356" spans="6:6" hidden="1" x14ac:dyDescent="0.2">
      <c r="F3356" s="50"/>
    </row>
    <row r="3357" spans="6:6" hidden="1" x14ac:dyDescent="0.2">
      <c r="F3357" s="50"/>
    </row>
    <row r="3358" spans="6:6" hidden="1" x14ac:dyDescent="0.2">
      <c r="F3358" s="50"/>
    </row>
    <row r="3359" spans="6:6" hidden="1" x14ac:dyDescent="0.2">
      <c r="F3359" s="50"/>
    </row>
    <row r="3360" spans="6:6" hidden="1" x14ac:dyDescent="0.2">
      <c r="F3360" s="50"/>
    </row>
    <row r="3361" spans="6:6" hidden="1" x14ac:dyDescent="0.2">
      <c r="F3361" s="50"/>
    </row>
    <row r="3362" spans="6:6" hidden="1" x14ac:dyDescent="0.2">
      <c r="F3362" s="50"/>
    </row>
    <row r="3363" spans="6:6" hidden="1" x14ac:dyDescent="0.2">
      <c r="F3363" s="50"/>
    </row>
    <row r="3364" spans="6:6" hidden="1" x14ac:dyDescent="0.2">
      <c r="F3364" s="50"/>
    </row>
    <row r="3365" spans="6:6" hidden="1" x14ac:dyDescent="0.2">
      <c r="F3365" s="50"/>
    </row>
    <row r="3366" spans="6:6" hidden="1" x14ac:dyDescent="0.2">
      <c r="F3366" s="50"/>
    </row>
    <row r="3367" spans="6:6" hidden="1" x14ac:dyDescent="0.2">
      <c r="F3367" s="50"/>
    </row>
    <row r="3368" spans="6:6" hidden="1" x14ac:dyDescent="0.2">
      <c r="F3368" s="50"/>
    </row>
    <row r="3369" spans="6:6" hidden="1" x14ac:dyDescent="0.2">
      <c r="F3369" s="50"/>
    </row>
    <row r="3370" spans="6:6" hidden="1" x14ac:dyDescent="0.2">
      <c r="F3370" s="50"/>
    </row>
    <row r="3371" spans="6:6" hidden="1" x14ac:dyDescent="0.2">
      <c r="F3371" s="50"/>
    </row>
    <row r="3372" spans="6:6" hidden="1" x14ac:dyDescent="0.2">
      <c r="F3372" s="50"/>
    </row>
    <row r="3373" spans="6:6" hidden="1" x14ac:dyDescent="0.2">
      <c r="F3373" s="50"/>
    </row>
    <row r="3374" spans="6:6" hidden="1" x14ac:dyDescent="0.2">
      <c r="F3374" s="50"/>
    </row>
    <row r="3375" spans="6:6" hidden="1" x14ac:dyDescent="0.2">
      <c r="F3375" s="50"/>
    </row>
    <row r="3376" spans="6:6" hidden="1" x14ac:dyDescent="0.2">
      <c r="F3376" s="50"/>
    </row>
    <row r="3379" spans="6:6" hidden="1" x14ac:dyDescent="0.2">
      <c r="F3379" s="50"/>
    </row>
    <row r="3380" spans="6:6" hidden="1" x14ac:dyDescent="0.2">
      <c r="F3380" s="50"/>
    </row>
    <row r="3381" spans="6:6" hidden="1" x14ac:dyDescent="0.2">
      <c r="F3381" s="50"/>
    </row>
    <row r="3382" spans="6:6" hidden="1" x14ac:dyDescent="0.2">
      <c r="F3382" s="50"/>
    </row>
    <row r="3386" spans="6:6" hidden="1" x14ac:dyDescent="0.2">
      <c r="F3386" s="50"/>
    </row>
    <row r="3387" spans="6:6" hidden="1" x14ac:dyDescent="0.2">
      <c r="F3387" s="50"/>
    </row>
    <row r="3388" spans="6:6" hidden="1" x14ac:dyDescent="0.2">
      <c r="F3388" s="50"/>
    </row>
    <row r="3389" spans="6:6" hidden="1" x14ac:dyDescent="0.2">
      <c r="F3389" s="50"/>
    </row>
    <row r="3390" spans="6:6" hidden="1" x14ac:dyDescent="0.2">
      <c r="F3390" s="50"/>
    </row>
    <row r="3391" spans="6:6" hidden="1" x14ac:dyDescent="0.2">
      <c r="F3391" s="50"/>
    </row>
    <row r="3392" spans="6:6" hidden="1" x14ac:dyDescent="0.2">
      <c r="F3392" s="50"/>
    </row>
    <row r="3393" spans="6:6" hidden="1" x14ac:dyDescent="0.2">
      <c r="F3393" s="50"/>
    </row>
    <row r="3394" spans="6:6" hidden="1" x14ac:dyDescent="0.2">
      <c r="F3394" s="50"/>
    </row>
    <row r="3396" spans="6:6" hidden="1" x14ac:dyDescent="0.2">
      <c r="F3396" s="50"/>
    </row>
    <row r="3397" spans="6:6" hidden="1" x14ac:dyDescent="0.2">
      <c r="F3397" s="50"/>
    </row>
    <row r="3398" spans="6:6" hidden="1" x14ac:dyDescent="0.2">
      <c r="F3398" s="50"/>
    </row>
    <row r="3399" spans="6:6" hidden="1" x14ac:dyDescent="0.2">
      <c r="F3399" s="50"/>
    </row>
    <row r="3400" spans="6:6" hidden="1" x14ac:dyDescent="0.2">
      <c r="F3400" s="50"/>
    </row>
    <row r="3401" spans="6:6" hidden="1" x14ac:dyDescent="0.2">
      <c r="F3401" s="50"/>
    </row>
    <row r="3402" spans="6:6" hidden="1" x14ac:dyDescent="0.2">
      <c r="F3402" s="50"/>
    </row>
    <row r="3403" spans="6:6" hidden="1" x14ac:dyDescent="0.2">
      <c r="F3403" s="50"/>
    </row>
    <row r="3404" spans="6:6" hidden="1" x14ac:dyDescent="0.2">
      <c r="F3404" s="50"/>
    </row>
    <row r="3405" spans="6:6" hidden="1" x14ac:dyDescent="0.2">
      <c r="F3405" s="50"/>
    </row>
    <row r="3407" spans="6:6" hidden="1" x14ac:dyDescent="0.2">
      <c r="F3407" s="50"/>
    </row>
    <row r="3408" spans="6:6" hidden="1" x14ac:dyDescent="0.2">
      <c r="F3408" s="50"/>
    </row>
    <row r="3409" spans="6:6" hidden="1" x14ac:dyDescent="0.2">
      <c r="F3409" s="50"/>
    </row>
    <row r="3410" spans="6:6" hidden="1" x14ac:dyDescent="0.2">
      <c r="F3410" s="50"/>
    </row>
    <row r="3411" spans="6:6" hidden="1" x14ac:dyDescent="0.2">
      <c r="F3411" s="50"/>
    </row>
    <row r="3412" spans="6:6" hidden="1" x14ac:dyDescent="0.2">
      <c r="F3412" s="50"/>
    </row>
    <row r="3413" spans="6:6" hidden="1" x14ac:dyDescent="0.2">
      <c r="F3413" s="50"/>
    </row>
    <row r="3414" spans="6:6" hidden="1" x14ac:dyDescent="0.2">
      <c r="F3414" s="50"/>
    </row>
    <row r="3415" spans="6:6" hidden="1" x14ac:dyDescent="0.2">
      <c r="F3415" s="50"/>
    </row>
    <row r="3417" spans="6:6" hidden="1" x14ac:dyDescent="0.2">
      <c r="F3417" s="50"/>
    </row>
    <row r="3418" spans="6:6" hidden="1" x14ac:dyDescent="0.2">
      <c r="F3418" s="50"/>
    </row>
    <row r="3419" spans="6:6" hidden="1" x14ac:dyDescent="0.2">
      <c r="F3419" s="50"/>
    </row>
    <row r="3420" spans="6:6" hidden="1" x14ac:dyDescent="0.2">
      <c r="F3420" s="50"/>
    </row>
    <row r="3421" spans="6:6" hidden="1" x14ac:dyDescent="0.2">
      <c r="F3421" s="50"/>
    </row>
    <row r="3422" spans="6:6" hidden="1" x14ac:dyDescent="0.2">
      <c r="F3422" s="50"/>
    </row>
    <row r="3423" spans="6:6" hidden="1" x14ac:dyDescent="0.2">
      <c r="F3423" s="50"/>
    </row>
    <row r="3424" spans="6:6" hidden="1" x14ac:dyDescent="0.2">
      <c r="F3424" s="50"/>
    </row>
    <row r="3425" spans="6:6" hidden="1" x14ac:dyDescent="0.2">
      <c r="F3425" s="50"/>
    </row>
    <row r="3426" spans="6:6" hidden="1" x14ac:dyDescent="0.2">
      <c r="F3426" s="50"/>
    </row>
    <row r="3427" spans="6:6" hidden="1" x14ac:dyDescent="0.2">
      <c r="F3427" s="50"/>
    </row>
    <row r="3428" spans="6:6" hidden="1" x14ac:dyDescent="0.2">
      <c r="F3428" s="50"/>
    </row>
    <row r="3429" spans="6:6" hidden="1" x14ac:dyDescent="0.2">
      <c r="F3429" s="50"/>
    </row>
    <row r="3430" spans="6:6" hidden="1" x14ac:dyDescent="0.2">
      <c r="F3430" s="50"/>
    </row>
    <row r="3439" spans="6:6" hidden="1" x14ac:dyDescent="0.2">
      <c r="F3439" s="50"/>
    </row>
    <row r="3440" spans="6:6" hidden="1" x14ac:dyDescent="0.2">
      <c r="F3440" s="50"/>
    </row>
    <row r="3441" spans="6:6" hidden="1" x14ac:dyDescent="0.2">
      <c r="F3441" s="50"/>
    </row>
    <row r="3442" spans="6:6" hidden="1" x14ac:dyDescent="0.2">
      <c r="F3442" s="50"/>
    </row>
    <row r="3443" spans="6:6" hidden="1" x14ac:dyDescent="0.2">
      <c r="F3443" s="50"/>
    </row>
    <row r="3444" spans="6:6" hidden="1" x14ac:dyDescent="0.2">
      <c r="F3444" s="50"/>
    </row>
    <row r="3445" spans="6:6" hidden="1" x14ac:dyDescent="0.2">
      <c r="F3445" s="50"/>
    </row>
    <row r="3446" spans="6:6" hidden="1" x14ac:dyDescent="0.2">
      <c r="F3446" s="50"/>
    </row>
    <row r="3447" spans="6:6" hidden="1" x14ac:dyDescent="0.2">
      <c r="F3447" s="50"/>
    </row>
    <row r="3448" spans="6:6" hidden="1" x14ac:dyDescent="0.2">
      <c r="F3448" s="50"/>
    </row>
    <row r="3449" spans="6:6" hidden="1" x14ac:dyDescent="0.2">
      <c r="F3449" s="50"/>
    </row>
    <row r="3450" spans="6:6" hidden="1" x14ac:dyDescent="0.2">
      <c r="F3450" s="50"/>
    </row>
    <row r="3451" spans="6:6" hidden="1" x14ac:dyDescent="0.2">
      <c r="F3451" s="50"/>
    </row>
    <row r="3452" spans="6:6" hidden="1" x14ac:dyDescent="0.2">
      <c r="F3452" s="50"/>
    </row>
    <row r="3453" spans="6:6" hidden="1" x14ac:dyDescent="0.2">
      <c r="F3453" s="50"/>
    </row>
    <row r="3454" spans="6:6" hidden="1" x14ac:dyDescent="0.2">
      <c r="F3454" s="50"/>
    </row>
    <row r="3455" spans="6:6" hidden="1" x14ac:dyDescent="0.2">
      <c r="F3455" s="50"/>
    </row>
    <row r="3456" spans="6:6" hidden="1" x14ac:dyDescent="0.2">
      <c r="F3456" s="50"/>
    </row>
    <row r="3457" spans="6:6" hidden="1" x14ac:dyDescent="0.2">
      <c r="F3457" s="50"/>
    </row>
    <row r="3458" spans="6:6" hidden="1" x14ac:dyDescent="0.2">
      <c r="F3458" s="50"/>
    </row>
    <row r="3459" spans="6:6" hidden="1" x14ac:dyDescent="0.2">
      <c r="F3459" s="50"/>
    </row>
    <row r="3460" spans="6:6" hidden="1" x14ac:dyDescent="0.2">
      <c r="F3460" s="50"/>
    </row>
    <row r="3461" spans="6:6" hidden="1" x14ac:dyDescent="0.2">
      <c r="F3461" s="50"/>
    </row>
    <row r="3462" spans="6:6" hidden="1" x14ac:dyDescent="0.2">
      <c r="F3462" s="50"/>
    </row>
    <row r="3463" spans="6:6" hidden="1" x14ac:dyDescent="0.2">
      <c r="F3463" s="50"/>
    </row>
    <row r="3464" spans="6:6" hidden="1" x14ac:dyDescent="0.2">
      <c r="F3464" s="50"/>
    </row>
    <row r="3465" spans="6:6" hidden="1" x14ac:dyDescent="0.2">
      <c r="F3465" s="50"/>
    </row>
    <row r="3466" spans="6:6" hidden="1" x14ac:dyDescent="0.2">
      <c r="F3466" s="50"/>
    </row>
    <row r="3488" spans="6:7" hidden="1" x14ac:dyDescent="0.2">
      <c r="F3488" s="50"/>
      <c r="G3488" s="50"/>
    </row>
    <row r="3496" spans="6:6" hidden="1" x14ac:dyDescent="0.2">
      <c r="F3496" s="50"/>
    </row>
    <row r="3498" spans="6:6" hidden="1" x14ac:dyDescent="0.2">
      <c r="F3498" s="50"/>
    </row>
    <row r="3499" spans="6:6" hidden="1" x14ac:dyDescent="0.2">
      <c r="F3499" s="50"/>
    </row>
    <row r="3500" spans="6:6" hidden="1" x14ac:dyDescent="0.2">
      <c r="F3500" s="50"/>
    </row>
    <row r="3501" spans="6:6" hidden="1" x14ac:dyDescent="0.2">
      <c r="F3501" s="50"/>
    </row>
    <row r="3502" spans="6:6" hidden="1" x14ac:dyDescent="0.2">
      <c r="F3502" s="50"/>
    </row>
    <row r="3503" spans="6:6" hidden="1" x14ac:dyDescent="0.2">
      <c r="F3503" s="50"/>
    </row>
    <row r="3504" spans="6:6" hidden="1" x14ac:dyDescent="0.2">
      <c r="F3504" s="50"/>
    </row>
    <row r="3505" spans="6:6" hidden="1" x14ac:dyDescent="0.2">
      <c r="F3505" s="50"/>
    </row>
    <row r="3506" spans="6:6" hidden="1" x14ac:dyDescent="0.2">
      <c r="F3506" s="50"/>
    </row>
    <row r="3507" spans="6:6" hidden="1" x14ac:dyDescent="0.2">
      <c r="F3507" s="50"/>
    </row>
    <row r="3508" spans="6:6" hidden="1" x14ac:dyDescent="0.2">
      <c r="F3508" s="50"/>
    </row>
    <row r="3509" spans="6:6" hidden="1" x14ac:dyDescent="0.2">
      <c r="F3509" s="50"/>
    </row>
    <row r="3510" spans="6:6" hidden="1" x14ac:dyDescent="0.2">
      <c r="F3510" s="50"/>
    </row>
    <row r="3511" spans="6:6" hidden="1" x14ac:dyDescent="0.2">
      <c r="F3511" s="50"/>
    </row>
    <row r="3512" spans="6:6" hidden="1" x14ac:dyDescent="0.2">
      <c r="F3512" s="50"/>
    </row>
    <row r="3513" spans="6:6" hidden="1" x14ac:dyDescent="0.2">
      <c r="F3513" s="50"/>
    </row>
    <row r="3514" spans="6:6" hidden="1" x14ac:dyDescent="0.2">
      <c r="F3514" s="50"/>
    </row>
    <row r="3515" spans="6:6" hidden="1" x14ac:dyDescent="0.2">
      <c r="F3515" s="50"/>
    </row>
    <row r="3516" spans="6:6" hidden="1" x14ac:dyDescent="0.2">
      <c r="F3516" s="50"/>
    </row>
    <row r="3517" spans="6:6" hidden="1" x14ac:dyDescent="0.2">
      <c r="F3517" s="50"/>
    </row>
    <row r="3518" spans="6:6" hidden="1" x14ac:dyDescent="0.2">
      <c r="F3518" s="50"/>
    </row>
    <row r="3519" spans="6:6" hidden="1" x14ac:dyDescent="0.2">
      <c r="F3519" s="50"/>
    </row>
    <row r="3520" spans="6:6" hidden="1" x14ac:dyDescent="0.2">
      <c r="F3520" s="50"/>
    </row>
    <row r="3521" spans="6:6" hidden="1" x14ac:dyDescent="0.2">
      <c r="F3521" s="50"/>
    </row>
    <row r="3535" spans="6:6" hidden="1" x14ac:dyDescent="0.2">
      <c r="F3535" s="50"/>
    </row>
    <row r="3536" spans="6:6" hidden="1" x14ac:dyDescent="0.2">
      <c r="F3536" s="50"/>
    </row>
    <row r="3537" spans="6:8" hidden="1" x14ac:dyDescent="0.2">
      <c r="F3537" s="50"/>
    </row>
    <row r="3538" spans="6:8" hidden="1" x14ac:dyDescent="0.2">
      <c r="F3538" s="50"/>
    </row>
    <row r="3539" spans="6:8" hidden="1" x14ac:dyDescent="0.2">
      <c r="F3539" s="50"/>
    </row>
    <row r="3540" spans="6:8" hidden="1" x14ac:dyDescent="0.2">
      <c r="F3540" s="50"/>
    </row>
    <row r="3541" spans="6:8" hidden="1" x14ac:dyDescent="0.2">
      <c r="F3541" s="50"/>
    </row>
    <row r="3543" spans="6:8" hidden="1" x14ac:dyDescent="0.2">
      <c r="F3543" s="50"/>
    </row>
    <row r="3544" spans="6:8" hidden="1" x14ac:dyDescent="0.2">
      <c r="F3544" s="50"/>
    </row>
    <row r="3545" spans="6:8" hidden="1" x14ac:dyDescent="0.2">
      <c r="F3545" s="50"/>
    </row>
    <row r="3546" spans="6:8" hidden="1" x14ac:dyDescent="0.2">
      <c r="F3546" s="50"/>
    </row>
    <row r="3547" spans="6:8" hidden="1" x14ac:dyDescent="0.2">
      <c r="F3547" s="50"/>
    </row>
    <row r="3548" spans="6:8" hidden="1" x14ac:dyDescent="0.2">
      <c r="F3548" s="50"/>
    </row>
    <row r="3549" spans="6:8" hidden="1" x14ac:dyDescent="0.2">
      <c r="F3549" s="50"/>
    </row>
    <row r="3550" spans="6:8" hidden="1" x14ac:dyDescent="0.2">
      <c r="F3550" s="50"/>
      <c r="H3550"/>
    </row>
    <row r="3551" spans="6:8" hidden="1" x14ac:dyDescent="0.2">
      <c r="F3551" s="50"/>
    </row>
    <row r="3552" spans="6:8" hidden="1" x14ac:dyDescent="0.2">
      <c r="F3552" s="50"/>
    </row>
    <row r="3559" spans="6:6" hidden="1" x14ac:dyDescent="0.2">
      <c r="F3559" s="50"/>
    </row>
    <row r="3560" spans="6:6" hidden="1" x14ac:dyDescent="0.2">
      <c r="F3560" s="50"/>
    </row>
    <row r="3561" spans="6:6" hidden="1" x14ac:dyDescent="0.2">
      <c r="F3561" s="50"/>
    </row>
    <row r="3562" spans="6:6" hidden="1" x14ac:dyDescent="0.2">
      <c r="F3562" s="50"/>
    </row>
    <row r="3563" spans="6:6" hidden="1" x14ac:dyDescent="0.2">
      <c r="F3563" s="50"/>
    </row>
    <row r="3564" spans="6:6" hidden="1" x14ac:dyDescent="0.2">
      <c r="F3564" s="50"/>
    </row>
    <row r="3565" spans="6:6" hidden="1" x14ac:dyDescent="0.2">
      <c r="F3565" s="50"/>
    </row>
    <row r="3566" spans="6:6" hidden="1" x14ac:dyDescent="0.2">
      <c r="F3566" s="50"/>
    </row>
    <row r="3567" spans="6:6" hidden="1" x14ac:dyDescent="0.2">
      <c r="F3567" s="50"/>
    </row>
    <row r="3568" spans="6:6" hidden="1" x14ac:dyDescent="0.2">
      <c r="F3568" s="50"/>
    </row>
    <row r="3569" spans="6:6" hidden="1" x14ac:dyDescent="0.2">
      <c r="F3569" s="50"/>
    </row>
    <row r="3570" spans="6:6" hidden="1" x14ac:dyDescent="0.2">
      <c r="F3570" s="50"/>
    </row>
    <row r="3571" spans="6:6" hidden="1" x14ac:dyDescent="0.2">
      <c r="F3571" s="50"/>
    </row>
    <row r="3572" spans="6:6" hidden="1" x14ac:dyDescent="0.2">
      <c r="F3572" s="50"/>
    </row>
    <row r="3573" spans="6:6" hidden="1" x14ac:dyDescent="0.2">
      <c r="F3573" s="50"/>
    </row>
    <row r="3574" spans="6:6" hidden="1" x14ac:dyDescent="0.2">
      <c r="F3574" s="50"/>
    </row>
    <row r="3575" spans="6:6" hidden="1" x14ac:dyDescent="0.2">
      <c r="F3575" s="50"/>
    </row>
    <row r="3576" spans="6:6" hidden="1" x14ac:dyDescent="0.2">
      <c r="F3576" s="50"/>
    </row>
    <row r="3577" spans="6:6" hidden="1" x14ac:dyDescent="0.2">
      <c r="F3577" s="50"/>
    </row>
    <row r="3578" spans="6:6" hidden="1" x14ac:dyDescent="0.2">
      <c r="F3578" s="50"/>
    </row>
    <row r="3579" spans="6:6" hidden="1" x14ac:dyDescent="0.2">
      <c r="F3579" s="50"/>
    </row>
    <row r="3580" spans="6:6" hidden="1" x14ac:dyDescent="0.2">
      <c r="F3580" s="50"/>
    </row>
    <row r="3581" spans="6:6" hidden="1" x14ac:dyDescent="0.2">
      <c r="F3581" s="50"/>
    </row>
    <row r="3582" spans="6:6" hidden="1" x14ac:dyDescent="0.2">
      <c r="F3582" s="50"/>
    </row>
    <row r="3583" spans="6:6" hidden="1" x14ac:dyDescent="0.2">
      <c r="F3583" s="50"/>
    </row>
    <row r="3584" spans="6:6" hidden="1" x14ac:dyDescent="0.2">
      <c r="F3584" s="50"/>
    </row>
    <row r="3585" spans="1:6" hidden="1" x14ac:dyDescent="0.2">
      <c r="F3585" s="50"/>
    </row>
    <row r="3586" spans="1:6" hidden="1" x14ac:dyDescent="0.2">
      <c r="F3586" s="50"/>
    </row>
    <row r="3587" spans="1:6" hidden="1" x14ac:dyDescent="0.2">
      <c r="F3587" s="50"/>
    </row>
    <row r="3588" spans="1:6" ht="15" hidden="1" thickBot="1" x14ac:dyDescent="0.25">
      <c r="F3588" s="50"/>
    </row>
    <row r="3589" spans="1:6" ht="15.75" hidden="1" thickBot="1" x14ac:dyDescent="0.25">
      <c r="A3589" s="63"/>
      <c r="C3589" s="63"/>
    </row>
    <row r="3590" spans="1:6" ht="15.75" hidden="1" thickBot="1" x14ac:dyDescent="0.25">
      <c r="A3590" s="59"/>
      <c r="C3590" s="59"/>
    </row>
    <row r="3591" spans="1:6" ht="15.75" hidden="1" thickBot="1" x14ac:dyDescent="0.25">
      <c r="A3591" s="59"/>
      <c r="C3591" s="59"/>
    </row>
    <row r="3592" spans="1:6" hidden="1" x14ac:dyDescent="0.2">
      <c r="F3592" s="50"/>
    </row>
    <row r="3593" spans="1:6" hidden="1" x14ac:dyDescent="0.2">
      <c r="F3593" s="50"/>
    </row>
    <row r="3595" spans="1:6" hidden="1" x14ac:dyDescent="0.2">
      <c r="F3595" s="50"/>
    </row>
    <row r="3596" spans="1:6" hidden="1" x14ac:dyDescent="0.2">
      <c r="F3596" s="50"/>
    </row>
    <row r="3597" spans="1:6" hidden="1" x14ac:dyDescent="0.2">
      <c r="F3597" s="50"/>
    </row>
    <row r="3598" spans="1:6" hidden="1" x14ac:dyDescent="0.2">
      <c r="F3598" s="50"/>
    </row>
    <row r="3599" spans="1:6" hidden="1" x14ac:dyDescent="0.2">
      <c r="F3599" s="50"/>
    </row>
    <row r="3600" spans="1:6" hidden="1" x14ac:dyDescent="0.2">
      <c r="F3600" s="50"/>
    </row>
    <row r="3601" spans="6:6" hidden="1" x14ac:dyDescent="0.2">
      <c r="F3601" s="50"/>
    </row>
    <row r="3602" spans="6:6" hidden="1" x14ac:dyDescent="0.2">
      <c r="F3602" s="50"/>
    </row>
    <row r="3603" spans="6:6" hidden="1" x14ac:dyDescent="0.2">
      <c r="F3603" s="50"/>
    </row>
    <row r="3604" spans="6:6" hidden="1" x14ac:dyDescent="0.2">
      <c r="F3604" s="50"/>
    </row>
    <row r="3606" spans="6:6" hidden="1" x14ac:dyDescent="0.2">
      <c r="F3606" s="50"/>
    </row>
    <row r="3607" spans="6:6" hidden="1" x14ac:dyDescent="0.2">
      <c r="F3607" s="50"/>
    </row>
    <row r="3608" spans="6:6" hidden="1" x14ac:dyDescent="0.2">
      <c r="F3608" s="50"/>
    </row>
    <row r="3609" spans="6:6" hidden="1" x14ac:dyDescent="0.2">
      <c r="F3609" s="50"/>
    </row>
    <row r="3610" spans="6:6" hidden="1" x14ac:dyDescent="0.2">
      <c r="F3610" s="50"/>
    </row>
    <row r="3611" spans="6:6" hidden="1" x14ac:dyDescent="0.2">
      <c r="F3611" s="50"/>
    </row>
    <row r="3612" spans="6:6" hidden="1" x14ac:dyDescent="0.2">
      <c r="F3612" s="50"/>
    </row>
    <row r="3613" spans="6:6" hidden="1" x14ac:dyDescent="0.2">
      <c r="F3613" s="50"/>
    </row>
    <row r="3614" spans="6:6" hidden="1" x14ac:dyDescent="0.2">
      <c r="F3614" s="50"/>
    </row>
    <row r="3615" spans="6:6" hidden="1" x14ac:dyDescent="0.2">
      <c r="F3615" s="50"/>
    </row>
    <row r="3616" spans="6:6" hidden="1" x14ac:dyDescent="0.2">
      <c r="F3616" s="50"/>
    </row>
    <row r="3617" spans="6:6" hidden="1" x14ac:dyDescent="0.2">
      <c r="F3617" s="50"/>
    </row>
    <row r="3618" spans="6:6" hidden="1" x14ac:dyDescent="0.2">
      <c r="F3618" s="50"/>
    </row>
    <row r="3619" spans="6:6" hidden="1" x14ac:dyDescent="0.2">
      <c r="F3619" s="50"/>
    </row>
    <row r="3620" spans="6:6" hidden="1" x14ac:dyDescent="0.2">
      <c r="F3620" s="50"/>
    </row>
    <row r="3621" spans="6:6" hidden="1" x14ac:dyDescent="0.2">
      <c r="F3621" s="50"/>
    </row>
    <row r="3622" spans="6:6" hidden="1" x14ac:dyDescent="0.2">
      <c r="F3622" s="50"/>
    </row>
    <row r="3623" spans="6:6" hidden="1" x14ac:dyDescent="0.2">
      <c r="F3623" s="50"/>
    </row>
    <row r="3624" spans="6:6" hidden="1" x14ac:dyDescent="0.2">
      <c r="F3624" s="50"/>
    </row>
    <row r="3625" spans="6:6" hidden="1" x14ac:dyDescent="0.2">
      <c r="F3625" s="50"/>
    </row>
    <row r="3626" spans="6:6" hidden="1" x14ac:dyDescent="0.2">
      <c r="F3626" s="50"/>
    </row>
    <row r="3627" spans="6:6" hidden="1" x14ac:dyDescent="0.2">
      <c r="F3627" s="50"/>
    </row>
    <row r="3628" spans="6:6" hidden="1" x14ac:dyDescent="0.2">
      <c r="F3628" s="50"/>
    </row>
    <row r="3629" spans="6:6" hidden="1" x14ac:dyDescent="0.2">
      <c r="F3629" s="50"/>
    </row>
    <row r="3631" spans="6:6" hidden="1" x14ac:dyDescent="0.2">
      <c r="F3631" s="50"/>
    </row>
    <row r="3632" spans="6:6" hidden="1" x14ac:dyDescent="0.2">
      <c r="F3632" s="50"/>
    </row>
    <row r="3633" spans="1:6" hidden="1" x14ac:dyDescent="0.2">
      <c r="F3633" s="50"/>
    </row>
    <row r="3634" spans="1:6" hidden="1" x14ac:dyDescent="0.2">
      <c r="F3634" s="50"/>
    </row>
    <row r="3635" spans="1:6" hidden="1" x14ac:dyDescent="0.2">
      <c r="F3635" s="50"/>
    </row>
    <row r="3637" spans="1:6" hidden="1" x14ac:dyDescent="0.2">
      <c r="F3637" s="50"/>
    </row>
    <row r="3638" spans="1:6" hidden="1" x14ac:dyDescent="0.2">
      <c r="F3638" s="50"/>
    </row>
    <row r="3639" spans="1:6" ht="15.75" hidden="1" thickBot="1" x14ac:dyDescent="0.25">
      <c r="A3639" s="59"/>
    </row>
    <row r="3640" spans="1:6" ht="15.75" hidden="1" thickBot="1" x14ac:dyDescent="0.25">
      <c r="A3640" s="63"/>
    </row>
    <row r="3641" spans="1:6" hidden="1" x14ac:dyDescent="0.2">
      <c r="F3641" s="50"/>
    </row>
    <row r="3642" spans="1:6" hidden="1" x14ac:dyDescent="0.2">
      <c r="F3642" s="50"/>
    </row>
    <row r="3643" spans="1:6" hidden="1" x14ac:dyDescent="0.2">
      <c r="F3643" s="50"/>
    </row>
    <row r="3644" spans="1:6" hidden="1" x14ac:dyDescent="0.2">
      <c r="F3644" s="50"/>
    </row>
    <row r="3645" spans="1:6" hidden="1" x14ac:dyDescent="0.2">
      <c r="F3645" s="50"/>
    </row>
    <row r="3649" spans="6:6" hidden="1" x14ac:dyDescent="0.2">
      <c r="F3649" s="50"/>
    </row>
    <row r="3650" spans="6:6" hidden="1" x14ac:dyDescent="0.2">
      <c r="F3650" s="50"/>
    </row>
    <row r="3651" spans="6:6" hidden="1" x14ac:dyDescent="0.2">
      <c r="F3651" s="50"/>
    </row>
    <row r="3653" spans="6:6" hidden="1" x14ac:dyDescent="0.2">
      <c r="F3653" s="50"/>
    </row>
    <row r="3654" spans="6:6" hidden="1" x14ac:dyDescent="0.2">
      <c r="F3654" s="50"/>
    </row>
    <row r="3656" spans="6:6" hidden="1" x14ac:dyDescent="0.2">
      <c r="F3656" s="50"/>
    </row>
    <row r="3657" spans="6:6" hidden="1" x14ac:dyDescent="0.2">
      <c r="F3657" s="50"/>
    </row>
    <row r="3658" spans="6:6" hidden="1" x14ac:dyDescent="0.2">
      <c r="F3658" s="50"/>
    </row>
    <row r="3659" spans="6:6" hidden="1" x14ac:dyDescent="0.2">
      <c r="F3659" s="50"/>
    </row>
    <row r="3660" spans="6:6" hidden="1" x14ac:dyDescent="0.2">
      <c r="F3660" s="50"/>
    </row>
    <row r="3661" spans="6:6" hidden="1" x14ac:dyDescent="0.2">
      <c r="F3661" s="50"/>
    </row>
    <row r="3662" spans="6:6" hidden="1" x14ac:dyDescent="0.2">
      <c r="F3662" s="50"/>
    </row>
    <row r="3663" spans="6:6" hidden="1" x14ac:dyDescent="0.2">
      <c r="F3663" s="50"/>
    </row>
    <row r="3664" spans="6:6" hidden="1" x14ac:dyDescent="0.2">
      <c r="F3664" s="50"/>
    </row>
    <row r="3665" spans="6:8" hidden="1" x14ac:dyDescent="0.2">
      <c r="F3665" s="50"/>
    </row>
    <row r="3668" spans="6:8" hidden="1" x14ac:dyDescent="0.2">
      <c r="F3668" s="50"/>
    </row>
    <row r="3669" spans="6:8" hidden="1" x14ac:dyDescent="0.2">
      <c r="F3669" s="50"/>
    </row>
    <row r="3670" spans="6:8" hidden="1" x14ac:dyDescent="0.2">
      <c r="F3670" s="50"/>
    </row>
    <row r="3671" spans="6:8" ht="15" hidden="1" x14ac:dyDescent="0.25">
      <c r="F3671" s="50"/>
      <c r="H3671" s="62"/>
    </row>
    <row r="3672" spans="6:8" hidden="1" x14ac:dyDescent="0.2">
      <c r="F3672" s="50"/>
    </row>
    <row r="3673" spans="6:8" hidden="1" x14ac:dyDescent="0.2">
      <c r="F3673" s="50"/>
    </row>
    <row r="3674" spans="6:8" hidden="1" x14ac:dyDescent="0.2">
      <c r="F3674" s="50"/>
    </row>
    <row r="3675" spans="6:8" hidden="1" x14ac:dyDescent="0.2">
      <c r="F3675" s="50"/>
    </row>
    <row r="3676" spans="6:8" hidden="1" x14ac:dyDescent="0.2">
      <c r="F3676" s="50"/>
    </row>
    <row r="3677" spans="6:8" hidden="1" x14ac:dyDescent="0.2">
      <c r="F3677" s="50"/>
    </row>
    <row r="3679" spans="6:8" hidden="1" x14ac:dyDescent="0.2">
      <c r="F3679" s="50"/>
    </row>
    <row r="3680" spans="6:8" hidden="1" x14ac:dyDescent="0.2">
      <c r="F3680" s="50"/>
    </row>
    <row r="3681" spans="6:6" hidden="1" x14ac:dyDescent="0.2">
      <c r="F3681" s="50"/>
    </row>
    <row r="3683" spans="6:6" hidden="1" x14ac:dyDescent="0.2">
      <c r="F3683" s="50"/>
    </row>
    <row r="3685" spans="6:6" hidden="1" x14ac:dyDescent="0.2">
      <c r="F3685" s="50"/>
    </row>
    <row r="3686" spans="6:6" hidden="1" x14ac:dyDescent="0.2">
      <c r="F3686" s="50"/>
    </row>
    <row r="3687" spans="6:6" hidden="1" x14ac:dyDescent="0.2">
      <c r="F3687" s="50"/>
    </row>
    <row r="3688" spans="6:6" hidden="1" x14ac:dyDescent="0.2">
      <c r="F3688" s="50"/>
    </row>
    <row r="3689" spans="6:6" hidden="1" x14ac:dyDescent="0.2">
      <c r="F3689" s="50"/>
    </row>
    <row r="3694" spans="6:6" hidden="1" x14ac:dyDescent="0.2">
      <c r="F3694" s="50"/>
    </row>
    <row r="3695" spans="6:6" hidden="1" x14ac:dyDescent="0.2">
      <c r="F3695" s="50"/>
    </row>
    <row r="3696" spans="6:6" hidden="1" x14ac:dyDescent="0.2">
      <c r="F3696" s="50"/>
    </row>
    <row r="3697" spans="6:6" hidden="1" x14ac:dyDescent="0.2">
      <c r="F3697" s="50"/>
    </row>
    <row r="3698" spans="6:6" hidden="1" x14ac:dyDescent="0.2">
      <c r="F3698" s="50"/>
    </row>
    <row r="3699" spans="6:6" hidden="1" x14ac:dyDescent="0.2">
      <c r="F3699" s="50"/>
    </row>
    <row r="3700" spans="6:6" hidden="1" x14ac:dyDescent="0.2">
      <c r="F3700" s="50"/>
    </row>
    <row r="3701" spans="6:6" hidden="1" x14ac:dyDescent="0.2">
      <c r="F3701" s="50"/>
    </row>
    <row r="3707" spans="6:6" hidden="1" x14ac:dyDescent="0.2">
      <c r="F3707" s="50"/>
    </row>
    <row r="3709" spans="6:6" hidden="1" x14ac:dyDescent="0.2">
      <c r="F3709" s="50"/>
    </row>
    <row r="3710" spans="6:6" hidden="1" x14ac:dyDescent="0.2">
      <c r="F3710" s="50"/>
    </row>
    <row r="3711" spans="6:6" hidden="1" x14ac:dyDescent="0.2">
      <c r="F3711" s="50"/>
    </row>
    <row r="3712" spans="6:6" hidden="1" x14ac:dyDescent="0.2">
      <c r="F3712" s="50"/>
    </row>
    <row r="3713" spans="6:6" hidden="1" x14ac:dyDescent="0.2">
      <c r="F3713" s="50"/>
    </row>
    <row r="3714" spans="6:6" hidden="1" x14ac:dyDescent="0.2">
      <c r="F3714" s="50"/>
    </row>
    <row r="3715" spans="6:6" hidden="1" x14ac:dyDescent="0.2">
      <c r="F3715" s="50"/>
    </row>
    <row r="3716" spans="6:6" hidden="1" x14ac:dyDescent="0.2">
      <c r="F3716" s="50"/>
    </row>
    <row r="3717" spans="6:6" hidden="1" x14ac:dyDescent="0.2">
      <c r="F3717" s="50"/>
    </row>
    <row r="3718" spans="6:6" hidden="1" x14ac:dyDescent="0.2">
      <c r="F3718" s="50"/>
    </row>
    <row r="3719" spans="6:6" hidden="1" x14ac:dyDescent="0.2">
      <c r="F3719" s="50"/>
    </row>
    <row r="3720" spans="6:6" hidden="1" x14ac:dyDescent="0.2">
      <c r="F3720" s="50"/>
    </row>
    <row r="3721" spans="6:6" hidden="1" x14ac:dyDescent="0.2">
      <c r="F3721" s="50"/>
    </row>
    <row r="3722" spans="6:6" hidden="1" x14ac:dyDescent="0.2">
      <c r="F3722" s="50"/>
    </row>
    <row r="3723" spans="6:6" hidden="1" x14ac:dyDescent="0.2">
      <c r="F3723" s="50"/>
    </row>
    <row r="3724" spans="6:6" hidden="1" x14ac:dyDescent="0.2">
      <c r="F3724" s="50"/>
    </row>
    <row r="3725" spans="6:6" hidden="1" x14ac:dyDescent="0.2">
      <c r="F3725" s="50"/>
    </row>
    <row r="3726" spans="6:6" hidden="1" x14ac:dyDescent="0.2">
      <c r="F3726" s="50"/>
    </row>
    <row r="3727" spans="6:6" hidden="1" x14ac:dyDescent="0.2">
      <c r="F3727" s="50"/>
    </row>
    <row r="3728" spans="6:6" hidden="1" x14ac:dyDescent="0.2">
      <c r="F3728" s="50"/>
    </row>
    <row r="3729" spans="6:6" hidden="1" x14ac:dyDescent="0.2">
      <c r="F3729" s="50"/>
    </row>
    <row r="3730" spans="6:6" hidden="1" x14ac:dyDescent="0.2">
      <c r="F3730" s="50"/>
    </row>
    <row r="3731" spans="6:6" hidden="1" x14ac:dyDescent="0.2">
      <c r="F3731" s="50"/>
    </row>
    <row r="3736" spans="6:6" hidden="1" x14ac:dyDescent="0.2">
      <c r="F3736" s="50"/>
    </row>
    <row r="3737" spans="6:6" hidden="1" x14ac:dyDescent="0.2">
      <c r="F3737" s="50"/>
    </row>
    <row r="3739" spans="6:6" hidden="1" x14ac:dyDescent="0.2">
      <c r="F3739" s="50"/>
    </row>
    <row r="3740" spans="6:6" hidden="1" x14ac:dyDescent="0.2">
      <c r="F3740" s="50"/>
    </row>
    <row r="3741" spans="6:6" hidden="1" x14ac:dyDescent="0.2">
      <c r="F3741" s="50"/>
    </row>
    <row r="3742" spans="6:6" hidden="1" x14ac:dyDescent="0.2">
      <c r="F3742" s="50"/>
    </row>
    <row r="3743" spans="6:6" hidden="1" x14ac:dyDescent="0.2">
      <c r="F3743" s="50"/>
    </row>
    <row r="3744" spans="6:6" hidden="1" x14ac:dyDescent="0.2">
      <c r="F3744" s="50"/>
    </row>
    <row r="3745" spans="6:6" hidden="1" x14ac:dyDescent="0.2">
      <c r="F3745" s="50"/>
    </row>
    <row r="3746" spans="6:6" hidden="1" x14ac:dyDescent="0.2">
      <c r="F3746" s="50"/>
    </row>
    <row r="3747" spans="6:6" hidden="1" x14ac:dyDescent="0.2">
      <c r="F3747" s="50"/>
    </row>
    <row r="3748" spans="6:6" hidden="1" x14ac:dyDescent="0.2">
      <c r="F3748" s="50"/>
    </row>
    <row r="3751" spans="6:6" hidden="1" x14ac:dyDescent="0.2">
      <c r="F3751" s="50"/>
    </row>
    <row r="3752" spans="6:6" hidden="1" x14ac:dyDescent="0.2">
      <c r="F3752" s="50"/>
    </row>
    <row r="3754" spans="6:6" hidden="1" x14ac:dyDescent="0.2">
      <c r="F3754" s="50"/>
    </row>
    <row r="3755" spans="6:6" hidden="1" x14ac:dyDescent="0.2">
      <c r="F3755" s="50"/>
    </row>
    <row r="3756" spans="6:6" hidden="1" x14ac:dyDescent="0.2">
      <c r="F3756" s="50"/>
    </row>
    <row r="3757" spans="6:6" hidden="1" x14ac:dyDescent="0.2">
      <c r="F3757" s="50"/>
    </row>
    <row r="3758" spans="6:6" hidden="1" x14ac:dyDescent="0.2">
      <c r="F3758" s="50"/>
    </row>
    <row r="3759" spans="6:6" hidden="1" x14ac:dyDescent="0.2">
      <c r="F3759" s="50"/>
    </row>
    <row r="3760" spans="6:6" hidden="1" x14ac:dyDescent="0.2">
      <c r="F3760" s="50"/>
    </row>
    <row r="3767" spans="6:6" hidden="1" x14ac:dyDescent="0.2">
      <c r="F3767" s="50"/>
    </row>
    <row r="3769" spans="6:6" hidden="1" x14ac:dyDescent="0.2">
      <c r="F3769" s="50"/>
    </row>
    <row r="3770" spans="6:6" hidden="1" x14ac:dyDescent="0.2">
      <c r="F3770" s="50"/>
    </row>
    <row r="3771" spans="6:6" hidden="1" x14ac:dyDescent="0.2">
      <c r="F3771" s="50"/>
    </row>
    <row r="3772" spans="6:6" hidden="1" x14ac:dyDescent="0.2">
      <c r="F3772" s="50"/>
    </row>
    <row r="3773" spans="6:6" hidden="1" x14ac:dyDescent="0.2">
      <c r="F3773" s="50"/>
    </row>
    <row r="3774" spans="6:6" hidden="1" x14ac:dyDescent="0.2">
      <c r="F3774" s="50"/>
    </row>
    <row r="3775" spans="6:6" hidden="1" x14ac:dyDescent="0.2">
      <c r="F3775" s="50"/>
    </row>
    <row r="3777" spans="6:6" hidden="1" x14ac:dyDescent="0.2">
      <c r="F3777" s="50"/>
    </row>
    <row r="3778" spans="6:6" hidden="1" x14ac:dyDescent="0.2">
      <c r="F3778" s="50"/>
    </row>
    <row r="3782" spans="6:6" hidden="1" x14ac:dyDescent="0.2">
      <c r="F3782" s="50"/>
    </row>
    <row r="3784" spans="6:6" hidden="1" x14ac:dyDescent="0.2">
      <c r="F3784" s="50"/>
    </row>
    <row r="3787" spans="6:6" hidden="1" x14ac:dyDescent="0.2">
      <c r="F3787" s="50"/>
    </row>
    <row r="3788" spans="6:6" hidden="1" x14ac:dyDescent="0.2">
      <c r="F3788" s="50"/>
    </row>
    <row r="3790" spans="6:6" hidden="1" x14ac:dyDescent="0.2">
      <c r="F3790" s="50"/>
    </row>
    <row r="3791" spans="6:6" hidden="1" x14ac:dyDescent="0.2">
      <c r="F3791" s="50"/>
    </row>
    <row r="3793" spans="6:6" hidden="1" x14ac:dyDescent="0.2">
      <c r="F3793" s="50"/>
    </row>
    <row r="3796" spans="6:6" hidden="1" x14ac:dyDescent="0.2">
      <c r="F3796" s="50"/>
    </row>
    <row r="3797" spans="6:6" hidden="1" x14ac:dyDescent="0.2">
      <c r="F3797" s="50"/>
    </row>
    <row r="3798" spans="6:6" hidden="1" x14ac:dyDescent="0.2">
      <c r="F3798" s="50"/>
    </row>
    <row r="3799" spans="6:6" hidden="1" x14ac:dyDescent="0.2">
      <c r="F3799" s="50"/>
    </row>
    <row r="3800" spans="6:6" hidden="1" x14ac:dyDescent="0.2">
      <c r="F3800" s="50"/>
    </row>
    <row r="3801" spans="6:6" hidden="1" x14ac:dyDescent="0.2">
      <c r="F3801" s="50"/>
    </row>
    <row r="3802" spans="6:6" hidden="1" x14ac:dyDescent="0.2">
      <c r="F3802" s="50"/>
    </row>
    <row r="3803" spans="6:6" hidden="1" x14ac:dyDescent="0.2">
      <c r="F3803" s="50"/>
    </row>
    <row r="3804" spans="6:6" hidden="1" x14ac:dyDescent="0.2">
      <c r="F3804" s="50"/>
    </row>
    <row r="3805" spans="6:6" hidden="1" x14ac:dyDescent="0.2">
      <c r="F3805" s="50"/>
    </row>
    <row r="3806" spans="6:6" hidden="1" x14ac:dyDescent="0.2">
      <c r="F3806" s="50"/>
    </row>
    <row r="3829" spans="1:6" hidden="1" x14ac:dyDescent="0.2">
      <c r="F3829" s="50"/>
    </row>
    <row r="3830" spans="1:6" hidden="1" x14ac:dyDescent="0.2">
      <c r="F3830" s="50"/>
    </row>
    <row r="3831" spans="1:6" hidden="1" x14ac:dyDescent="0.2">
      <c r="F3831" s="50"/>
    </row>
    <row r="3832" spans="1:6" hidden="1" x14ac:dyDescent="0.2">
      <c r="A3832" s="60"/>
      <c r="C3832" s="60"/>
    </row>
    <row r="3836" spans="1:6" hidden="1" x14ac:dyDescent="0.2">
      <c r="F3836" s="50"/>
    </row>
    <row r="3837" spans="1:6" hidden="1" x14ac:dyDescent="0.2">
      <c r="F3837" s="50"/>
    </row>
    <row r="3841" spans="6:6" hidden="1" x14ac:dyDescent="0.2">
      <c r="F3841" s="50"/>
    </row>
    <row r="3842" spans="6:6" hidden="1" x14ac:dyDescent="0.2">
      <c r="F3842" s="50"/>
    </row>
    <row r="3843" spans="6:6" hidden="1" x14ac:dyDescent="0.2">
      <c r="F3843" s="50"/>
    </row>
    <row r="3851" spans="6:6" hidden="1" x14ac:dyDescent="0.2">
      <c r="F3851" s="50"/>
    </row>
    <row r="3864" spans="6:6" hidden="1" x14ac:dyDescent="0.2">
      <c r="F3864" s="50"/>
    </row>
    <row r="3884" spans="6:6" hidden="1" x14ac:dyDescent="0.2">
      <c r="F3884" s="50"/>
    </row>
    <row r="3888" spans="6:6" hidden="1" x14ac:dyDescent="0.2">
      <c r="F3888" s="50"/>
    </row>
    <row r="3889" spans="6:6" hidden="1" x14ac:dyDescent="0.2">
      <c r="F3889" s="50"/>
    </row>
    <row r="3890" spans="6:6" hidden="1" x14ac:dyDescent="0.2">
      <c r="F3890" s="50"/>
    </row>
  </sheetData>
  <autoFilter ref="A2:H3882" xr:uid="{00000000-0001-0000-0200-000000000000}"/>
  <conditionalFormatting sqref="J1:Z1">
    <cfRule type="expression" dxfId="50" priority="16">
      <formula>$J1&lt;&gt;""</formula>
    </cfRule>
  </conditionalFormatting>
  <conditionalFormatting sqref="J1:N1">
    <cfRule type="expression" dxfId="49" priority="14">
      <formula>$N1="NAY"</formula>
    </cfRule>
    <cfRule type="expression" dxfId="48" priority="15">
      <formula>$N1="LATECS"</formula>
    </cfRule>
    <cfRule type="expression" dxfId="47" priority="17">
      <formula>$N1="MUST"</formula>
    </cfRule>
    <cfRule type="expression" dxfId="46" priority="18">
      <formula>$N1="DUE"</formula>
    </cfRule>
    <cfRule type="expression" dxfId="45" priority="19">
      <formula>$N1="LATE"</formula>
    </cfRule>
  </conditionalFormatting>
  <conditionalFormatting sqref="B1:I1 A11:I200 A9:F10 H9:I10 A3:I8">
    <cfRule type="expression" dxfId="44" priority="13">
      <formula>$A1&lt;&gt;""</formula>
    </cfRule>
  </conditionalFormatting>
  <conditionalFormatting sqref="J3:Z200">
    <cfRule type="expression" dxfId="43" priority="8">
      <formula>$J3&lt;&gt;""</formula>
    </cfRule>
  </conditionalFormatting>
  <conditionalFormatting sqref="J3:N200">
    <cfRule type="expression" dxfId="42" priority="6">
      <formula>$N3="NAY"</formula>
    </cfRule>
    <cfRule type="expression" dxfId="41" priority="7">
      <formula>$N3="LATECS"</formula>
    </cfRule>
    <cfRule type="expression" dxfId="40" priority="9">
      <formula>$N3="MUST"</formula>
    </cfRule>
    <cfRule type="expression" dxfId="39" priority="10">
      <formula>$N3="DUE"</formula>
    </cfRule>
    <cfRule type="expression" dxfId="38" priority="11">
      <formula>$N3="LATE"</formula>
    </cfRule>
  </conditionalFormatting>
  <conditionalFormatting sqref="A3:A200">
    <cfRule type="duplicateValues" dxfId="37" priority="5"/>
  </conditionalFormatting>
  <conditionalFormatting sqref="G10">
    <cfRule type="expression" dxfId="36" priority="20">
      <formula>$A9&lt;&gt;""</formula>
    </cfRule>
  </conditionalFormatting>
  <conditionalFormatting sqref="A1">
    <cfRule type="expression" dxfId="35" priority="4">
      <formula>$A1&lt;&gt;""</formula>
    </cfRule>
  </conditionalFormatting>
  <conditionalFormatting sqref="C4">
    <cfRule type="duplicateValues" dxfId="34" priority="3"/>
  </conditionalFormatting>
  <conditionalFormatting sqref="C3">
    <cfRule type="duplicateValues" dxfId="33" priority="2"/>
  </conditionalFormatting>
  <conditionalFormatting sqref="E3:G3">
    <cfRule type="duplicateValues" dxfId="32" priority="1"/>
  </conditionalFormatting>
  <dataValidations count="1">
    <dataValidation type="list" allowBlank="1" showInputMessage="1" showErrorMessage="1" errorTitle="Sai giá trị" error="Chỉ nhận giá trị &quot;AN&quot;  or &quot;SL&quot;" sqref="I3:I53" xr:uid="{880705E9-F4E2-4B4B-9035-B86845823E4C}">
      <formula1>"AN,SL"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28B3-C112-468E-B4EF-0421B432B43B}">
  <sheetPr codeName="Sheet13">
    <tabColor rgb="FFC00000"/>
  </sheetPr>
  <dimension ref="A1:AB3890"/>
  <sheetViews>
    <sheetView showGridLines="0" showZeros="0" topLeftCell="E1" zoomScaleNormal="100" workbookViewId="0">
      <pane ySplit="3" topLeftCell="A73" activePane="bottomLeft" state="frozen"/>
      <selection activeCell="D23" sqref="D23"/>
      <selection pane="bottomLeft" activeCell="K77" sqref="K77"/>
    </sheetView>
  </sheetViews>
  <sheetFormatPr defaultColWidth="0" defaultRowHeight="14.25" zeroHeight="1" x14ac:dyDescent="0.2"/>
  <cols>
    <col min="1" max="1" width="17" customWidth="1"/>
    <col min="2" max="2" width="16.75" style="50" customWidth="1"/>
    <col min="3" max="3" width="17.375" customWidth="1"/>
    <col min="4" max="4" width="16.25" style="50" bestFit="1" customWidth="1"/>
    <col min="5" max="5" width="11.875" bestFit="1" customWidth="1"/>
    <col min="6" max="6" width="13.875" customWidth="1"/>
    <col min="7" max="7" width="12.625" bestFit="1" customWidth="1"/>
    <col min="8" max="8" width="14.25" style="56" customWidth="1"/>
    <col min="9" max="9" width="11.875" style="93" bestFit="1" customWidth="1"/>
    <col min="10" max="10" width="16.75" customWidth="1"/>
    <col min="11" max="11" width="11.25" customWidth="1"/>
    <col min="12" max="12" width="9.625" bestFit="1" customWidth="1"/>
    <col min="13" max="13" width="5.375" bestFit="1" customWidth="1"/>
    <col min="14" max="14" width="12.625" customWidth="1"/>
    <col min="15" max="15" width="7.875" bestFit="1" customWidth="1"/>
    <col min="16" max="16" width="2" bestFit="1" customWidth="1"/>
    <col min="17" max="17" width="2.375" bestFit="1" customWidth="1"/>
    <col min="18" max="18" width="2" bestFit="1" customWidth="1"/>
    <col min="19" max="19" width="2.125" bestFit="1" customWidth="1"/>
    <col min="20" max="20" width="9.625" customWidth="1"/>
    <col min="21" max="22" width="2.125" bestFit="1" customWidth="1"/>
    <col min="23" max="23" width="2.375" bestFit="1" customWidth="1"/>
    <col min="24" max="25" width="2" bestFit="1" customWidth="1"/>
    <col min="26" max="26" width="2.375" bestFit="1" customWidth="1"/>
    <col min="27" max="27" width="1" customWidth="1"/>
    <col min="28" max="28" width="0" hidden="1" customWidth="1"/>
    <col min="29" max="16384" width="9.125" hidden="1"/>
  </cols>
  <sheetData>
    <row r="1" spans="1:28" ht="30" customHeight="1" x14ac:dyDescent="0.2">
      <c r="A1" s="56"/>
      <c r="H1"/>
      <c r="T1" s="84"/>
      <c r="U1" s="84"/>
      <c r="V1" s="84"/>
      <c r="W1" s="84"/>
      <c r="X1" s="84"/>
      <c r="Y1" s="84"/>
      <c r="Z1" s="84"/>
    </row>
    <row r="2" spans="1:28" ht="19.5" customHeight="1" x14ac:dyDescent="0.2">
      <c r="A2" s="3" t="s">
        <v>170</v>
      </c>
      <c r="B2" s="49" t="s">
        <v>0</v>
      </c>
      <c r="C2" s="3" t="s">
        <v>1</v>
      </c>
      <c r="D2" s="49" t="s">
        <v>2</v>
      </c>
      <c r="E2" s="3" t="s">
        <v>3</v>
      </c>
      <c r="F2" s="3" t="s">
        <v>4</v>
      </c>
      <c r="G2" s="3" t="s">
        <v>5</v>
      </c>
      <c r="H2" s="57" t="s">
        <v>6</v>
      </c>
      <c r="J2" s="82" t="s">
        <v>147</v>
      </c>
      <c r="K2" s="85" t="s">
        <v>148</v>
      </c>
      <c r="L2" s="82" t="s">
        <v>165</v>
      </c>
      <c r="M2" s="82" t="s">
        <v>52</v>
      </c>
      <c r="N2" s="82" t="s">
        <v>164</v>
      </c>
      <c r="O2" s="83" t="s">
        <v>182</v>
      </c>
      <c r="P2" s="83" t="s">
        <v>15</v>
      </c>
      <c r="Q2" s="83" t="s">
        <v>8</v>
      </c>
      <c r="R2" s="83" t="s">
        <v>9</v>
      </c>
      <c r="S2" s="83" t="s">
        <v>16</v>
      </c>
      <c r="T2" s="83" t="s">
        <v>183</v>
      </c>
      <c r="U2" s="83" t="s">
        <v>51</v>
      </c>
      <c r="V2" s="83" t="s">
        <v>149</v>
      </c>
      <c r="W2" s="83" t="s">
        <v>150</v>
      </c>
      <c r="X2" s="83" t="s">
        <v>50</v>
      </c>
      <c r="Y2" s="83" t="s">
        <v>151</v>
      </c>
      <c r="Z2" s="83" t="s">
        <v>152</v>
      </c>
    </row>
    <row r="3" spans="1:28" s="90" customFormat="1" x14ac:dyDescent="0.2">
      <c r="A3" s="56"/>
      <c r="B3" s="50"/>
      <c r="C3" s="56"/>
      <c r="D3" s="50"/>
      <c r="E3"/>
      <c r="F3"/>
      <c r="G3"/>
      <c r="H3"/>
      <c r="I3" s="93"/>
      <c r="J3"/>
      <c r="K3"/>
      <c r="L3"/>
      <c r="M3"/>
      <c r="N3"/>
      <c r="O3"/>
      <c r="P3"/>
      <c r="Q3"/>
      <c r="R3"/>
      <c r="S3"/>
      <c r="T3" s="84"/>
      <c r="U3" s="84"/>
      <c r="V3" s="84"/>
      <c r="W3" s="84"/>
      <c r="X3" s="84"/>
      <c r="Y3" s="84"/>
      <c r="Z3" s="84"/>
      <c r="AA3"/>
      <c r="AB3"/>
    </row>
    <row r="4" spans="1:28" x14ac:dyDescent="0.2">
      <c r="A4" s="56"/>
      <c r="C4" s="56"/>
      <c r="E4" s="56"/>
      <c r="F4" s="56"/>
      <c r="G4" s="56"/>
      <c r="T4" s="84"/>
      <c r="U4" s="84"/>
      <c r="V4" s="84"/>
      <c r="W4" s="84"/>
      <c r="X4" s="84"/>
      <c r="Y4" s="84"/>
      <c r="Z4" s="84"/>
    </row>
    <row r="5" spans="1:28" x14ac:dyDescent="0.2">
      <c r="A5" s="56"/>
      <c r="C5" s="56"/>
      <c r="H5"/>
      <c r="T5" s="84"/>
      <c r="U5" s="84"/>
      <c r="V5" s="84"/>
      <c r="W5" s="84"/>
      <c r="X5" s="84"/>
      <c r="Y5" s="84"/>
      <c r="Z5" s="84"/>
    </row>
    <row r="6" spans="1:28" x14ac:dyDescent="0.2">
      <c r="A6" s="56"/>
      <c r="H6"/>
      <c r="T6" s="84"/>
      <c r="U6" s="84"/>
      <c r="V6" s="84"/>
      <c r="W6" s="84"/>
      <c r="X6" s="84"/>
      <c r="Y6" s="84"/>
      <c r="Z6" s="84"/>
    </row>
    <row r="7" spans="1:28" x14ac:dyDescent="0.2">
      <c r="A7" s="56"/>
      <c r="C7" s="56"/>
      <c r="H7"/>
      <c r="T7" s="84"/>
      <c r="U7" s="84"/>
      <c r="V7" s="84"/>
      <c r="W7" s="84"/>
      <c r="X7" s="84"/>
      <c r="Y7" s="84"/>
      <c r="Z7" s="84"/>
    </row>
    <row r="8" spans="1:28" x14ac:dyDescent="0.2">
      <c r="A8" s="56"/>
      <c r="H8"/>
      <c r="T8" s="84"/>
      <c r="U8" s="84"/>
      <c r="V8" s="84"/>
      <c r="W8" s="84"/>
      <c r="X8" s="84"/>
      <c r="Y8" s="84"/>
      <c r="Z8" s="84"/>
    </row>
    <row r="9" spans="1:28" x14ac:dyDescent="0.2">
      <c r="A9" s="56"/>
      <c r="H9"/>
      <c r="T9" s="84"/>
      <c r="U9" s="84"/>
      <c r="V9" s="84"/>
      <c r="W9" s="84"/>
      <c r="X9" s="84"/>
      <c r="Y9" s="84"/>
      <c r="Z9" s="84"/>
    </row>
    <row r="10" spans="1:28" x14ac:dyDescent="0.2">
      <c r="A10" s="56"/>
      <c r="H10"/>
      <c r="T10" s="84"/>
      <c r="U10" s="84"/>
      <c r="V10" s="84"/>
      <c r="W10" s="84"/>
      <c r="X10" s="84"/>
      <c r="Y10" s="84"/>
      <c r="Z10" s="84"/>
    </row>
    <row r="11" spans="1:28" x14ac:dyDescent="0.2">
      <c r="A11" s="56"/>
      <c r="D11" s="50" t="s">
        <v>1067</v>
      </c>
      <c r="H11"/>
      <c r="T11" s="84"/>
      <c r="U11" s="84"/>
      <c r="V11" s="84"/>
      <c r="W11" s="84"/>
      <c r="X11" s="84"/>
      <c r="Y11" s="84"/>
      <c r="Z11" s="84"/>
    </row>
    <row r="12" spans="1:28" x14ac:dyDescent="0.2">
      <c r="A12" s="56"/>
      <c r="H12"/>
      <c r="T12" s="84"/>
      <c r="U12" s="84"/>
      <c r="V12" s="84"/>
      <c r="W12" s="84"/>
      <c r="X12" s="84"/>
      <c r="Y12" s="84"/>
      <c r="Z12" s="84"/>
    </row>
    <row r="13" spans="1:28" x14ac:dyDescent="0.2">
      <c r="A13" s="56"/>
      <c r="H13"/>
      <c r="T13" s="84"/>
      <c r="U13" s="84"/>
      <c r="V13" s="84"/>
      <c r="W13" s="84"/>
      <c r="X13" s="84"/>
      <c r="Y13" s="84"/>
      <c r="Z13" s="84"/>
    </row>
    <row r="14" spans="1:28" ht="13.5" customHeight="1" x14ac:dyDescent="0.2">
      <c r="A14" s="56"/>
      <c r="H14"/>
      <c r="T14" s="84"/>
      <c r="U14" s="84"/>
      <c r="V14" s="84"/>
      <c r="W14" s="84"/>
      <c r="X14" s="84"/>
      <c r="Y14" s="84"/>
      <c r="Z14" s="84"/>
    </row>
    <row r="15" spans="1:28" ht="13.5" customHeight="1" x14ac:dyDescent="0.2">
      <c r="A15" s="56"/>
      <c r="H15"/>
      <c r="T15" s="84"/>
      <c r="U15" s="84"/>
      <c r="V15" s="84"/>
      <c r="W15" s="84"/>
      <c r="X15" s="84"/>
      <c r="Y15" s="84"/>
      <c r="Z15" s="84"/>
    </row>
    <row r="16" spans="1:28" ht="13.5" customHeight="1" x14ac:dyDescent="0.2">
      <c r="A16" s="56"/>
      <c r="H16"/>
      <c r="T16" s="84"/>
      <c r="U16" s="84"/>
      <c r="V16" s="84"/>
      <c r="W16" s="84"/>
      <c r="X16" s="84"/>
      <c r="Y16" s="84"/>
      <c r="Z16" s="84"/>
    </row>
    <row r="17" spans="1:26" x14ac:dyDescent="0.2">
      <c r="A17" s="56"/>
      <c r="H17"/>
      <c r="T17" s="84"/>
      <c r="U17" s="84"/>
      <c r="V17" s="84"/>
      <c r="W17" s="84"/>
      <c r="X17" s="84"/>
      <c r="Y17" s="84"/>
      <c r="Z17" s="84"/>
    </row>
    <row r="18" spans="1:26" x14ac:dyDescent="0.2">
      <c r="A18" s="56"/>
      <c r="H18"/>
      <c r="T18" s="84"/>
      <c r="U18" s="84"/>
      <c r="V18" s="84"/>
      <c r="W18" s="84"/>
      <c r="X18" s="84"/>
      <c r="Y18" s="84"/>
      <c r="Z18" s="84"/>
    </row>
    <row r="19" spans="1:26" x14ac:dyDescent="0.2">
      <c r="A19" s="56"/>
      <c r="H19"/>
      <c r="T19" s="84"/>
      <c r="U19" s="84"/>
      <c r="V19" s="84"/>
      <c r="W19" s="84"/>
      <c r="X19" s="84"/>
      <c r="Y19" s="84"/>
      <c r="Z19" s="84"/>
    </row>
    <row r="20" spans="1:26" x14ac:dyDescent="0.2">
      <c r="A20" s="56"/>
      <c r="H20"/>
      <c r="T20" s="84"/>
      <c r="U20" s="84"/>
      <c r="V20" s="84"/>
      <c r="W20" s="84"/>
      <c r="X20" s="84"/>
      <c r="Y20" s="84"/>
      <c r="Z20" s="84"/>
    </row>
    <row r="21" spans="1:26" x14ac:dyDescent="0.2">
      <c r="A21" s="56"/>
      <c r="H21"/>
      <c r="T21" s="84"/>
      <c r="U21" s="84"/>
      <c r="V21" s="84"/>
      <c r="W21" s="84"/>
      <c r="X21" s="84"/>
      <c r="Y21" s="84"/>
      <c r="Z21" s="84"/>
    </row>
    <row r="22" spans="1:26" x14ac:dyDescent="0.2">
      <c r="A22" s="56"/>
      <c r="H22"/>
      <c r="T22" s="84"/>
      <c r="U22" s="84"/>
      <c r="V22" s="84"/>
      <c r="W22" s="84"/>
      <c r="X22" s="84"/>
      <c r="Y22" s="84"/>
      <c r="Z22" s="84"/>
    </row>
    <row r="23" spans="1:26" x14ac:dyDescent="0.2">
      <c r="A23" s="56"/>
      <c r="H23"/>
      <c r="T23" s="84"/>
      <c r="U23" s="84"/>
      <c r="V23" s="84"/>
      <c r="W23" s="84"/>
      <c r="X23" s="84"/>
      <c r="Y23" s="84"/>
      <c r="Z23" s="84"/>
    </row>
    <row r="24" spans="1:26" x14ac:dyDescent="0.2">
      <c r="A24" s="56"/>
      <c r="H24"/>
      <c r="T24" s="84"/>
      <c r="U24" s="84"/>
      <c r="V24" s="84"/>
      <c r="W24" s="84"/>
      <c r="X24" s="84"/>
      <c r="Y24" s="84"/>
      <c r="Z24" s="84"/>
    </row>
    <row r="25" spans="1:26" ht="14.25" customHeight="1" x14ac:dyDescent="0.2">
      <c r="A25" s="56"/>
      <c r="H25"/>
      <c r="T25" s="84"/>
      <c r="U25" s="84"/>
      <c r="V25" s="84"/>
      <c r="W25" s="84"/>
      <c r="X25" s="84"/>
      <c r="Y25" s="84"/>
      <c r="Z25" s="84"/>
    </row>
    <row r="26" spans="1:26" x14ac:dyDescent="0.2">
      <c r="A26" s="56"/>
      <c r="H26"/>
      <c r="T26" s="84"/>
      <c r="U26" s="84"/>
      <c r="V26" s="84"/>
      <c r="W26" s="84"/>
      <c r="X26" s="84"/>
      <c r="Y26" s="84"/>
      <c r="Z26" s="84"/>
    </row>
    <row r="27" spans="1:26" x14ac:dyDescent="0.2">
      <c r="A27" s="56"/>
      <c r="H27"/>
      <c r="T27" s="84"/>
      <c r="U27" s="84"/>
      <c r="V27" s="84"/>
      <c r="W27" s="84"/>
      <c r="X27" s="84"/>
      <c r="Y27" s="84"/>
      <c r="Z27" s="84"/>
    </row>
    <row r="28" spans="1:26" x14ac:dyDescent="0.2">
      <c r="A28" s="56"/>
      <c r="H28"/>
      <c r="T28" s="84"/>
      <c r="U28" s="84"/>
      <c r="V28" s="84"/>
      <c r="W28" s="84"/>
      <c r="X28" s="84"/>
      <c r="Y28" s="84"/>
      <c r="Z28" s="84"/>
    </row>
    <row r="29" spans="1:26" x14ac:dyDescent="0.2">
      <c r="A29" s="56"/>
      <c r="H29"/>
      <c r="T29" s="84"/>
      <c r="U29" s="84"/>
      <c r="V29" s="84"/>
      <c r="W29" s="84"/>
      <c r="X29" s="84"/>
      <c r="Y29" s="84"/>
      <c r="Z29" s="84"/>
    </row>
    <row r="30" spans="1:26" x14ac:dyDescent="0.2">
      <c r="A30" s="56"/>
      <c r="H30"/>
      <c r="T30" s="84"/>
      <c r="U30" s="84"/>
      <c r="V30" s="84"/>
      <c r="W30" s="84"/>
      <c r="X30" s="84"/>
      <c r="Y30" s="84"/>
      <c r="Z30" s="84"/>
    </row>
    <row r="31" spans="1:26" x14ac:dyDescent="0.2">
      <c r="A31" s="56"/>
      <c r="H31"/>
      <c r="T31" s="84"/>
      <c r="U31" s="84"/>
      <c r="V31" s="84"/>
      <c r="W31" s="84"/>
      <c r="X31" s="84"/>
      <c r="Y31" s="84"/>
      <c r="Z31" s="84"/>
    </row>
    <row r="32" spans="1:26" x14ac:dyDescent="0.2">
      <c r="A32" s="56"/>
      <c r="H32"/>
      <c r="T32" s="84"/>
      <c r="U32" s="84"/>
      <c r="V32" s="84"/>
      <c r="W32" s="84"/>
      <c r="X32" s="84"/>
      <c r="Y32" s="84"/>
      <c r="Z32" s="84"/>
    </row>
    <row r="33" spans="1:26" x14ac:dyDescent="0.2">
      <c r="A33" s="56"/>
      <c r="H33"/>
      <c r="T33" s="84"/>
      <c r="U33" s="84"/>
      <c r="V33" s="84"/>
      <c r="W33" s="84"/>
      <c r="X33" s="84"/>
      <c r="Y33" s="84"/>
      <c r="Z33" s="84"/>
    </row>
    <row r="34" spans="1:26" x14ac:dyDescent="0.2">
      <c r="A34" s="56"/>
      <c r="H34"/>
      <c r="T34" s="84"/>
      <c r="U34" s="84"/>
      <c r="V34" s="84"/>
      <c r="W34" s="84"/>
      <c r="X34" s="84"/>
      <c r="Y34" s="84"/>
      <c r="Z34" s="84"/>
    </row>
    <row r="35" spans="1:26" x14ac:dyDescent="0.2">
      <c r="A35" s="56"/>
      <c r="H35"/>
      <c r="T35" s="84"/>
      <c r="U35" s="84"/>
      <c r="V35" s="84"/>
      <c r="W35" s="84"/>
      <c r="X35" s="84"/>
      <c r="Y35" s="84"/>
      <c r="Z35" s="84"/>
    </row>
    <row r="36" spans="1:26" x14ac:dyDescent="0.2">
      <c r="A36" s="56"/>
      <c r="H36"/>
      <c r="T36" s="84"/>
      <c r="U36" s="84"/>
      <c r="V36" s="84"/>
      <c r="W36" s="84"/>
      <c r="X36" s="84"/>
      <c r="Y36" s="84"/>
      <c r="Z36" s="84"/>
    </row>
    <row r="37" spans="1:26" x14ac:dyDescent="0.2">
      <c r="A37" s="56"/>
      <c r="H37"/>
      <c r="T37" s="84"/>
      <c r="U37" s="84"/>
      <c r="V37" s="84"/>
      <c r="W37" s="84"/>
      <c r="X37" s="84"/>
      <c r="Y37" s="84"/>
      <c r="Z37" s="84"/>
    </row>
    <row r="38" spans="1:26" x14ac:dyDescent="0.2">
      <c r="A38" s="56"/>
      <c r="H38"/>
      <c r="T38" s="84"/>
      <c r="U38" s="84"/>
      <c r="V38" s="84"/>
      <c r="W38" s="84"/>
      <c r="X38" s="84"/>
      <c r="Y38" s="84"/>
      <c r="Z38" s="84"/>
    </row>
    <row r="39" spans="1:26" x14ac:dyDescent="0.2">
      <c r="A39" s="56"/>
      <c r="H39"/>
      <c r="T39" s="84"/>
      <c r="U39" s="84"/>
      <c r="V39" s="84"/>
      <c r="W39" s="84"/>
      <c r="X39" s="84"/>
      <c r="Y39" s="84"/>
      <c r="Z39" s="84"/>
    </row>
    <row r="40" spans="1:26" x14ac:dyDescent="0.2">
      <c r="A40" s="56"/>
      <c r="H40"/>
      <c r="T40" s="84"/>
      <c r="U40" s="84"/>
      <c r="V40" s="84"/>
      <c r="W40" s="84"/>
      <c r="X40" s="84"/>
      <c r="Y40" s="84"/>
      <c r="Z40" s="84"/>
    </row>
    <row r="41" spans="1:26" x14ac:dyDescent="0.2">
      <c r="A41" s="56"/>
      <c r="H41"/>
      <c r="T41" s="84"/>
      <c r="U41" s="84"/>
      <c r="V41" s="84"/>
      <c r="W41" s="84"/>
      <c r="X41" s="84"/>
      <c r="Y41" s="84"/>
      <c r="Z41" s="84"/>
    </row>
    <row r="42" spans="1:26" x14ac:dyDescent="0.2">
      <c r="A42" s="56"/>
      <c r="H42"/>
      <c r="T42" s="84"/>
      <c r="U42" s="84"/>
      <c r="V42" s="84"/>
      <c r="W42" s="84"/>
      <c r="X42" s="84"/>
      <c r="Y42" s="84"/>
      <c r="Z42" s="84"/>
    </row>
    <row r="43" spans="1:26" x14ac:dyDescent="0.2">
      <c r="A43" s="56"/>
      <c r="H43"/>
      <c r="T43" s="84"/>
      <c r="U43" s="84"/>
      <c r="V43" s="84"/>
      <c r="W43" s="84"/>
      <c r="X43" s="84"/>
      <c r="Y43" s="84"/>
      <c r="Z43" s="84"/>
    </row>
    <row r="44" spans="1:26" x14ac:dyDescent="0.2">
      <c r="A44" s="56"/>
      <c r="H44"/>
      <c r="T44" s="84"/>
      <c r="U44" s="84"/>
      <c r="V44" s="84"/>
      <c r="W44" s="84"/>
      <c r="X44" s="84"/>
      <c r="Y44" s="84"/>
      <c r="Z44" s="84"/>
    </row>
    <row r="45" spans="1:26" x14ac:dyDescent="0.2">
      <c r="A45" s="56"/>
      <c r="H45"/>
      <c r="T45" s="84"/>
      <c r="U45" s="84"/>
      <c r="V45" s="84"/>
      <c r="W45" s="84"/>
      <c r="X45" s="84"/>
      <c r="Y45" s="84"/>
      <c r="Z45" s="84"/>
    </row>
    <row r="46" spans="1:26" x14ac:dyDescent="0.2">
      <c r="A46" s="56"/>
      <c r="H46"/>
      <c r="T46" s="84"/>
      <c r="U46" s="84"/>
      <c r="V46" s="84"/>
      <c r="W46" s="84"/>
      <c r="X46" s="84"/>
      <c r="Y46" s="84"/>
      <c r="Z46" s="84"/>
    </row>
    <row r="47" spans="1:26" x14ac:dyDescent="0.2">
      <c r="A47" s="56"/>
      <c r="H47"/>
      <c r="T47" s="84"/>
      <c r="U47" s="84"/>
      <c r="V47" s="84"/>
      <c r="W47" s="84"/>
      <c r="X47" s="84"/>
      <c r="Y47" s="84"/>
      <c r="Z47" s="84"/>
    </row>
    <row r="48" spans="1:26" x14ac:dyDescent="0.2">
      <c r="A48" s="56"/>
      <c r="H48"/>
      <c r="T48" s="84"/>
      <c r="U48" s="84"/>
      <c r="V48" s="84"/>
      <c r="W48" s="84"/>
      <c r="X48" s="84"/>
      <c r="Y48" s="84"/>
      <c r="Z48" s="84"/>
    </row>
    <row r="49" spans="1:26" x14ac:dyDescent="0.2">
      <c r="A49" s="56"/>
      <c r="H49"/>
      <c r="T49" s="84"/>
      <c r="U49" s="84"/>
      <c r="V49" s="84"/>
      <c r="W49" s="84"/>
      <c r="X49" s="84"/>
      <c r="Y49" s="84"/>
      <c r="Z49" s="84"/>
    </row>
    <row r="50" spans="1:26" x14ac:dyDescent="0.2">
      <c r="A50" s="56"/>
      <c r="H50"/>
      <c r="T50" s="84"/>
      <c r="U50" s="84"/>
      <c r="V50" s="84"/>
      <c r="W50" s="84"/>
      <c r="X50" s="84"/>
      <c r="Y50" s="84"/>
      <c r="Z50" s="84"/>
    </row>
    <row r="51" spans="1:26" x14ac:dyDescent="0.2">
      <c r="A51" s="56"/>
      <c r="H51"/>
      <c r="T51" s="84"/>
      <c r="U51" s="84"/>
      <c r="V51" s="84"/>
      <c r="W51" s="84"/>
      <c r="X51" s="84"/>
      <c r="Y51" s="84"/>
      <c r="Z51" s="84"/>
    </row>
    <row r="52" spans="1:26" x14ac:dyDescent="0.2">
      <c r="A52" s="56"/>
      <c r="H52"/>
      <c r="T52" s="84"/>
      <c r="U52" s="84"/>
      <c r="V52" s="84"/>
      <c r="W52" s="84"/>
      <c r="X52" s="84"/>
      <c r="Y52" s="84"/>
      <c r="Z52" s="84"/>
    </row>
    <row r="53" spans="1:26" x14ac:dyDescent="0.2">
      <c r="A53" s="56"/>
      <c r="H53"/>
      <c r="T53" s="84"/>
      <c r="U53" s="84"/>
      <c r="V53" s="84"/>
      <c r="W53" s="84"/>
      <c r="X53" s="84"/>
      <c r="Y53" s="84"/>
      <c r="Z53" s="84"/>
    </row>
    <row r="54" spans="1:26" x14ac:dyDescent="0.2">
      <c r="A54" s="56"/>
      <c r="H54"/>
      <c r="T54" s="84"/>
      <c r="U54" s="84"/>
      <c r="V54" s="84"/>
      <c r="W54" s="84"/>
      <c r="X54" s="84"/>
      <c r="Y54" s="84"/>
      <c r="Z54" s="84"/>
    </row>
    <row r="55" spans="1:26" x14ac:dyDescent="0.2">
      <c r="A55" s="56"/>
      <c r="H55"/>
      <c r="T55" s="84"/>
      <c r="U55" s="84"/>
      <c r="V55" s="84"/>
      <c r="W55" s="84"/>
      <c r="X55" s="84"/>
      <c r="Y55" s="84"/>
      <c r="Z55" s="84"/>
    </row>
    <row r="56" spans="1:26" x14ac:dyDescent="0.2">
      <c r="A56" s="56"/>
      <c r="H56"/>
      <c r="T56" s="84"/>
      <c r="U56" s="84"/>
      <c r="V56" s="84"/>
      <c r="W56" s="84"/>
      <c r="X56" s="84"/>
      <c r="Y56" s="84"/>
      <c r="Z56" s="84"/>
    </row>
    <row r="57" spans="1:26" x14ac:dyDescent="0.2">
      <c r="A57" s="56"/>
      <c r="H57"/>
      <c r="T57" s="84"/>
      <c r="U57" s="84"/>
      <c r="V57" s="84"/>
      <c r="W57" s="84"/>
      <c r="X57" s="84"/>
      <c r="Y57" s="84"/>
      <c r="Z57" s="84"/>
    </row>
    <row r="58" spans="1:26" x14ac:dyDescent="0.2">
      <c r="A58" s="56"/>
      <c r="H58"/>
      <c r="T58" s="84"/>
      <c r="U58" s="84"/>
      <c r="V58" s="84"/>
      <c r="W58" s="84"/>
      <c r="X58" s="84"/>
      <c r="Y58" s="84"/>
      <c r="Z58" s="84"/>
    </row>
    <row r="59" spans="1:26" x14ac:dyDescent="0.2">
      <c r="A59" s="56"/>
      <c r="H59"/>
      <c r="T59" s="84"/>
      <c r="U59" s="84"/>
      <c r="V59" s="84"/>
      <c r="W59" s="84"/>
      <c r="X59" s="84"/>
      <c r="Y59" s="84"/>
      <c r="Z59" s="84"/>
    </row>
    <row r="60" spans="1:26" x14ac:dyDescent="0.2">
      <c r="A60" s="56"/>
      <c r="H60"/>
      <c r="T60" s="84"/>
      <c r="U60" s="84"/>
      <c r="V60" s="84"/>
      <c r="W60" s="84"/>
      <c r="X60" s="84"/>
      <c r="Y60" s="84"/>
      <c r="Z60" s="84"/>
    </row>
    <row r="61" spans="1:26" x14ac:dyDescent="0.2">
      <c r="A61" s="56"/>
      <c r="H61"/>
      <c r="T61" s="84"/>
      <c r="U61" s="84"/>
      <c r="V61" s="84"/>
      <c r="W61" s="84"/>
      <c r="X61" s="84"/>
      <c r="Y61" s="84"/>
      <c r="Z61" s="84"/>
    </row>
    <row r="62" spans="1:26" x14ac:dyDescent="0.2">
      <c r="A62" s="56"/>
      <c r="H62"/>
      <c r="T62" s="84"/>
      <c r="U62" s="84"/>
      <c r="V62" s="84"/>
      <c r="W62" s="84"/>
      <c r="X62" s="84"/>
      <c r="Y62" s="84"/>
      <c r="Z62" s="84"/>
    </row>
    <row r="63" spans="1:26" x14ac:dyDescent="0.2">
      <c r="A63" s="56"/>
      <c r="H63"/>
      <c r="T63" s="84"/>
      <c r="U63" s="84"/>
      <c r="V63" s="84"/>
      <c r="W63" s="84"/>
      <c r="X63" s="84"/>
      <c r="Y63" s="84"/>
      <c r="Z63" s="84"/>
    </row>
    <row r="64" spans="1:26" x14ac:dyDescent="0.2">
      <c r="A64" s="56"/>
      <c r="H64"/>
      <c r="T64" s="84"/>
      <c r="U64" s="84"/>
      <c r="V64" s="84"/>
      <c r="W64" s="84"/>
      <c r="X64" s="84"/>
      <c r="Y64" s="84"/>
      <c r="Z64" s="84"/>
    </row>
    <row r="65" spans="1:26" x14ac:dyDescent="0.2">
      <c r="A65" s="56"/>
      <c r="H65"/>
      <c r="T65" s="84"/>
      <c r="U65" s="84"/>
      <c r="V65" s="84"/>
      <c r="W65" s="84"/>
      <c r="X65" s="84"/>
      <c r="Y65" s="84"/>
      <c r="Z65" s="84"/>
    </row>
    <row r="66" spans="1:26" x14ac:dyDescent="0.2">
      <c r="A66" s="56"/>
      <c r="H66"/>
      <c r="T66" s="84"/>
      <c r="U66" s="84"/>
      <c r="V66" s="84"/>
      <c r="W66" s="84"/>
      <c r="X66" s="84"/>
      <c r="Y66" s="84"/>
      <c r="Z66" s="84"/>
    </row>
    <row r="67" spans="1:26" x14ac:dyDescent="0.2">
      <c r="A67" s="56"/>
      <c r="H67"/>
      <c r="T67" s="84"/>
      <c r="U67" s="84"/>
      <c r="V67" s="84"/>
      <c r="W67" s="84"/>
      <c r="X67" s="84"/>
      <c r="Y67" s="84"/>
      <c r="Z67" s="84"/>
    </row>
    <row r="68" spans="1:26" x14ac:dyDescent="0.2">
      <c r="A68" s="56"/>
      <c r="H68"/>
      <c r="T68" s="84"/>
      <c r="U68" s="84"/>
      <c r="V68" s="84"/>
      <c r="W68" s="84"/>
      <c r="X68" s="84"/>
      <c r="Y68" s="84"/>
      <c r="Z68" s="84"/>
    </row>
    <row r="69" spans="1:26" x14ac:dyDescent="0.2">
      <c r="A69" s="56"/>
      <c r="H69"/>
      <c r="T69" s="84"/>
      <c r="U69" s="84"/>
      <c r="V69" s="84"/>
      <c r="W69" s="84"/>
      <c r="X69" s="84"/>
      <c r="Y69" s="84"/>
      <c r="Z69" s="84"/>
    </row>
    <row r="70" spans="1:26" x14ac:dyDescent="0.2">
      <c r="A70" s="56"/>
      <c r="H70"/>
      <c r="T70" s="84"/>
      <c r="U70" s="84"/>
      <c r="V70" s="84"/>
      <c r="W70" s="84"/>
      <c r="X70" s="84"/>
      <c r="Y70" s="84"/>
      <c r="Z70" s="84"/>
    </row>
    <row r="71" spans="1:26" x14ac:dyDescent="0.2">
      <c r="A71" s="56"/>
      <c r="H71"/>
      <c r="T71" s="84"/>
      <c r="U71" s="84"/>
      <c r="V71" s="84"/>
      <c r="W71" s="84"/>
      <c r="X71" s="84"/>
      <c r="Y71" s="84"/>
      <c r="Z71" s="84"/>
    </row>
    <row r="72" spans="1:26" x14ac:dyDescent="0.2">
      <c r="A72" s="56"/>
      <c r="H72"/>
      <c r="T72" s="84"/>
      <c r="U72" s="84"/>
      <c r="V72" s="84"/>
      <c r="W72" s="84"/>
      <c r="X72" s="84"/>
      <c r="Y72" s="84"/>
      <c r="Z72" s="84"/>
    </row>
    <row r="73" spans="1:26" x14ac:dyDescent="0.2">
      <c r="A73" s="56"/>
      <c r="H73"/>
      <c r="T73" s="84"/>
      <c r="U73" s="84"/>
      <c r="V73" s="84"/>
      <c r="W73" s="84"/>
      <c r="X73" s="84"/>
      <c r="Y73" s="84"/>
      <c r="Z73" s="84"/>
    </row>
    <row r="74" spans="1:26" x14ac:dyDescent="0.2">
      <c r="A74" s="56"/>
      <c r="H74"/>
      <c r="T74" s="84"/>
      <c r="U74" s="84"/>
      <c r="V74" s="84"/>
      <c r="W74" s="84"/>
      <c r="X74" s="84"/>
      <c r="Y74" s="84"/>
      <c r="Z74" s="84"/>
    </row>
    <row r="75" spans="1:26" x14ac:dyDescent="0.2">
      <c r="A75" s="56"/>
      <c r="H75"/>
      <c r="T75" s="84"/>
      <c r="U75" s="84"/>
      <c r="V75" s="84"/>
      <c r="W75" s="84"/>
      <c r="X75" s="84"/>
      <c r="Y75" s="84"/>
      <c r="Z75" s="84"/>
    </row>
    <row r="76" spans="1:26" x14ac:dyDescent="0.2">
      <c r="A76" s="56"/>
      <c r="H76"/>
      <c r="T76" s="84"/>
      <c r="U76" s="84"/>
      <c r="V76" s="84"/>
      <c r="W76" s="84"/>
      <c r="X76" s="84"/>
      <c r="Y76" s="84"/>
      <c r="Z76" s="84"/>
    </row>
    <row r="77" spans="1:26" x14ac:dyDescent="0.2">
      <c r="A77" s="56"/>
      <c r="H77"/>
      <c r="T77" s="84"/>
      <c r="U77" s="84"/>
      <c r="V77" s="84"/>
      <c r="W77" s="84"/>
      <c r="X77" s="84"/>
      <c r="Y77" s="84"/>
      <c r="Z77" s="84"/>
    </row>
    <row r="78" spans="1:26" x14ac:dyDescent="0.2">
      <c r="A78" s="56"/>
      <c r="H78"/>
      <c r="T78" s="84"/>
      <c r="U78" s="84"/>
      <c r="V78" s="84"/>
      <c r="W78" s="84"/>
      <c r="X78" s="84"/>
      <c r="Y78" s="84"/>
      <c r="Z78" s="84"/>
    </row>
    <row r="79" spans="1:26" x14ac:dyDescent="0.2">
      <c r="A79" s="56"/>
      <c r="H79"/>
      <c r="T79" s="84"/>
      <c r="U79" s="84"/>
      <c r="V79" s="84"/>
      <c r="W79" s="84"/>
      <c r="X79" s="84"/>
      <c r="Y79" s="84"/>
      <c r="Z79" s="84"/>
    </row>
    <row r="80" spans="1:26" x14ac:dyDescent="0.2">
      <c r="A80" s="56"/>
      <c r="H80"/>
      <c r="T80" s="84"/>
      <c r="U80" s="84"/>
      <c r="V80" s="84"/>
      <c r="W80" s="84"/>
      <c r="X80" s="84"/>
      <c r="Y80" s="84"/>
      <c r="Z80" s="84"/>
    </row>
    <row r="81" spans="1:26" x14ac:dyDescent="0.2">
      <c r="A81" s="56"/>
      <c r="H81"/>
      <c r="T81" s="84"/>
      <c r="U81" s="84"/>
      <c r="V81" s="84"/>
      <c r="W81" s="84"/>
      <c r="X81" s="84"/>
      <c r="Y81" s="84"/>
      <c r="Z81" s="84"/>
    </row>
    <row r="82" spans="1:26" x14ac:dyDescent="0.2">
      <c r="A82" s="56"/>
      <c r="H82"/>
      <c r="T82" s="84"/>
      <c r="U82" s="84"/>
      <c r="V82" s="84"/>
      <c r="W82" s="84"/>
      <c r="X82" s="84"/>
      <c r="Y82" s="84"/>
      <c r="Z82" s="84"/>
    </row>
    <row r="83" spans="1:26" x14ac:dyDescent="0.2">
      <c r="A83" s="56"/>
      <c r="H83"/>
      <c r="T83" s="84"/>
      <c r="U83" s="84"/>
      <c r="V83" s="84"/>
      <c r="W83" s="84"/>
      <c r="X83" s="84"/>
      <c r="Y83" s="84"/>
      <c r="Z83" s="84"/>
    </row>
    <row r="84" spans="1:26" x14ac:dyDescent="0.2">
      <c r="A84" s="56"/>
      <c r="H84"/>
      <c r="T84" s="84"/>
      <c r="U84" s="84"/>
      <c r="V84" s="84"/>
      <c r="W84" s="84"/>
      <c r="X84" s="84"/>
      <c r="Y84" s="84"/>
      <c r="Z84" s="84"/>
    </row>
    <row r="85" spans="1:26" x14ac:dyDescent="0.2">
      <c r="A85" s="56"/>
      <c r="H85"/>
      <c r="T85" s="84"/>
      <c r="U85" s="84"/>
      <c r="V85" s="84"/>
      <c r="W85" s="84"/>
      <c r="X85" s="84"/>
      <c r="Y85" s="84"/>
      <c r="Z85" s="84"/>
    </row>
    <row r="86" spans="1:26" x14ac:dyDescent="0.2">
      <c r="A86" s="56"/>
      <c r="H86"/>
      <c r="T86" s="84"/>
      <c r="U86" s="84"/>
      <c r="V86" s="84"/>
      <c r="W86" s="84"/>
      <c r="X86" s="84"/>
      <c r="Y86" s="84"/>
      <c r="Z86" s="84"/>
    </row>
    <row r="87" spans="1:26" x14ac:dyDescent="0.2">
      <c r="A87" s="56"/>
      <c r="H87"/>
      <c r="T87" s="84"/>
      <c r="U87" s="84"/>
      <c r="V87" s="84"/>
      <c r="W87" s="84"/>
      <c r="X87" s="84"/>
      <c r="Y87" s="84"/>
      <c r="Z87" s="84"/>
    </row>
    <row r="88" spans="1:26" x14ac:dyDescent="0.2">
      <c r="A88" s="56"/>
      <c r="H88"/>
      <c r="T88" s="84"/>
      <c r="U88" s="84"/>
      <c r="V88" s="84"/>
      <c r="W88" s="84"/>
      <c r="X88" s="84"/>
      <c r="Y88" s="84"/>
      <c r="Z88" s="84"/>
    </row>
    <row r="89" spans="1:26" x14ac:dyDescent="0.2">
      <c r="A89" s="56"/>
      <c r="H89"/>
      <c r="T89" s="84"/>
      <c r="U89" s="84"/>
      <c r="V89" s="84"/>
      <c r="W89" s="84"/>
      <c r="X89" s="84"/>
      <c r="Y89" s="84"/>
      <c r="Z89" s="84"/>
    </row>
    <row r="90" spans="1:26" x14ac:dyDescent="0.2">
      <c r="A90" s="56"/>
      <c r="H90"/>
      <c r="T90" s="84"/>
      <c r="U90" s="84"/>
      <c r="V90" s="84"/>
      <c r="W90" s="84"/>
      <c r="X90" s="84"/>
      <c r="Y90" s="84"/>
      <c r="Z90" s="84"/>
    </row>
    <row r="91" spans="1:26" x14ac:dyDescent="0.2">
      <c r="A91" s="56"/>
      <c r="H91"/>
      <c r="T91" s="84"/>
      <c r="U91" s="84"/>
      <c r="V91" s="84"/>
      <c r="W91" s="84"/>
      <c r="X91" s="84"/>
      <c r="Y91" s="84"/>
      <c r="Z91" s="84"/>
    </row>
    <row r="92" spans="1:26" x14ac:dyDescent="0.2">
      <c r="A92" s="56"/>
      <c r="H92"/>
      <c r="T92" s="84"/>
      <c r="U92" s="84"/>
      <c r="V92" s="84"/>
      <c r="W92" s="84"/>
      <c r="X92" s="84"/>
      <c r="Y92" s="84"/>
      <c r="Z92" s="84"/>
    </row>
    <row r="93" spans="1:26" x14ac:dyDescent="0.2">
      <c r="A93" s="56"/>
      <c r="H93"/>
      <c r="T93" s="84"/>
      <c r="U93" s="84"/>
      <c r="V93" s="84"/>
      <c r="W93" s="84"/>
      <c r="X93" s="84"/>
      <c r="Y93" s="84"/>
      <c r="Z93" s="84"/>
    </row>
    <row r="94" spans="1:26" x14ac:dyDescent="0.2">
      <c r="A94" s="56"/>
      <c r="H94"/>
      <c r="T94" s="84"/>
      <c r="U94" s="84"/>
      <c r="V94" s="84"/>
      <c r="W94" s="84"/>
      <c r="X94" s="84"/>
      <c r="Y94" s="84"/>
      <c r="Z94" s="84"/>
    </row>
    <row r="95" spans="1:26" x14ac:dyDescent="0.2">
      <c r="A95" s="56"/>
      <c r="H95"/>
      <c r="T95" s="84"/>
      <c r="U95" s="84"/>
      <c r="V95" s="84"/>
      <c r="W95" s="84"/>
      <c r="X95" s="84"/>
      <c r="Y95" s="84"/>
      <c r="Z95" s="84"/>
    </row>
    <row r="96" spans="1:26" x14ac:dyDescent="0.2">
      <c r="A96" s="56"/>
      <c r="H96"/>
      <c r="T96" s="84"/>
      <c r="U96" s="84"/>
      <c r="V96" s="84"/>
      <c r="W96" s="84"/>
      <c r="X96" s="84"/>
      <c r="Y96" s="84"/>
      <c r="Z96" s="84"/>
    </row>
    <row r="97" spans="1:26" x14ac:dyDescent="0.2">
      <c r="A97" s="56"/>
      <c r="H97"/>
      <c r="T97" s="84"/>
      <c r="U97" s="84"/>
      <c r="V97" s="84"/>
      <c r="W97" s="84"/>
      <c r="X97" s="84"/>
      <c r="Y97" s="84"/>
      <c r="Z97" s="84"/>
    </row>
    <row r="98" spans="1:26" x14ac:dyDescent="0.2">
      <c r="A98" s="56"/>
      <c r="H98"/>
      <c r="T98" s="84"/>
      <c r="U98" s="84"/>
      <c r="V98" s="84"/>
      <c r="W98" s="84"/>
      <c r="X98" s="84"/>
      <c r="Y98" s="84"/>
      <c r="Z98" s="84"/>
    </row>
    <row r="99" spans="1:26" x14ac:dyDescent="0.2">
      <c r="A99" s="56"/>
      <c r="H99"/>
      <c r="T99" s="84"/>
      <c r="U99" s="84"/>
      <c r="V99" s="84"/>
      <c r="W99" s="84"/>
      <c r="X99" s="84"/>
      <c r="Y99" s="84"/>
      <c r="Z99" s="84"/>
    </row>
    <row r="100" spans="1:26" x14ac:dyDescent="0.2">
      <c r="A100" s="56"/>
      <c r="H100"/>
      <c r="T100" s="84"/>
      <c r="U100" s="84"/>
      <c r="V100" s="84"/>
      <c r="W100" s="84"/>
      <c r="X100" s="84"/>
      <c r="Y100" s="84"/>
      <c r="Z100" s="84"/>
    </row>
    <row r="101" spans="1:26" hidden="1" x14ac:dyDescent="0.2">
      <c r="A101" s="56"/>
      <c r="H101"/>
      <c r="T101" s="84"/>
      <c r="U101" s="84"/>
      <c r="V101" s="84"/>
      <c r="W101" s="84"/>
      <c r="X101" s="84"/>
      <c r="Y101" s="84"/>
      <c r="Z101" s="84"/>
    </row>
    <row r="102" spans="1:26" hidden="1" x14ac:dyDescent="0.2">
      <c r="A102" s="56"/>
      <c r="H102"/>
      <c r="T102" s="84"/>
      <c r="U102" s="84"/>
      <c r="V102" s="84"/>
      <c r="W102" s="84"/>
      <c r="X102" s="84"/>
      <c r="Y102" s="84"/>
      <c r="Z102" s="84"/>
    </row>
    <row r="103" spans="1:26" hidden="1" x14ac:dyDescent="0.2">
      <c r="A103" s="56"/>
      <c r="H103"/>
      <c r="T103" s="84"/>
      <c r="U103" s="84"/>
      <c r="V103" s="84"/>
      <c r="W103" s="84"/>
      <c r="X103" s="84"/>
      <c r="Y103" s="84"/>
      <c r="Z103" s="84"/>
    </row>
    <row r="104" spans="1:26" hidden="1" x14ac:dyDescent="0.2">
      <c r="A104" s="56"/>
      <c r="H104"/>
      <c r="T104" s="84"/>
      <c r="U104" s="84"/>
      <c r="V104" s="84"/>
      <c r="W104" s="84"/>
      <c r="X104" s="84"/>
      <c r="Y104" s="84"/>
      <c r="Z104" s="84"/>
    </row>
    <row r="105" spans="1:26" hidden="1" x14ac:dyDescent="0.2">
      <c r="A105" s="56"/>
      <c r="H105"/>
      <c r="T105" s="84"/>
      <c r="U105" s="84"/>
      <c r="V105" s="84"/>
      <c r="W105" s="84"/>
      <c r="X105" s="84"/>
      <c r="Y105" s="84"/>
      <c r="Z105" s="84"/>
    </row>
    <row r="106" spans="1:26" hidden="1" x14ac:dyDescent="0.2">
      <c r="A106" s="56"/>
      <c r="H106"/>
      <c r="T106" s="84"/>
      <c r="U106" s="84"/>
      <c r="V106" s="84"/>
      <c r="W106" s="84"/>
      <c r="X106" s="84"/>
      <c r="Y106" s="84"/>
      <c r="Z106" s="84"/>
    </row>
    <row r="107" spans="1:26" hidden="1" x14ac:dyDescent="0.2">
      <c r="A107" s="56"/>
      <c r="H107"/>
      <c r="T107" s="84"/>
      <c r="U107" s="84"/>
      <c r="V107" s="84"/>
      <c r="W107" s="84"/>
      <c r="X107" s="84"/>
      <c r="Y107" s="84"/>
      <c r="Z107" s="84"/>
    </row>
    <row r="108" spans="1:26" hidden="1" x14ac:dyDescent="0.2">
      <c r="A108" s="56"/>
      <c r="H108"/>
      <c r="T108" s="84"/>
      <c r="U108" s="84"/>
      <c r="V108" s="84"/>
      <c r="W108" s="84"/>
      <c r="X108" s="84"/>
      <c r="Y108" s="84"/>
      <c r="Z108" s="84"/>
    </row>
    <row r="109" spans="1:26" hidden="1" x14ac:dyDescent="0.2">
      <c r="A109" s="56"/>
      <c r="H109"/>
      <c r="T109" s="84"/>
      <c r="U109" s="84"/>
      <c r="V109" s="84"/>
      <c r="W109" s="84"/>
      <c r="X109" s="84"/>
      <c r="Y109" s="84"/>
      <c r="Z109" s="84"/>
    </row>
    <row r="110" spans="1:26" hidden="1" x14ac:dyDescent="0.2">
      <c r="A110" s="56"/>
      <c r="H110"/>
      <c r="T110" s="84"/>
      <c r="U110" s="84"/>
      <c r="V110" s="84"/>
      <c r="W110" s="84"/>
      <c r="X110" s="84"/>
      <c r="Y110" s="84"/>
      <c r="Z110" s="84"/>
    </row>
    <row r="111" spans="1:26" hidden="1" x14ac:dyDescent="0.2">
      <c r="A111" s="56"/>
      <c r="H111"/>
      <c r="T111" s="84"/>
      <c r="U111" s="84"/>
      <c r="V111" s="84"/>
      <c r="W111" s="84"/>
      <c r="X111" s="84"/>
      <c r="Y111" s="84"/>
      <c r="Z111" s="84"/>
    </row>
    <row r="112" spans="1:26" hidden="1" x14ac:dyDescent="0.2">
      <c r="A112" s="56"/>
      <c r="H112"/>
      <c r="T112" s="84"/>
      <c r="U112" s="84"/>
      <c r="V112" s="84"/>
      <c r="W112" s="84"/>
      <c r="X112" s="84"/>
      <c r="Y112" s="84"/>
      <c r="Z112" s="84"/>
    </row>
    <row r="113" spans="1:26" hidden="1" x14ac:dyDescent="0.2">
      <c r="A113" s="56"/>
      <c r="H113"/>
      <c r="T113" s="84"/>
      <c r="U113" s="84"/>
      <c r="V113" s="84"/>
      <c r="W113" s="84"/>
      <c r="X113" s="84"/>
      <c r="Y113" s="84"/>
      <c r="Z113" s="84"/>
    </row>
    <row r="114" spans="1:26" hidden="1" x14ac:dyDescent="0.2">
      <c r="A114" s="56"/>
      <c r="H114"/>
      <c r="T114" s="84"/>
      <c r="U114" s="84"/>
      <c r="V114" s="84"/>
      <c r="W114" s="84"/>
      <c r="X114" s="84"/>
      <c r="Y114" s="84"/>
      <c r="Z114" s="84"/>
    </row>
    <row r="115" spans="1:26" hidden="1" x14ac:dyDescent="0.2">
      <c r="A115" s="56"/>
      <c r="H115"/>
      <c r="T115" s="84"/>
      <c r="U115" s="84"/>
      <c r="V115" s="84"/>
      <c r="W115" s="84"/>
      <c r="X115" s="84"/>
      <c r="Y115" s="84"/>
      <c r="Z115" s="84"/>
    </row>
    <row r="116" spans="1:26" hidden="1" x14ac:dyDescent="0.2">
      <c r="A116" s="56"/>
      <c r="H116"/>
      <c r="T116" s="84"/>
      <c r="U116" s="84"/>
      <c r="V116" s="84"/>
      <c r="W116" s="84"/>
      <c r="X116" s="84"/>
      <c r="Y116" s="84"/>
      <c r="Z116" s="84"/>
    </row>
    <row r="117" spans="1:26" hidden="1" x14ac:dyDescent="0.2">
      <c r="A117" s="56"/>
      <c r="H117"/>
      <c r="T117" s="84"/>
      <c r="U117" s="84"/>
      <c r="V117" s="84"/>
      <c r="W117" s="84"/>
      <c r="X117" s="84"/>
      <c r="Y117" s="84"/>
      <c r="Z117" s="84"/>
    </row>
    <row r="118" spans="1:26" hidden="1" x14ac:dyDescent="0.2">
      <c r="A118" s="56"/>
      <c r="H118"/>
      <c r="T118" s="84"/>
      <c r="U118" s="84"/>
      <c r="V118" s="84"/>
      <c r="W118" s="84"/>
      <c r="X118" s="84"/>
      <c r="Y118" s="84"/>
      <c r="Z118" s="84"/>
    </row>
    <row r="119" spans="1:26" hidden="1" x14ac:dyDescent="0.2">
      <c r="A119" s="56"/>
      <c r="H119"/>
      <c r="T119" s="84"/>
      <c r="U119" s="84"/>
      <c r="V119" s="84"/>
      <c r="W119" s="84"/>
      <c r="X119" s="84"/>
      <c r="Y119" s="84"/>
      <c r="Z119" s="84"/>
    </row>
    <row r="120" spans="1:26" hidden="1" x14ac:dyDescent="0.2">
      <c r="A120" s="56"/>
      <c r="H120"/>
      <c r="T120" s="84"/>
      <c r="U120" s="84"/>
      <c r="V120" s="84"/>
      <c r="W120" s="84"/>
      <c r="X120" s="84"/>
      <c r="Y120" s="84"/>
      <c r="Z120" s="84"/>
    </row>
    <row r="121" spans="1:26" hidden="1" x14ac:dyDescent="0.2">
      <c r="A121" s="56"/>
      <c r="H121"/>
      <c r="T121" s="84"/>
      <c r="U121" s="84"/>
      <c r="V121" s="84"/>
      <c r="W121" s="84"/>
      <c r="X121" s="84"/>
      <c r="Y121" s="84"/>
      <c r="Z121" s="84"/>
    </row>
    <row r="122" spans="1:26" hidden="1" x14ac:dyDescent="0.2">
      <c r="A122" s="56"/>
      <c r="H122"/>
      <c r="T122" s="84"/>
      <c r="U122" s="84"/>
      <c r="V122" s="84"/>
      <c r="W122" s="84"/>
      <c r="X122" s="84"/>
      <c r="Y122" s="84"/>
      <c r="Z122" s="84"/>
    </row>
    <row r="123" spans="1:26" hidden="1" x14ac:dyDescent="0.2">
      <c r="A123" s="56"/>
      <c r="H123"/>
      <c r="T123" s="84"/>
      <c r="U123" s="84"/>
      <c r="V123" s="84"/>
      <c r="W123" s="84"/>
      <c r="X123" s="84"/>
      <c r="Y123" s="84"/>
      <c r="Z123" s="84"/>
    </row>
    <row r="124" spans="1:26" hidden="1" x14ac:dyDescent="0.2">
      <c r="A124" s="56"/>
      <c r="H124"/>
      <c r="T124" s="84"/>
      <c r="U124" s="84"/>
      <c r="V124" s="84"/>
      <c r="W124" s="84"/>
      <c r="X124" s="84"/>
      <c r="Y124" s="84"/>
      <c r="Z124" s="84"/>
    </row>
    <row r="125" spans="1:26" hidden="1" x14ac:dyDescent="0.2">
      <c r="A125" s="56"/>
      <c r="H125"/>
      <c r="T125" s="84"/>
      <c r="U125" s="84"/>
      <c r="V125" s="84"/>
      <c r="W125" s="84"/>
      <c r="X125" s="84"/>
      <c r="Y125" s="84"/>
      <c r="Z125" s="84"/>
    </row>
    <row r="126" spans="1:26" hidden="1" x14ac:dyDescent="0.2">
      <c r="A126" s="56"/>
      <c r="H126"/>
      <c r="T126" s="84"/>
      <c r="U126" s="84"/>
      <c r="V126" s="84"/>
      <c r="W126" s="84"/>
      <c r="X126" s="84"/>
      <c r="Y126" s="84"/>
      <c r="Z126" s="84"/>
    </row>
    <row r="127" spans="1:26" hidden="1" x14ac:dyDescent="0.2">
      <c r="A127" s="56"/>
      <c r="H127"/>
      <c r="T127" s="84"/>
      <c r="U127" s="84"/>
      <c r="V127" s="84"/>
      <c r="W127" s="84"/>
      <c r="X127" s="84"/>
      <c r="Y127" s="84"/>
      <c r="Z127" s="84"/>
    </row>
    <row r="128" spans="1:26" hidden="1" x14ac:dyDescent="0.2">
      <c r="A128" s="56"/>
      <c r="H128"/>
      <c r="T128" s="84"/>
      <c r="U128" s="84"/>
      <c r="V128" s="84"/>
      <c r="W128" s="84"/>
      <c r="X128" s="84"/>
      <c r="Y128" s="84"/>
      <c r="Z128" s="84"/>
    </row>
    <row r="129" spans="1:26" hidden="1" x14ac:dyDescent="0.2">
      <c r="A129" s="56"/>
      <c r="H129"/>
      <c r="T129" s="84"/>
      <c r="U129" s="84"/>
      <c r="V129" s="84"/>
      <c r="W129" s="84"/>
      <c r="X129" s="84"/>
      <c r="Y129" s="84"/>
      <c r="Z129" s="84"/>
    </row>
    <row r="130" spans="1:26" hidden="1" x14ac:dyDescent="0.2">
      <c r="A130" s="56"/>
      <c r="H130"/>
      <c r="T130" s="84"/>
      <c r="U130" s="84"/>
      <c r="V130" s="84"/>
      <c r="W130" s="84"/>
      <c r="X130" s="84"/>
      <c r="Y130" s="84"/>
      <c r="Z130" s="84"/>
    </row>
    <row r="131" spans="1:26" hidden="1" x14ac:dyDescent="0.2">
      <c r="A131" s="56"/>
      <c r="H131"/>
      <c r="T131" s="84"/>
      <c r="U131" s="84"/>
      <c r="V131" s="84"/>
      <c r="W131" s="84"/>
      <c r="X131" s="84"/>
      <c r="Y131" s="84"/>
      <c r="Z131" s="84"/>
    </row>
    <row r="132" spans="1:26" hidden="1" x14ac:dyDescent="0.2">
      <c r="A132" s="56"/>
      <c r="H132"/>
      <c r="T132" s="84"/>
      <c r="U132" s="84"/>
      <c r="V132" s="84"/>
      <c r="W132" s="84"/>
      <c r="X132" s="84"/>
      <c r="Y132" s="84"/>
      <c r="Z132" s="84"/>
    </row>
    <row r="133" spans="1:26" hidden="1" x14ac:dyDescent="0.2">
      <c r="A133" s="56"/>
      <c r="H133"/>
      <c r="T133" s="84"/>
      <c r="U133" s="84"/>
      <c r="V133" s="84"/>
      <c r="W133" s="84"/>
      <c r="X133" s="84"/>
      <c r="Y133" s="84"/>
      <c r="Z133" s="84"/>
    </row>
    <row r="134" spans="1:26" hidden="1" x14ac:dyDescent="0.2">
      <c r="A134" s="56"/>
      <c r="H134"/>
      <c r="T134" s="84"/>
      <c r="U134" s="84"/>
      <c r="V134" s="84"/>
      <c r="W134" s="84"/>
      <c r="X134" s="84"/>
      <c r="Y134" s="84"/>
      <c r="Z134" s="84"/>
    </row>
    <row r="135" spans="1:26" hidden="1" x14ac:dyDescent="0.2">
      <c r="A135" s="56"/>
      <c r="H135"/>
      <c r="T135" s="84"/>
      <c r="U135" s="84"/>
      <c r="V135" s="84"/>
      <c r="W135" s="84"/>
      <c r="X135" s="84"/>
      <c r="Y135" s="84"/>
      <c r="Z135" s="84"/>
    </row>
    <row r="136" spans="1:26" hidden="1" x14ac:dyDescent="0.2">
      <c r="A136" s="56"/>
      <c r="H136"/>
      <c r="T136" s="84"/>
      <c r="U136" s="84"/>
      <c r="V136" s="84"/>
      <c r="W136" s="84"/>
      <c r="X136" s="84"/>
      <c r="Y136" s="84"/>
      <c r="Z136" s="84"/>
    </row>
    <row r="137" spans="1:26" hidden="1" x14ac:dyDescent="0.2">
      <c r="A137" s="56"/>
      <c r="H137"/>
      <c r="T137" s="84"/>
      <c r="U137" s="84"/>
      <c r="V137" s="84"/>
      <c r="W137" s="84"/>
      <c r="X137" s="84"/>
      <c r="Y137" s="84"/>
      <c r="Z137" s="84"/>
    </row>
    <row r="138" spans="1:26" hidden="1" x14ac:dyDescent="0.2">
      <c r="A138" s="56"/>
      <c r="H138"/>
      <c r="T138" s="84"/>
      <c r="U138" s="84"/>
      <c r="V138" s="84"/>
      <c r="W138" s="84"/>
      <c r="X138" s="84"/>
      <c r="Y138" s="84"/>
      <c r="Z138" s="84"/>
    </row>
    <row r="139" spans="1:26" hidden="1" x14ac:dyDescent="0.2">
      <c r="A139" s="56"/>
      <c r="H139"/>
      <c r="T139" s="84"/>
      <c r="U139" s="84"/>
      <c r="V139" s="84"/>
      <c r="W139" s="84"/>
      <c r="X139" s="84"/>
      <c r="Y139" s="84"/>
      <c r="Z139" s="84"/>
    </row>
    <row r="140" spans="1:26" hidden="1" x14ac:dyDescent="0.2">
      <c r="A140" s="56"/>
      <c r="H140"/>
      <c r="T140" s="84"/>
      <c r="U140" s="84"/>
      <c r="V140" s="84"/>
      <c r="W140" s="84"/>
      <c r="X140" s="84"/>
      <c r="Y140" s="84"/>
      <c r="Z140" s="84"/>
    </row>
    <row r="141" spans="1:26" hidden="1" x14ac:dyDescent="0.2">
      <c r="A141" s="56"/>
      <c r="H141"/>
      <c r="T141" s="84"/>
      <c r="U141" s="84"/>
      <c r="V141" s="84"/>
      <c r="W141" s="84"/>
      <c r="X141" s="84"/>
      <c r="Y141" s="84"/>
      <c r="Z141" s="84"/>
    </row>
    <row r="142" spans="1:26" hidden="1" x14ac:dyDescent="0.2">
      <c r="A142" s="56"/>
      <c r="H142"/>
      <c r="T142" s="84"/>
      <c r="U142" s="84"/>
      <c r="V142" s="84"/>
      <c r="W142" s="84"/>
      <c r="X142" s="84"/>
      <c r="Y142" s="84"/>
      <c r="Z142" s="84"/>
    </row>
    <row r="143" spans="1:26" hidden="1" x14ac:dyDescent="0.2">
      <c r="A143" s="56"/>
      <c r="H143"/>
      <c r="T143" s="84"/>
      <c r="U143" s="84"/>
      <c r="V143" s="84"/>
      <c r="W143" s="84"/>
      <c r="X143" s="84"/>
      <c r="Y143" s="84"/>
      <c r="Z143" s="84"/>
    </row>
    <row r="144" spans="1:26" hidden="1" x14ac:dyDescent="0.2">
      <c r="A144" s="56"/>
      <c r="H144"/>
      <c r="T144" s="84"/>
      <c r="U144" s="84"/>
      <c r="V144" s="84"/>
      <c r="W144" s="84"/>
      <c r="X144" s="84"/>
      <c r="Y144" s="84"/>
      <c r="Z144" s="84"/>
    </row>
    <row r="145" spans="1:26" hidden="1" x14ac:dyDescent="0.2">
      <c r="A145" s="56"/>
      <c r="H145"/>
      <c r="T145" s="84"/>
      <c r="U145" s="84"/>
      <c r="V145" s="84"/>
      <c r="W145" s="84"/>
      <c r="X145" s="84"/>
      <c r="Y145" s="84"/>
      <c r="Z145" s="84"/>
    </row>
    <row r="146" spans="1:26" hidden="1" x14ac:dyDescent="0.2">
      <c r="A146" s="56"/>
      <c r="H146"/>
      <c r="T146" s="84"/>
      <c r="U146" s="84"/>
      <c r="V146" s="84"/>
      <c r="W146" s="84"/>
      <c r="X146" s="84"/>
      <c r="Y146" s="84"/>
      <c r="Z146" s="84"/>
    </row>
    <row r="147" spans="1:26" hidden="1" x14ac:dyDescent="0.2">
      <c r="A147" s="56"/>
      <c r="H147"/>
      <c r="T147" s="84"/>
      <c r="U147" s="84"/>
      <c r="V147" s="84"/>
      <c r="W147" s="84"/>
      <c r="X147" s="84"/>
      <c r="Y147" s="84"/>
      <c r="Z147" s="84"/>
    </row>
    <row r="148" spans="1:26" hidden="1" x14ac:dyDescent="0.2">
      <c r="A148" s="56"/>
      <c r="H148"/>
      <c r="T148" s="84"/>
      <c r="U148" s="84"/>
      <c r="V148" s="84"/>
      <c r="W148" s="84"/>
      <c r="X148" s="84"/>
      <c r="Y148" s="84"/>
      <c r="Z148" s="84"/>
    </row>
    <row r="149" spans="1:26" hidden="1" x14ac:dyDescent="0.2">
      <c r="A149" s="56"/>
      <c r="H149"/>
      <c r="T149" s="84"/>
      <c r="U149" s="84"/>
      <c r="V149" s="84"/>
      <c r="W149" s="84"/>
      <c r="X149" s="84"/>
      <c r="Y149" s="84"/>
      <c r="Z149" s="84"/>
    </row>
    <row r="150" spans="1:26" hidden="1" x14ac:dyDescent="0.2">
      <c r="A150" s="56"/>
      <c r="H150"/>
      <c r="T150" s="84"/>
      <c r="U150" s="84"/>
      <c r="V150" s="84"/>
      <c r="W150" s="84"/>
      <c r="X150" s="84"/>
      <c r="Y150" s="84"/>
      <c r="Z150" s="84"/>
    </row>
    <row r="151" spans="1:26" hidden="1" x14ac:dyDescent="0.2">
      <c r="A151" s="56"/>
      <c r="H151"/>
      <c r="T151" s="84"/>
      <c r="U151" s="84"/>
      <c r="V151" s="84"/>
      <c r="W151" s="84"/>
      <c r="X151" s="84"/>
      <c r="Y151" s="84"/>
      <c r="Z151" s="84"/>
    </row>
    <row r="152" spans="1:26" hidden="1" x14ac:dyDescent="0.2">
      <c r="A152" s="56"/>
      <c r="H152"/>
      <c r="T152" s="84"/>
      <c r="U152" s="84"/>
      <c r="V152" s="84"/>
      <c r="W152" s="84"/>
      <c r="X152" s="84"/>
      <c r="Y152" s="84"/>
      <c r="Z152" s="84"/>
    </row>
    <row r="153" spans="1:26" hidden="1" x14ac:dyDescent="0.2">
      <c r="A153" s="56"/>
      <c r="H153"/>
      <c r="T153" s="84"/>
      <c r="U153" s="84"/>
      <c r="V153" s="84"/>
      <c r="W153" s="84"/>
      <c r="X153" s="84"/>
      <c r="Y153" s="84"/>
      <c r="Z153" s="84"/>
    </row>
    <row r="154" spans="1:26" hidden="1" x14ac:dyDescent="0.2">
      <c r="A154" s="56"/>
      <c r="H154"/>
      <c r="T154" s="84"/>
      <c r="U154" s="84"/>
      <c r="V154" s="84"/>
      <c r="W154" s="84"/>
      <c r="X154" s="84"/>
      <c r="Y154" s="84"/>
      <c r="Z154" s="84"/>
    </row>
    <row r="155" spans="1:26" hidden="1" x14ac:dyDescent="0.2">
      <c r="A155" s="56"/>
      <c r="H155"/>
      <c r="T155" s="84"/>
      <c r="U155" s="84"/>
      <c r="V155" s="84"/>
      <c r="W155" s="84"/>
      <c r="X155" s="84"/>
      <c r="Y155" s="84"/>
      <c r="Z155" s="84"/>
    </row>
    <row r="156" spans="1:26" hidden="1" x14ac:dyDescent="0.2">
      <c r="A156" s="56"/>
      <c r="H156"/>
      <c r="T156" s="84"/>
      <c r="U156" s="84"/>
      <c r="V156" s="84"/>
      <c r="W156" s="84"/>
      <c r="X156" s="84"/>
      <c r="Y156" s="84"/>
      <c r="Z156" s="84"/>
    </row>
    <row r="157" spans="1:26" hidden="1" x14ac:dyDescent="0.2">
      <c r="A157" s="56"/>
      <c r="H157"/>
      <c r="T157" s="84"/>
      <c r="U157" s="84"/>
      <c r="V157" s="84"/>
      <c r="W157" s="84"/>
      <c r="X157" s="84"/>
      <c r="Y157" s="84"/>
      <c r="Z157" s="84"/>
    </row>
    <row r="158" spans="1:26" hidden="1" x14ac:dyDescent="0.2">
      <c r="A158" s="56"/>
      <c r="H158"/>
      <c r="T158" s="84"/>
      <c r="U158" s="84"/>
      <c r="V158" s="84"/>
      <c r="W158" s="84"/>
      <c r="X158" s="84"/>
      <c r="Y158" s="84"/>
      <c r="Z158" s="84"/>
    </row>
    <row r="159" spans="1:26" hidden="1" x14ac:dyDescent="0.2">
      <c r="A159" s="56"/>
      <c r="H159"/>
      <c r="T159" s="84"/>
      <c r="U159" s="84"/>
      <c r="V159" s="84"/>
      <c r="W159" s="84"/>
      <c r="X159" s="84"/>
      <c r="Y159" s="84"/>
      <c r="Z159" s="84"/>
    </row>
    <row r="160" spans="1:26" hidden="1" x14ac:dyDescent="0.2">
      <c r="A160" s="56"/>
      <c r="H160"/>
      <c r="T160" s="84"/>
      <c r="U160" s="84"/>
      <c r="V160" s="84"/>
      <c r="W160" s="84"/>
      <c r="X160" s="84"/>
      <c r="Y160" s="84"/>
      <c r="Z160" s="84"/>
    </row>
    <row r="161" spans="1:26" hidden="1" x14ac:dyDescent="0.2">
      <c r="A161" s="56"/>
      <c r="H161"/>
      <c r="T161" s="84"/>
      <c r="U161" s="84"/>
      <c r="V161" s="84"/>
      <c r="W161" s="84"/>
      <c r="X161" s="84"/>
      <c r="Y161" s="84"/>
      <c r="Z161" s="84"/>
    </row>
    <row r="162" spans="1:26" hidden="1" x14ac:dyDescent="0.2">
      <c r="A162" s="56"/>
      <c r="H162"/>
      <c r="T162" s="84"/>
      <c r="U162" s="84"/>
      <c r="V162" s="84"/>
      <c r="W162" s="84"/>
      <c r="X162" s="84"/>
      <c r="Y162" s="84"/>
      <c r="Z162" s="84"/>
    </row>
    <row r="163" spans="1:26" hidden="1" x14ac:dyDescent="0.2">
      <c r="A163" s="56"/>
      <c r="H163"/>
      <c r="T163" s="84"/>
      <c r="U163" s="84"/>
      <c r="V163" s="84"/>
      <c r="W163" s="84"/>
      <c r="X163" s="84"/>
      <c r="Y163" s="84"/>
      <c r="Z163" s="84"/>
    </row>
    <row r="164" spans="1:26" hidden="1" x14ac:dyDescent="0.2">
      <c r="A164" s="56"/>
      <c r="H164"/>
      <c r="T164" s="84"/>
      <c r="U164" s="84"/>
      <c r="V164" s="84"/>
      <c r="W164" s="84"/>
      <c r="X164" s="84"/>
      <c r="Y164" s="84"/>
      <c r="Z164" s="84"/>
    </row>
    <row r="165" spans="1:26" hidden="1" x14ac:dyDescent="0.2">
      <c r="A165" s="56"/>
      <c r="H165"/>
      <c r="T165" s="84"/>
      <c r="U165" s="84"/>
      <c r="V165" s="84"/>
      <c r="W165" s="84"/>
      <c r="X165" s="84"/>
      <c r="Y165" s="84"/>
      <c r="Z165" s="84"/>
    </row>
    <row r="166" spans="1:26" hidden="1" x14ac:dyDescent="0.2">
      <c r="A166" s="56"/>
      <c r="H166"/>
      <c r="T166" s="84"/>
      <c r="U166" s="84"/>
      <c r="V166" s="84"/>
      <c r="W166" s="84"/>
      <c r="X166" s="84"/>
      <c r="Y166" s="84"/>
      <c r="Z166" s="84"/>
    </row>
    <row r="167" spans="1:26" hidden="1" x14ac:dyDescent="0.2">
      <c r="A167" s="56"/>
      <c r="H167"/>
      <c r="T167" s="84"/>
      <c r="U167" s="84"/>
      <c r="V167" s="84"/>
      <c r="W167" s="84"/>
      <c r="X167" s="84"/>
      <c r="Y167" s="84"/>
      <c r="Z167" s="84"/>
    </row>
    <row r="168" spans="1:26" hidden="1" x14ac:dyDescent="0.2">
      <c r="A168" s="56"/>
      <c r="H168"/>
      <c r="T168" s="84"/>
      <c r="U168" s="84"/>
      <c r="V168" s="84"/>
      <c r="W168" s="84"/>
      <c r="X168" s="84"/>
      <c r="Y168" s="84"/>
      <c r="Z168" s="84"/>
    </row>
    <row r="169" spans="1:26" hidden="1" x14ac:dyDescent="0.2">
      <c r="A169" s="56"/>
      <c r="H169"/>
      <c r="T169" s="84"/>
      <c r="U169" s="84"/>
      <c r="V169" s="84"/>
      <c r="W169" s="84"/>
      <c r="X169" s="84"/>
      <c r="Y169" s="84"/>
      <c r="Z169" s="84"/>
    </row>
    <row r="170" spans="1:26" hidden="1" x14ac:dyDescent="0.2">
      <c r="A170" s="56"/>
      <c r="H170"/>
      <c r="T170" s="84"/>
      <c r="U170" s="84"/>
      <c r="V170" s="84"/>
      <c r="W170" s="84"/>
      <c r="X170" s="84"/>
      <c r="Y170" s="84"/>
      <c r="Z170" s="84"/>
    </row>
    <row r="171" spans="1:26" hidden="1" x14ac:dyDescent="0.2">
      <c r="A171" s="56"/>
      <c r="H171"/>
      <c r="T171" s="84"/>
      <c r="U171" s="84"/>
      <c r="V171" s="84"/>
      <c r="W171" s="84"/>
      <c r="X171" s="84"/>
      <c r="Y171" s="84"/>
      <c r="Z171" s="84"/>
    </row>
    <row r="172" spans="1:26" hidden="1" x14ac:dyDescent="0.2">
      <c r="A172" s="56"/>
      <c r="H172"/>
      <c r="T172" s="84"/>
      <c r="U172" s="84"/>
      <c r="V172" s="84"/>
      <c r="W172" s="84"/>
      <c r="X172" s="84"/>
      <c r="Y172" s="84"/>
      <c r="Z172" s="84"/>
    </row>
    <row r="173" spans="1:26" hidden="1" x14ac:dyDescent="0.2">
      <c r="A173" s="56"/>
      <c r="H173"/>
      <c r="T173" s="84"/>
      <c r="U173" s="84"/>
      <c r="V173" s="84"/>
      <c r="W173" s="84"/>
      <c r="X173" s="84"/>
      <c r="Y173" s="84"/>
      <c r="Z173" s="84"/>
    </row>
    <row r="174" spans="1:26" hidden="1" x14ac:dyDescent="0.2">
      <c r="A174" s="56"/>
      <c r="H174"/>
      <c r="T174" s="84"/>
      <c r="U174" s="84"/>
      <c r="V174" s="84"/>
      <c r="W174" s="84"/>
      <c r="X174" s="84"/>
      <c r="Y174" s="84"/>
      <c r="Z174" s="84"/>
    </row>
    <row r="175" spans="1:26" hidden="1" x14ac:dyDescent="0.2">
      <c r="A175" s="56"/>
      <c r="H175"/>
      <c r="T175" s="84"/>
      <c r="U175" s="84"/>
      <c r="V175" s="84"/>
      <c r="W175" s="84"/>
      <c r="X175" s="84"/>
      <c r="Y175" s="84"/>
      <c r="Z175" s="84"/>
    </row>
    <row r="176" spans="1:26" hidden="1" x14ac:dyDescent="0.2">
      <c r="A176" s="56"/>
      <c r="H176"/>
      <c r="T176" s="84"/>
      <c r="U176" s="84"/>
      <c r="V176" s="84"/>
      <c r="W176" s="84"/>
      <c r="X176" s="84"/>
      <c r="Y176" s="84"/>
      <c r="Z176" s="84"/>
    </row>
    <row r="177" spans="1:26" hidden="1" x14ac:dyDescent="0.2">
      <c r="A177" s="56"/>
      <c r="H177"/>
      <c r="T177" s="84"/>
      <c r="U177" s="84"/>
      <c r="V177" s="84"/>
      <c r="W177" s="84"/>
      <c r="X177" s="84"/>
      <c r="Y177" s="84"/>
      <c r="Z177" s="84"/>
    </row>
    <row r="178" spans="1:26" hidden="1" x14ac:dyDescent="0.2">
      <c r="A178" s="56"/>
      <c r="H178"/>
      <c r="T178" s="84"/>
      <c r="U178" s="84"/>
      <c r="V178" s="84"/>
      <c r="W178" s="84"/>
      <c r="X178" s="84"/>
      <c r="Y178" s="84"/>
      <c r="Z178" s="84"/>
    </row>
    <row r="179" spans="1:26" hidden="1" x14ac:dyDescent="0.2">
      <c r="A179" s="56"/>
      <c r="H179"/>
      <c r="T179" s="84"/>
      <c r="U179" s="84"/>
      <c r="V179" s="84"/>
      <c r="W179" s="84"/>
      <c r="X179" s="84"/>
      <c r="Y179" s="84"/>
      <c r="Z179" s="84"/>
    </row>
    <row r="180" spans="1:26" hidden="1" x14ac:dyDescent="0.2">
      <c r="A180" s="56"/>
      <c r="H180"/>
      <c r="T180" s="84"/>
      <c r="U180" s="84"/>
      <c r="V180" s="84"/>
      <c r="W180" s="84"/>
      <c r="X180" s="84"/>
      <c r="Y180" s="84"/>
      <c r="Z180" s="84"/>
    </row>
    <row r="181" spans="1:26" hidden="1" x14ac:dyDescent="0.2">
      <c r="A181" s="56"/>
      <c r="H181"/>
      <c r="T181" s="84"/>
      <c r="U181" s="84"/>
      <c r="V181" s="84"/>
      <c r="W181" s="84"/>
      <c r="X181" s="84"/>
      <c r="Y181" s="84"/>
      <c r="Z181" s="84"/>
    </row>
    <row r="182" spans="1:26" hidden="1" x14ac:dyDescent="0.2">
      <c r="A182" s="56"/>
      <c r="H182"/>
      <c r="T182" s="84"/>
      <c r="U182" s="84"/>
      <c r="V182" s="84"/>
      <c r="W182" s="84"/>
      <c r="X182" s="84"/>
      <c r="Y182" s="84"/>
      <c r="Z182" s="84"/>
    </row>
    <row r="183" spans="1:26" hidden="1" x14ac:dyDescent="0.2">
      <c r="A183" s="56"/>
      <c r="H183"/>
      <c r="T183" s="84"/>
      <c r="U183" s="84"/>
      <c r="V183" s="84"/>
      <c r="W183" s="84"/>
      <c r="X183" s="84"/>
      <c r="Y183" s="84"/>
      <c r="Z183" s="84"/>
    </row>
    <row r="184" spans="1:26" hidden="1" x14ac:dyDescent="0.2">
      <c r="A184" s="56"/>
      <c r="H184"/>
      <c r="T184" s="84"/>
      <c r="U184" s="84"/>
      <c r="V184" s="84"/>
      <c r="W184" s="84"/>
      <c r="X184" s="84"/>
      <c r="Y184" s="84"/>
      <c r="Z184" s="84"/>
    </row>
    <row r="185" spans="1:26" hidden="1" x14ac:dyDescent="0.2">
      <c r="A185" s="56"/>
      <c r="H185"/>
      <c r="T185" s="84"/>
      <c r="U185" s="84"/>
      <c r="V185" s="84"/>
      <c r="W185" s="84"/>
      <c r="X185" s="84"/>
      <c r="Y185" s="84"/>
      <c r="Z185" s="84"/>
    </row>
    <row r="186" spans="1:26" hidden="1" x14ac:dyDescent="0.2">
      <c r="A186" s="56"/>
      <c r="H186"/>
      <c r="T186" s="84"/>
      <c r="U186" s="84"/>
      <c r="V186" s="84"/>
      <c r="W186" s="84"/>
      <c r="X186" s="84"/>
      <c r="Y186" s="84"/>
      <c r="Z186" s="84"/>
    </row>
    <row r="187" spans="1:26" hidden="1" x14ac:dyDescent="0.2">
      <c r="A187" s="56"/>
      <c r="H187"/>
      <c r="T187" s="84"/>
      <c r="U187" s="84"/>
      <c r="V187" s="84"/>
      <c r="W187" s="84"/>
      <c r="X187" s="84"/>
      <c r="Y187" s="84"/>
      <c r="Z187" s="84"/>
    </row>
    <row r="188" spans="1:26" hidden="1" x14ac:dyDescent="0.2">
      <c r="A188" s="56"/>
      <c r="H188"/>
      <c r="T188" s="84"/>
      <c r="U188" s="84"/>
      <c r="V188" s="84"/>
      <c r="W188" s="84"/>
      <c r="X188" s="84"/>
      <c r="Y188" s="84"/>
      <c r="Z188" s="84"/>
    </row>
    <row r="189" spans="1:26" hidden="1" x14ac:dyDescent="0.2">
      <c r="A189" s="56"/>
      <c r="H189"/>
      <c r="T189" s="84"/>
      <c r="U189" s="84"/>
      <c r="V189" s="84"/>
      <c r="W189" s="84"/>
      <c r="X189" s="84"/>
      <c r="Y189" s="84"/>
      <c r="Z189" s="84"/>
    </row>
    <row r="190" spans="1:26" hidden="1" x14ac:dyDescent="0.2">
      <c r="A190" s="56"/>
      <c r="H190"/>
      <c r="T190" s="84"/>
      <c r="U190" s="84"/>
      <c r="V190" s="84"/>
      <c r="W190" s="84"/>
      <c r="X190" s="84"/>
      <c r="Y190" s="84"/>
      <c r="Z190" s="84"/>
    </row>
    <row r="191" spans="1:26" hidden="1" x14ac:dyDescent="0.2">
      <c r="A191" s="56"/>
      <c r="H191"/>
      <c r="T191" s="84"/>
      <c r="U191" s="84"/>
      <c r="V191" s="84"/>
      <c r="W191" s="84"/>
      <c r="X191" s="84"/>
      <c r="Y191" s="84"/>
      <c r="Z191" s="84"/>
    </row>
    <row r="192" spans="1:26" hidden="1" x14ac:dyDescent="0.2">
      <c r="A192" s="56"/>
      <c r="H192"/>
      <c r="T192" s="84"/>
      <c r="U192" s="84"/>
      <c r="V192" s="84"/>
      <c r="W192" s="84"/>
      <c r="X192" s="84"/>
      <c r="Y192" s="84"/>
      <c r="Z192" s="84"/>
    </row>
    <row r="193" spans="1:26" hidden="1" x14ac:dyDescent="0.2">
      <c r="A193" s="56"/>
      <c r="H193"/>
      <c r="T193" s="84"/>
      <c r="U193" s="84"/>
      <c r="V193" s="84"/>
      <c r="W193" s="84"/>
      <c r="X193" s="84"/>
      <c r="Y193" s="84"/>
      <c r="Z193" s="84"/>
    </row>
    <row r="194" spans="1:26" hidden="1" x14ac:dyDescent="0.2">
      <c r="A194" s="56"/>
      <c r="H194"/>
      <c r="T194" s="84"/>
      <c r="U194" s="84"/>
      <c r="V194" s="84"/>
      <c r="W194" s="84"/>
      <c r="X194" s="84"/>
      <c r="Y194" s="84"/>
      <c r="Z194" s="84"/>
    </row>
    <row r="195" spans="1:26" hidden="1" x14ac:dyDescent="0.2">
      <c r="A195" s="56"/>
      <c r="H195"/>
      <c r="T195" s="84"/>
      <c r="U195" s="84"/>
      <c r="V195" s="84"/>
      <c r="W195" s="84"/>
      <c r="X195" s="84"/>
      <c r="Y195" s="84"/>
      <c r="Z195" s="84"/>
    </row>
    <row r="196" spans="1:26" hidden="1" x14ac:dyDescent="0.2">
      <c r="A196" s="56"/>
      <c r="H196"/>
      <c r="T196" s="84"/>
      <c r="U196" s="84"/>
      <c r="V196" s="84"/>
      <c r="W196" s="84"/>
      <c r="X196" s="84"/>
      <c r="Y196" s="84"/>
      <c r="Z196" s="84"/>
    </row>
    <row r="197" spans="1:26" hidden="1" x14ac:dyDescent="0.2">
      <c r="A197" s="56"/>
      <c r="H197"/>
      <c r="T197" s="84"/>
      <c r="U197" s="84"/>
      <c r="V197" s="84"/>
      <c r="W197" s="84"/>
      <c r="X197" s="84"/>
      <c r="Y197" s="84"/>
      <c r="Z197" s="84"/>
    </row>
    <row r="198" spans="1:26" hidden="1" x14ac:dyDescent="0.2">
      <c r="A198" s="56"/>
      <c r="H198"/>
      <c r="T198" s="84"/>
      <c r="U198" s="84"/>
      <c r="V198" s="84"/>
      <c r="W198" s="84"/>
      <c r="X198" s="84"/>
      <c r="Y198" s="84"/>
      <c r="Z198" s="84"/>
    </row>
    <row r="199" spans="1:26" hidden="1" x14ac:dyDescent="0.2">
      <c r="A199" s="56"/>
      <c r="H199"/>
      <c r="T199" s="84"/>
      <c r="U199" s="84"/>
      <c r="V199" s="84"/>
      <c r="W199" s="84"/>
      <c r="X199" s="84"/>
      <c r="Y199" s="84"/>
      <c r="Z199" s="84"/>
    </row>
    <row r="200" spans="1:26" hidden="1" x14ac:dyDescent="0.2">
      <c r="A200" s="56"/>
      <c r="H200"/>
      <c r="T200" s="84"/>
      <c r="U200" s="84"/>
      <c r="V200" s="84"/>
      <c r="W200" s="84"/>
      <c r="X200" s="84"/>
      <c r="Y200" s="84"/>
      <c r="Z200" s="84"/>
    </row>
    <row r="201" spans="1:26" hidden="1" x14ac:dyDescent="0.2">
      <c r="H201"/>
      <c r="T201" s="84"/>
      <c r="U201" s="84"/>
      <c r="V201" s="84"/>
      <c r="W201" s="84"/>
      <c r="X201" s="84"/>
      <c r="Y201" s="84"/>
      <c r="Z201" s="84"/>
    </row>
    <row r="202" spans="1:26" hidden="1" x14ac:dyDescent="0.2">
      <c r="H202"/>
    </row>
    <row r="203" spans="1:26" hidden="1" x14ac:dyDescent="0.2">
      <c r="H203"/>
    </row>
    <row r="204" spans="1:26" hidden="1" x14ac:dyDescent="0.2">
      <c r="H204"/>
    </row>
    <row r="205" spans="1:26" hidden="1" x14ac:dyDescent="0.2">
      <c r="H205"/>
    </row>
    <row r="206" spans="1:26" hidden="1" x14ac:dyDescent="0.2">
      <c r="H206"/>
    </row>
    <row r="207" spans="1:26" hidden="1" x14ac:dyDescent="0.2">
      <c r="F207" s="50"/>
      <c r="H207"/>
    </row>
    <row r="208" spans="1:26" hidden="1" x14ac:dyDescent="0.2">
      <c r="H208"/>
    </row>
    <row r="209" spans="6:8" hidden="1" x14ac:dyDescent="0.2">
      <c r="H209"/>
    </row>
    <row r="210" spans="6:8" hidden="1" x14ac:dyDescent="0.2">
      <c r="F210" s="50"/>
      <c r="H210"/>
    </row>
    <row r="211" spans="6:8" hidden="1" x14ac:dyDescent="0.2">
      <c r="H211"/>
    </row>
    <row r="212" spans="6:8" hidden="1" x14ac:dyDescent="0.2">
      <c r="H212"/>
    </row>
    <row r="213" spans="6:8" hidden="1" x14ac:dyDescent="0.2">
      <c r="H213"/>
    </row>
    <row r="214" spans="6:8" hidden="1" x14ac:dyDescent="0.2">
      <c r="H214"/>
    </row>
    <row r="215" spans="6:8" hidden="1" x14ac:dyDescent="0.2">
      <c r="H215"/>
    </row>
    <row r="216" spans="6:8" hidden="1" x14ac:dyDescent="0.2">
      <c r="H216"/>
    </row>
    <row r="217" spans="6:8" hidden="1" x14ac:dyDescent="0.2">
      <c r="H217"/>
    </row>
    <row r="218" spans="6:8" hidden="1" x14ac:dyDescent="0.2">
      <c r="H218"/>
    </row>
    <row r="219" spans="6:8" hidden="1" x14ac:dyDescent="0.2">
      <c r="H219"/>
    </row>
    <row r="220" spans="6:8" hidden="1" x14ac:dyDescent="0.2">
      <c r="H220"/>
    </row>
    <row r="221" spans="6:8" hidden="1" x14ac:dyDescent="0.2">
      <c r="H221"/>
    </row>
    <row r="222" spans="6:8" hidden="1" x14ac:dyDescent="0.2">
      <c r="H222"/>
    </row>
    <row r="223" spans="6:8" hidden="1" x14ac:dyDescent="0.2">
      <c r="H223"/>
    </row>
    <row r="224" spans="6:8" hidden="1" x14ac:dyDescent="0.2">
      <c r="H224"/>
    </row>
    <row r="225" spans="6:8" hidden="1" x14ac:dyDescent="0.2">
      <c r="H225"/>
    </row>
    <row r="226" spans="6:8" hidden="1" x14ac:dyDescent="0.2">
      <c r="H226"/>
    </row>
    <row r="227" spans="6:8" hidden="1" x14ac:dyDescent="0.2">
      <c r="H227"/>
    </row>
    <row r="228" spans="6:8" hidden="1" x14ac:dyDescent="0.2">
      <c r="F228" s="50"/>
      <c r="H228"/>
    </row>
    <row r="229" spans="6:8" hidden="1" x14ac:dyDescent="0.2">
      <c r="H229"/>
    </row>
    <row r="230" spans="6:8" hidden="1" x14ac:dyDescent="0.2">
      <c r="H230"/>
    </row>
    <row r="231" spans="6:8" hidden="1" x14ac:dyDescent="0.2">
      <c r="F231" s="50"/>
      <c r="H231"/>
    </row>
    <row r="232" spans="6:8" hidden="1" x14ac:dyDescent="0.2">
      <c r="H232"/>
    </row>
    <row r="233" spans="6:8" hidden="1" x14ac:dyDescent="0.2">
      <c r="H233"/>
    </row>
    <row r="234" spans="6:8" hidden="1" x14ac:dyDescent="0.2">
      <c r="H234"/>
    </row>
    <row r="235" spans="6:8" hidden="1" x14ac:dyDescent="0.2">
      <c r="H235"/>
    </row>
    <row r="236" spans="6:8" hidden="1" x14ac:dyDescent="0.2">
      <c r="H236"/>
    </row>
    <row r="237" spans="6:8" hidden="1" x14ac:dyDescent="0.2">
      <c r="H237"/>
    </row>
    <row r="238" spans="6:8" hidden="1" x14ac:dyDescent="0.2">
      <c r="H238"/>
    </row>
    <row r="239" spans="6:8" hidden="1" x14ac:dyDescent="0.2">
      <c r="H239"/>
    </row>
    <row r="240" spans="6:8" hidden="1" x14ac:dyDescent="0.2">
      <c r="H240"/>
    </row>
    <row r="241" spans="8:8" hidden="1" x14ac:dyDescent="0.2">
      <c r="H241"/>
    </row>
    <row r="242" spans="8:8" hidden="1" x14ac:dyDescent="0.2">
      <c r="H242"/>
    </row>
    <row r="243" spans="8:8" hidden="1" x14ac:dyDescent="0.2">
      <c r="H243"/>
    </row>
    <row r="244" spans="8:8" hidden="1" x14ac:dyDescent="0.2">
      <c r="H244"/>
    </row>
    <row r="245" spans="8:8" hidden="1" x14ac:dyDescent="0.2">
      <c r="H245"/>
    </row>
    <row r="246" spans="8:8" hidden="1" x14ac:dyDescent="0.2">
      <c r="H246"/>
    </row>
    <row r="247" spans="8:8" hidden="1" x14ac:dyDescent="0.2">
      <c r="H247"/>
    </row>
    <row r="248" spans="8:8" hidden="1" x14ac:dyDescent="0.2">
      <c r="H248"/>
    </row>
    <row r="249" spans="8:8" hidden="1" x14ac:dyDescent="0.2">
      <c r="H249"/>
    </row>
    <row r="250" spans="8:8" hidden="1" x14ac:dyDescent="0.2">
      <c r="H250"/>
    </row>
    <row r="251" spans="8:8" hidden="1" x14ac:dyDescent="0.2">
      <c r="H251"/>
    </row>
    <row r="252" spans="8:8" hidden="1" x14ac:dyDescent="0.2">
      <c r="H252"/>
    </row>
    <row r="253" spans="8:8" hidden="1" x14ac:dyDescent="0.2">
      <c r="H253"/>
    </row>
    <row r="254" spans="8:8" hidden="1" x14ac:dyDescent="0.2">
      <c r="H254"/>
    </row>
    <row r="255" spans="8:8" hidden="1" x14ac:dyDescent="0.2">
      <c r="H255"/>
    </row>
    <row r="256" spans="8:8" hidden="1" x14ac:dyDescent="0.2">
      <c r="H256"/>
    </row>
    <row r="257" spans="8:8" hidden="1" x14ac:dyDescent="0.2">
      <c r="H257"/>
    </row>
    <row r="258" spans="8:8" hidden="1" x14ac:dyDescent="0.2">
      <c r="H258"/>
    </row>
    <row r="259" spans="8:8" hidden="1" x14ac:dyDescent="0.2">
      <c r="H259"/>
    </row>
    <row r="260" spans="8:8" hidden="1" x14ac:dyDescent="0.2">
      <c r="H260"/>
    </row>
    <row r="261" spans="8:8" hidden="1" x14ac:dyDescent="0.2">
      <c r="H261"/>
    </row>
    <row r="262" spans="8:8" hidden="1" x14ac:dyDescent="0.2">
      <c r="H262"/>
    </row>
    <row r="263" spans="8:8" hidden="1" x14ac:dyDescent="0.2">
      <c r="H263"/>
    </row>
    <row r="264" spans="8:8" hidden="1" x14ac:dyDescent="0.2">
      <c r="H264"/>
    </row>
    <row r="265" spans="8:8" hidden="1" x14ac:dyDescent="0.2">
      <c r="H265"/>
    </row>
    <row r="266" spans="8:8" hidden="1" x14ac:dyDescent="0.2">
      <c r="H266"/>
    </row>
    <row r="267" spans="8:8" hidden="1" x14ac:dyDescent="0.2">
      <c r="H267"/>
    </row>
    <row r="268" spans="8:8" hidden="1" x14ac:dyDescent="0.2">
      <c r="H268"/>
    </row>
    <row r="269" spans="8:8" hidden="1" x14ac:dyDescent="0.2">
      <c r="H269"/>
    </row>
    <row r="270" spans="8:8" hidden="1" x14ac:dyDescent="0.2">
      <c r="H270"/>
    </row>
    <row r="271" spans="8:8" hidden="1" x14ac:dyDescent="0.2">
      <c r="H271"/>
    </row>
    <row r="272" spans="8:8" hidden="1" x14ac:dyDescent="0.2">
      <c r="H272"/>
    </row>
    <row r="273" spans="6:8" hidden="1" x14ac:dyDescent="0.2">
      <c r="H273"/>
    </row>
    <row r="274" spans="6:8" hidden="1" x14ac:dyDescent="0.2">
      <c r="H274"/>
    </row>
    <row r="275" spans="6:8" hidden="1" x14ac:dyDescent="0.2">
      <c r="F275" s="50"/>
      <c r="H275"/>
    </row>
    <row r="276" spans="6:8" hidden="1" x14ac:dyDescent="0.2">
      <c r="H276"/>
    </row>
    <row r="277" spans="6:8" hidden="1" x14ac:dyDescent="0.2">
      <c r="H277"/>
    </row>
    <row r="278" spans="6:8" hidden="1" x14ac:dyDescent="0.2">
      <c r="H278"/>
    </row>
    <row r="279" spans="6:8" hidden="1" x14ac:dyDescent="0.2">
      <c r="F279" s="50"/>
      <c r="H279" s="50"/>
    </row>
    <row r="280" spans="6:8" hidden="1" x14ac:dyDescent="0.2">
      <c r="H280"/>
    </row>
    <row r="281" spans="6:8" hidden="1" x14ac:dyDescent="0.2">
      <c r="H281"/>
    </row>
    <row r="282" spans="6:8" hidden="1" x14ac:dyDescent="0.2">
      <c r="H282"/>
    </row>
    <row r="283" spans="6:8" hidden="1" x14ac:dyDescent="0.2">
      <c r="H283"/>
    </row>
    <row r="284" spans="6:8" hidden="1" x14ac:dyDescent="0.2">
      <c r="H284"/>
    </row>
    <row r="285" spans="6:8" hidden="1" x14ac:dyDescent="0.2">
      <c r="H285"/>
    </row>
    <row r="286" spans="6:8" hidden="1" x14ac:dyDescent="0.2">
      <c r="F286" s="2"/>
      <c r="H286"/>
    </row>
    <row r="287" spans="6:8" hidden="1" x14ac:dyDescent="0.2">
      <c r="H287"/>
    </row>
    <row r="288" spans="6:8" hidden="1" x14ac:dyDescent="0.2">
      <c r="H288"/>
    </row>
    <row r="289" spans="6:8" hidden="1" x14ac:dyDescent="0.2">
      <c r="H289"/>
    </row>
    <row r="290" spans="6:8" hidden="1" x14ac:dyDescent="0.2">
      <c r="F290" s="50"/>
      <c r="H290"/>
    </row>
    <row r="291" spans="6:8" hidden="1" x14ac:dyDescent="0.2">
      <c r="H291"/>
    </row>
    <row r="292" spans="6:8" hidden="1" x14ac:dyDescent="0.2">
      <c r="H292"/>
    </row>
    <row r="293" spans="6:8" hidden="1" x14ac:dyDescent="0.2">
      <c r="H293"/>
    </row>
    <row r="294" spans="6:8" hidden="1" x14ac:dyDescent="0.2">
      <c r="H294"/>
    </row>
    <row r="295" spans="6:8" hidden="1" x14ac:dyDescent="0.2">
      <c r="H295"/>
    </row>
    <row r="296" spans="6:8" hidden="1" x14ac:dyDescent="0.2">
      <c r="H296"/>
    </row>
    <row r="297" spans="6:8" hidden="1" x14ac:dyDescent="0.2">
      <c r="H297"/>
    </row>
    <row r="298" spans="6:8" hidden="1" x14ac:dyDescent="0.2">
      <c r="H298"/>
    </row>
    <row r="299" spans="6:8" hidden="1" x14ac:dyDescent="0.2">
      <c r="H299"/>
    </row>
    <row r="300" spans="6:8" hidden="1" x14ac:dyDescent="0.2">
      <c r="H300"/>
    </row>
    <row r="301" spans="6:8" hidden="1" x14ac:dyDescent="0.2">
      <c r="H301"/>
    </row>
    <row r="302" spans="6:8" hidden="1" x14ac:dyDescent="0.2">
      <c r="H302"/>
    </row>
    <row r="303" spans="6:8" hidden="1" x14ac:dyDescent="0.2">
      <c r="F303" s="50"/>
      <c r="H303"/>
    </row>
    <row r="304" spans="6:8" hidden="1" x14ac:dyDescent="0.2">
      <c r="H304"/>
    </row>
    <row r="305" spans="6:8" hidden="1" x14ac:dyDescent="0.2">
      <c r="F305" s="50"/>
      <c r="H305"/>
    </row>
    <row r="306" spans="6:8" hidden="1" x14ac:dyDescent="0.2">
      <c r="F306" s="50"/>
      <c r="H306"/>
    </row>
    <row r="307" spans="6:8" hidden="1" x14ac:dyDescent="0.2">
      <c r="F307" s="50"/>
      <c r="H307"/>
    </row>
    <row r="308" spans="6:8" hidden="1" x14ac:dyDescent="0.2">
      <c r="F308" s="50"/>
      <c r="H308" s="50"/>
    </row>
    <row r="309" spans="6:8" hidden="1" x14ac:dyDescent="0.2">
      <c r="F309" s="50"/>
      <c r="H309" s="50"/>
    </row>
    <row r="310" spans="6:8" hidden="1" x14ac:dyDescent="0.2">
      <c r="F310" s="50"/>
      <c r="H310" s="50"/>
    </row>
    <row r="311" spans="6:8" hidden="1" x14ac:dyDescent="0.2">
      <c r="F311" s="50"/>
      <c r="H311" s="50"/>
    </row>
    <row r="312" spans="6:8" hidden="1" x14ac:dyDescent="0.2">
      <c r="F312" s="50"/>
      <c r="H312" s="50"/>
    </row>
    <row r="313" spans="6:8" hidden="1" x14ac:dyDescent="0.2">
      <c r="F313" s="50"/>
      <c r="H313"/>
    </row>
    <row r="314" spans="6:8" hidden="1" x14ac:dyDescent="0.2">
      <c r="F314" s="50"/>
      <c r="H314"/>
    </row>
    <row r="315" spans="6:8" hidden="1" x14ac:dyDescent="0.2">
      <c r="F315" s="50"/>
      <c r="H315"/>
    </row>
    <row r="316" spans="6:8" hidden="1" x14ac:dyDescent="0.2">
      <c r="F316" s="50"/>
      <c r="H316" s="50"/>
    </row>
    <row r="317" spans="6:8" hidden="1" x14ac:dyDescent="0.2">
      <c r="F317" s="50"/>
      <c r="H317"/>
    </row>
    <row r="318" spans="6:8" hidden="1" x14ac:dyDescent="0.2">
      <c r="F318" s="50"/>
      <c r="H318"/>
    </row>
    <row r="319" spans="6:8" hidden="1" x14ac:dyDescent="0.2">
      <c r="F319" s="50"/>
      <c r="H319"/>
    </row>
    <row r="320" spans="6:8" hidden="1" x14ac:dyDescent="0.2">
      <c r="F320" s="50"/>
      <c r="H320"/>
    </row>
    <row r="321" spans="6:8" hidden="1" x14ac:dyDescent="0.2">
      <c r="F321" s="50"/>
      <c r="H321"/>
    </row>
    <row r="322" spans="6:8" hidden="1" x14ac:dyDescent="0.2">
      <c r="F322" s="50"/>
      <c r="H322"/>
    </row>
    <row r="323" spans="6:8" hidden="1" x14ac:dyDescent="0.2">
      <c r="F323" s="50"/>
      <c r="H323"/>
    </row>
    <row r="324" spans="6:8" hidden="1" x14ac:dyDescent="0.2">
      <c r="F324" s="50"/>
      <c r="H324"/>
    </row>
    <row r="325" spans="6:8" hidden="1" x14ac:dyDescent="0.2">
      <c r="F325" s="50"/>
      <c r="H325"/>
    </row>
    <row r="326" spans="6:8" hidden="1" x14ac:dyDescent="0.2">
      <c r="F326" s="50"/>
      <c r="H326"/>
    </row>
    <row r="327" spans="6:8" hidden="1" x14ac:dyDescent="0.2">
      <c r="F327" s="50"/>
      <c r="H327"/>
    </row>
    <row r="328" spans="6:8" hidden="1" x14ac:dyDescent="0.2">
      <c r="F328" s="50"/>
      <c r="H328" s="50"/>
    </row>
    <row r="329" spans="6:8" hidden="1" x14ac:dyDescent="0.2">
      <c r="F329" s="50"/>
      <c r="H329"/>
    </row>
    <row r="330" spans="6:8" hidden="1" x14ac:dyDescent="0.2">
      <c r="H330"/>
    </row>
    <row r="331" spans="6:8" hidden="1" x14ac:dyDescent="0.2">
      <c r="F331" s="50"/>
      <c r="H331"/>
    </row>
    <row r="332" spans="6:8" hidden="1" x14ac:dyDescent="0.2">
      <c r="F332" s="50"/>
      <c r="H332"/>
    </row>
    <row r="333" spans="6:8" hidden="1" x14ac:dyDescent="0.2">
      <c r="F333" s="50"/>
      <c r="H333"/>
    </row>
    <row r="334" spans="6:8" hidden="1" x14ac:dyDescent="0.2">
      <c r="F334" s="50"/>
      <c r="H334"/>
    </row>
    <row r="335" spans="6:8" hidden="1" x14ac:dyDescent="0.2">
      <c r="F335" s="50"/>
      <c r="H335"/>
    </row>
    <row r="336" spans="6:8" hidden="1" x14ac:dyDescent="0.2">
      <c r="F336" s="50"/>
      <c r="H336"/>
    </row>
    <row r="337" spans="6:8" hidden="1" x14ac:dyDescent="0.2">
      <c r="F337" s="50"/>
      <c r="H337"/>
    </row>
    <row r="338" spans="6:8" hidden="1" x14ac:dyDescent="0.2">
      <c r="F338" s="50"/>
      <c r="H338"/>
    </row>
    <row r="339" spans="6:8" hidden="1" x14ac:dyDescent="0.2">
      <c r="F339" s="50"/>
      <c r="H339" s="50"/>
    </row>
    <row r="340" spans="6:8" hidden="1" x14ac:dyDescent="0.2">
      <c r="F340" s="50"/>
      <c r="H340" s="50"/>
    </row>
    <row r="341" spans="6:8" hidden="1" x14ac:dyDescent="0.2">
      <c r="F341" s="50"/>
      <c r="H341"/>
    </row>
    <row r="342" spans="6:8" hidden="1" x14ac:dyDescent="0.2">
      <c r="F342" s="50"/>
      <c r="H342"/>
    </row>
    <row r="343" spans="6:8" hidden="1" x14ac:dyDescent="0.2">
      <c r="F343" s="50"/>
      <c r="H343" s="50"/>
    </row>
    <row r="344" spans="6:8" hidden="1" x14ac:dyDescent="0.2">
      <c r="F344" s="50"/>
      <c r="H344"/>
    </row>
    <row r="345" spans="6:8" hidden="1" x14ac:dyDescent="0.2">
      <c r="F345" s="50"/>
      <c r="H345" s="50"/>
    </row>
    <row r="346" spans="6:8" hidden="1" x14ac:dyDescent="0.2">
      <c r="H346"/>
    </row>
    <row r="347" spans="6:8" hidden="1" x14ac:dyDescent="0.2">
      <c r="H347"/>
    </row>
    <row r="348" spans="6:8" hidden="1" x14ac:dyDescent="0.2">
      <c r="H348"/>
    </row>
    <row r="349" spans="6:8" hidden="1" x14ac:dyDescent="0.2">
      <c r="F349" s="50"/>
      <c r="H349"/>
    </row>
    <row r="350" spans="6:8" hidden="1" x14ac:dyDescent="0.2">
      <c r="F350" s="50"/>
      <c r="H350"/>
    </row>
    <row r="351" spans="6:8" hidden="1" x14ac:dyDescent="0.2">
      <c r="F351" s="50"/>
      <c r="H351" s="50"/>
    </row>
    <row r="352" spans="6:8" hidden="1" x14ac:dyDescent="0.2">
      <c r="F352" s="50"/>
      <c r="H352" s="50"/>
    </row>
    <row r="353" spans="6:8" hidden="1" x14ac:dyDescent="0.2">
      <c r="F353" s="50"/>
      <c r="H353" s="50"/>
    </row>
    <row r="354" spans="6:8" hidden="1" x14ac:dyDescent="0.2">
      <c r="F354" s="50"/>
      <c r="H354" s="50"/>
    </row>
    <row r="355" spans="6:8" hidden="1" x14ac:dyDescent="0.2">
      <c r="F355" s="50"/>
      <c r="H355"/>
    </row>
    <row r="356" spans="6:8" hidden="1" x14ac:dyDescent="0.2">
      <c r="F356" s="50"/>
      <c r="H356"/>
    </row>
    <row r="357" spans="6:8" hidden="1" x14ac:dyDescent="0.2">
      <c r="F357" s="50"/>
      <c r="H357" s="50"/>
    </row>
    <row r="358" spans="6:8" hidden="1" x14ac:dyDescent="0.2">
      <c r="F358" s="50"/>
      <c r="H358" s="50"/>
    </row>
    <row r="359" spans="6:8" hidden="1" x14ac:dyDescent="0.2">
      <c r="F359" s="50"/>
      <c r="H359" s="50"/>
    </row>
    <row r="360" spans="6:8" hidden="1" x14ac:dyDescent="0.2">
      <c r="F360" s="50"/>
      <c r="H360"/>
    </row>
    <row r="361" spans="6:8" hidden="1" x14ac:dyDescent="0.2">
      <c r="F361" s="50"/>
      <c r="H361"/>
    </row>
    <row r="362" spans="6:8" hidden="1" x14ac:dyDescent="0.2">
      <c r="F362" s="50"/>
      <c r="H362"/>
    </row>
    <row r="363" spans="6:8" hidden="1" x14ac:dyDescent="0.2">
      <c r="F363" s="50"/>
      <c r="H363"/>
    </row>
    <row r="364" spans="6:8" hidden="1" x14ac:dyDescent="0.2">
      <c r="F364" s="50"/>
      <c r="H364"/>
    </row>
    <row r="365" spans="6:8" hidden="1" x14ac:dyDescent="0.2">
      <c r="F365" s="50"/>
      <c r="H365"/>
    </row>
    <row r="366" spans="6:8" hidden="1" x14ac:dyDescent="0.2">
      <c r="F366" s="50"/>
      <c r="H366"/>
    </row>
    <row r="367" spans="6:8" hidden="1" x14ac:dyDescent="0.2">
      <c r="F367" s="50"/>
      <c r="H367"/>
    </row>
    <row r="368" spans="6:8" hidden="1" x14ac:dyDescent="0.2">
      <c r="F368" s="50"/>
      <c r="H368" s="50"/>
    </row>
    <row r="369" spans="6:8" hidden="1" x14ac:dyDescent="0.2">
      <c r="F369" s="50"/>
      <c r="H369"/>
    </row>
    <row r="370" spans="6:8" hidden="1" x14ac:dyDescent="0.2">
      <c r="F370" s="50"/>
      <c r="H370"/>
    </row>
    <row r="371" spans="6:8" hidden="1" x14ac:dyDescent="0.2">
      <c r="F371" s="50"/>
      <c r="H371"/>
    </row>
    <row r="372" spans="6:8" hidden="1" x14ac:dyDescent="0.2">
      <c r="F372" s="50"/>
      <c r="H372"/>
    </row>
    <row r="373" spans="6:8" hidden="1" x14ac:dyDescent="0.2">
      <c r="F373" s="50"/>
      <c r="H373"/>
    </row>
    <row r="374" spans="6:8" hidden="1" x14ac:dyDescent="0.2">
      <c r="F374" s="50"/>
      <c r="H374"/>
    </row>
    <row r="375" spans="6:8" hidden="1" x14ac:dyDescent="0.2">
      <c r="F375" s="50"/>
      <c r="H375"/>
    </row>
    <row r="376" spans="6:8" hidden="1" x14ac:dyDescent="0.2">
      <c r="F376" s="50"/>
      <c r="H376" s="50"/>
    </row>
    <row r="377" spans="6:8" hidden="1" x14ac:dyDescent="0.2">
      <c r="F377" s="50"/>
      <c r="H377" s="50"/>
    </row>
    <row r="378" spans="6:8" hidden="1" x14ac:dyDescent="0.2">
      <c r="F378" s="50"/>
      <c r="H378"/>
    </row>
    <row r="379" spans="6:8" hidden="1" x14ac:dyDescent="0.2">
      <c r="F379" s="50"/>
      <c r="H379"/>
    </row>
    <row r="380" spans="6:8" hidden="1" x14ac:dyDescent="0.2">
      <c r="F380" s="50"/>
      <c r="H380"/>
    </row>
    <row r="381" spans="6:8" hidden="1" x14ac:dyDescent="0.2">
      <c r="F381" s="50"/>
      <c r="H381"/>
    </row>
    <row r="382" spans="6:8" hidden="1" x14ac:dyDescent="0.2">
      <c r="F382" s="50"/>
      <c r="H382"/>
    </row>
    <row r="383" spans="6:8" hidden="1" x14ac:dyDescent="0.2">
      <c r="F383" s="50"/>
      <c r="H383" s="50"/>
    </row>
    <row r="384" spans="6:8" hidden="1" x14ac:dyDescent="0.2">
      <c r="F384" s="50"/>
      <c r="H384"/>
    </row>
    <row r="385" spans="6:8" hidden="1" x14ac:dyDescent="0.2">
      <c r="F385" s="50"/>
      <c r="H385"/>
    </row>
    <row r="386" spans="6:8" hidden="1" x14ac:dyDescent="0.2">
      <c r="F386" s="50"/>
      <c r="H386" s="50"/>
    </row>
    <row r="387" spans="6:8" hidden="1" x14ac:dyDescent="0.2">
      <c r="F387" s="50"/>
      <c r="H387"/>
    </row>
    <row r="388" spans="6:8" hidden="1" x14ac:dyDescent="0.2">
      <c r="F388" s="50"/>
      <c r="H388"/>
    </row>
    <row r="389" spans="6:8" hidden="1" x14ac:dyDescent="0.2">
      <c r="F389" s="50"/>
      <c r="H389"/>
    </row>
    <row r="390" spans="6:8" hidden="1" x14ac:dyDescent="0.2">
      <c r="F390" s="50"/>
      <c r="H390"/>
    </row>
    <row r="391" spans="6:8" hidden="1" x14ac:dyDescent="0.2">
      <c r="F391" s="50"/>
      <c r="H391"/>
    </row>
    <row r="392" spans="6:8" hidden="1" x14ac:dyDescent="0.2">
      <c r="F392" s="50"/>
      <c r="H392"/>
    </row>
    <row r="393" spans="6:8" hidden="1" x14ac:dyDescent="0.2">
      <c r="F393" s="50"/>
      <c r="H393"/>
    </row>
    <row r="394" spans="6:8" hidden="1" x14ac:dyDescent="0.2">
      <c r="F394" s="50"/>
      <c r="H394"/>
    </row>
    <row r="395" spans="6:8" hidden="1" x14ac:dyDescent="0.2">
      <c r="F395" s="50"/>
      <c r="H395"/>
    </row>
    <row r="396" spans="6:8" hidden="1" x14ac:dyDescent="0.2">
      <c r="F396" s="50"/>
      <c r="H396" s="50"/>
    </row>
    <row r="397" spans="6:8" hidden="1" x14ac:dyDescent="0.2">
      <c r="F397" s="50"/>
      <c r="H397"/>
    </row>
    <row r="398" spans="6:8" hidden="1" x14ac:dyDescent="0.2">
      <c r="F398" s="50"/>
      <c r="H398"/>
    </row>
    <row r="399" spans="6:8" hidden="1" x14ac:dyDescent="0.2">
      <c r="F399" s="50"/>
      <c r="H399"/>
    </row>
    <row r="400" spans="6:8" hidden="1" x14ac:dyDescent="0.2">
      <c r="F400" s="50"/>
      <c r="H400"/>
    </row>
    <row r="401" spans="6:8" hidden="1" x14ac:dyDescent="0.2">
      <c r="F401" s="50"/>
      <c r="H401"/>
    </row>
    <row r="402" spans="6:8" hidden="1" x14ac:dyDescent="0.2">
      <c r="F402" s="50"/>
      <c r="H402"/>
    </row>
    <row r="403" spans="6:8" hidden="1" x14ac:dyDescent="0.2">
      <c r="F403" s="50"/>
      <c r="H403"/>
    </row>
    <row r="404" spans="6:8" hidden="1" x14ac:dyDescent="0.2">
      <c r="F404" s="50"/>
      <c r="H404" s="50"/>
    </row>
    <row r="405" spans="6:8" hidden="1" x14ac:dyDescent="0.2">
      <c r="F405" s="50"/>
      <c r="H405" s="50"/>
    </row>
    <row r="406" spans="6:8" hidden="1" x14ac:dyDescent="0.2">
      <c r="F406" s="50"/>
      <c r="H406"/>
    </row>
    <row r="407" spans="6:8" hidden="1" x14ac:dyDescent="0.2">
      <c r="F407" s="50"/>
      <c r="H407"/>
    </row>
    <row r="408" spans="6:8" hidden="1" x14ac:dyDescent="0.2">
      <c r="F408" s="50"/>
      <c r="H408"/>
    </row>
    <row r="409" spans="6:8" hidden="1" x14ac:dyDescent="0.2">
      <c r="F409" s="50"/>
      <c r="H409"/>
    </row>
    <row r="410" spans="6:8" hidden="1" x14ac:dyDescent="0.2">
      <c r="F410" s="50"/>
      <c r="H410"/>
    </row>
    <row r="411" spans="6:8" hidden="1" x14ac:dyDescent="0.2">
      <c r="F411" s="50"/>
      <c r="H411"/>
    </row>
    <row r="412" spans="6:8" hidden="1" x14ac:dyDescent="0.2">
      <c r="F412" s="50"/>
      <c r="H412"/>
    </row>
    <row r="413" spans="6:8" hidden="1" x14ac:dyDescent="0.2">
      <c r="F413" s="50"/>
      <c r="H413"/>
    </row>
    <row r="414" spans="6:8" hidden="1" x14ac:dyDescent="0.2">
      <c r="F414" s="50"/>
      <c r="H414"/>
    </row>
    <row r="415" spans="6:8" hidden="1" x14ac:dyDescent="0.2">
      <c r="F415" s="50"/>
      <c r="H415"/>
    </row>
    <row r="416" spans="6:8" hidden="1" x14ac:dyDescent="0.2">
      <c r="F416" s="50"/>
      <c r="H416"/>
    </row>
    <row r="417" spans="6:8" hidden="1" x14ac:dyDescent="0.2">
      <c r="F417" s="50"/>
      <c r="H417"/>
    </row>
    <row r="418" spans="6:8" hidden="1" x14ac:dyDescent="0.2">
      <c r="F418" s="50"/>
      <c r="H418"/>
    </row>
    <row r="419" spans="6:8" hidden="1" x14ac:dyDescent="0.2">
      <c r="F419" s="50"/>
      <c r="H419"/>
    </row>
    <row r="420" spans="6:8" hidden="1" x14ac:dyDescent="0.2">
      <c r="F420" s="50"/>
      <c r="H420"/>
    </row>
    <row r="421" spans="6:8" hidden="1" x14ac:dyDescent="0.2">
      <c r="F421" s="50"/>
      <c r="H421"/>
    </row>
    <row r="422" spans="6:8" hidden="1" x14ac:dyDescent="0.2">
      <c r="F422" s="50"/>
      <c r="H422"/>
    </row>
    <row r="423" spans="6:8" hidden="1" x14ac:dyDescent="0.2">
      <c r="F423" s="50"/>
      <c r="H423"/>
    </row>
    <row r="424" spans="6:8" hidden="1" x14ac:dyDescent="0.2">
      <c r="F424" s="50"/>
      <c r="H424"/>
    </row>
    <row r="425" spans="6:8" hidden="1" x14ac:dyDescent="0.2">
      <c r="F425" s="50"/>
      <c r="H425"/>
    </row>
    <row r="426" spans="6:8" hidden="1" x14ac:dyDescent="0.2">
      <c r="F426" s="50"/>
      <c r="H426"/>
    </row>
    <row r="427" spans="6:8" hidden="1" x14ac:dyDescent="0.2">
      <c r="F427" s="50"/>
      <c r="H427" s="50"/>
    </row>
    <row r="428" spans="6:8" hidden="1" x14ac:dyDescent="0.2">
      <c r="F428" s="50"/>
      <c r="H428"/>
    </row>
    <row r="429" spans="6:8" hidden="1" x14ac:dyDescent="0.2">
      <c r="F429" s="50"/>
      <c r="H429"/>
    </row>
    <row r="430" spans="6:8" hidden="1" x14ac:dyDescent="0.2">
      <c r="F430" s="50"/>
      <c r="H430"/>
    </row>
    <row r="431" spans="6:8" hidden="1" x14ac:dyDescent="0.2">
      <c r="F431" s="50"/>
      <c r="H431"/>
    </row>
    <row r="432" spans="6:8" hidden="1" x14ac:dyDescent="0.2">
      <c r="F432" s="50"/>
      <c r="H432"/>
    </row>
    <row r="433" spans="6:8" hidden="1" x14ac:dyDescent="0.2">
      <c r="F433" s="50"/>
      <c r="H433"/>
    </row>
    <row r="434" spans="6:8" hidden="1" x14ac:dyDescent="0.2">
      <c r="F434" s="50"/>
      <c r="H434"/>
    </row>
    <row r="435" spans="6:8" hidden="1" x14ac:dyDescent="0.2">
      <c r="F435" s="50"/>
      <c r="H435"/>
    </row>
    <row r="436" spans="6:8" hidden="1" x14ac:dyDescent="0.2">
      <c r="F436" s="50"/>
      <c r="H436"/>
    </row>
    <row r="437" spans="6:8" hidden="1" x14ac:dyDescent="0.2">
      <c r="F437" s="50"/>
      <c r="H437" s="50"/>
    </row>
    <row r="438" spans="6:8" hidden="1" x14ac:dyDescent="0.2">
      <c r="F438" s="50"/>
      <c r="H438"/>
    </row>
    <row r="439" spans="6:8" hidden="1" x14ac:dyDescent="0.2">
      <c r="F439" s="50"/>
      <c r="H439"/>
    </row>
    <row r="440" spans="6:8" hidden="1" x14ac:dyDescent="0.2">
      <c r="F440" s="50"/>
      <c r="H440"/>
    </row>
    <row r="441" spans="6:8" hidden="1" x14ac:dyDescent="0.2">
      <c r="F441" s="50"/>
      <c r="H441" s="50"/>
    </row>
    <row r="442" spans="6:8" hidden="1" x14ac:dyDescent="0.2">
      <c r="F442" s="50"/>
      <c r="H442"/>
    </row>
    <row r="443" spans="6:8" hidden="1" x14ac:dyDescent="0.2">
      <c r="F443" s="50"/>
      <c r="H443"/>
    </row>
    <row r="444" spans="6:8" hidden="1" x14ac:dyDescent="0.2">
      <c r="F444" s="50"/>
      <c r="H444"/>
    </row>
    <row r="445" spans="6:8" hidden="1" x14ac:dyDescent="0.2">
      <c r="F445" s="50"/>
      <c r="H445"/>
    </row>
    <row r="446" spans="6:8" hidden="1" x14ac:dyDescent="0.2">
      <c r="F446" s="50"/>
      <c r="H446" s="50"/>
    </row>
    <row r="447" spans="6:8" hidden="1" x14ac:dyDescent="0.2">
      <c r="F447" s="50"/>
      <c r="H447"/>
    </row>
    <row r="448" spans="6:8" hidden="1" x14ac:dyDescent="0.2">
      <c r="F448" s="50"/>
      <c r="H448"/>
    </row>
    <row r="449" spans="6:8" hidden="1" x14ac:dyDescent="0.2">
      <c r="F449" s="50"/>
      <c r="H449"/>
    </row>
    <row r="450" spans="6:8" hidden="1" x14ac:dyDescent="0.2">
      <c r="F450" s="50"/>
      <c r="H450"/>
    </row>
    <row r="451" spans="6:8" hidden="1" x14ac:dyDescent="0.2">
      <c r="F451" s="50"/>
      <c r="H451"/>
    </row>
    <row r="452" spans="6:8" hidden="1" x14ac:dyDescent="0.2">
      <c r="F452" s="50"/>
      <c r="H452" s="50"/>
    </row>
    <row r="453" spans="6:8" hidden="1" x14ac:dyDescent="0.2">
      <c r="F453" s="50"/>
      <c r="H453" s="50"/>
    </row>
    <row r="454" spans="6:8" hidden="1" x14ac:dyDescent="0.2">
      <c r="F454" s="50"/>
      <c r="H454" s="50"/>
    </row>
    <row r="455" spans="6:8" hidden="1" x14ac:dyDescent="0.2">
      <c r="F455" s="50"/>
      <c r="H455"/>
    </row>
    <row r="456" spans="6:8" hidden="1" x14ac:dyDescent="0.2">
      <c r="F456" s="50"/>
      <c r="H456"/>
    </row>
    <row r="457" spans="6:8" hidden="1" x14ac:dyDescent="0.2">
      <c r="F457" s="50"/>
      <c r="H457" s="50"/>
    </row>
    <row r="458" spans="6:8" hidden="1" x14ac:dyDescent="0.2">
      <c r="F458" s="50"/>
      <c r="H458" s="50"/>
    </row>
    <row r="459" spans="6:8" hidden="1" x14ac:dyDescent="0.2">
      <c r="F459" s="50"/>
      <c r="H459"/>
    </row>
    <row r="460" spans="6:8" hidden="1" x14ac:dyDescent="0.2">
      <c r="F460" s="50"/>
      <c r="H460" s="50"/>
    </row>
    <row r="461" spans="6:8" hidden="1" x14ac:dyDescent="0.2">
      <c r="F461" s="50"/>
      <c r="H461"/>
    </row>
    <row r="462" spans="6:8" hidden="1" x14ac:dyDescent="0.2">
      <c r="F462" s="50"/>
      <c r="H462"/>
    </row>
    <row r="463" spans="6:8" hidden="1" x14ac:dyDescent="0.2">
      <c r="F463" s="50"/>
      <c r="H463"/>
    </row>
    <row r="464" spans="6:8" hidden="1" x14ac:dyDescent="0.2">
      <c r="F464" s="50"/>
      <c r="H464"/>
    </row>
    <row r="465" spans="6:8" hidden="1" x14ac:dyDescent="0.2">
      <c r="F465" s="50"/>
      <c r="H465"/>
    </row>
    <row r="466" spans="6:8" hidden="1" x14ac:dyDescent="0.2">
      <c r="F466" s="50"/>
      <c r="H466"/>
    </row>
    <row r="467" spans="6:8" hidden="1" x14ac:dyDescent="0.2">
      <c r="F467" s="50"/>
      <c r="H467"/>
    </row>
    <row r="468" spans="6:8" hidden="1" x14ac:dyDescent="0.2">
      <c r="F468" s="50"/>
      <c r="H468"/>
    </row>
    <row r="469" spans="6:8" hidden="1" x14ac:dyDescent="0.2">
      <c r="F469" s="50"/>
      <c r="H469"/>
    </row>
    <row r="470" spans="6:8" hidden="1" x14ac:dyDescent="0.2">
      <c r="F470" s="50"/>
      <c r="H470"/>
    </row>
    <row r="471" spans="6:8" hidden="1" x14ac:dyDescent="0.2">
      <c r="F471" s="50"/>
      <c r="H471"/>
    </row>
    <row r="472" spans="6:8" hidden="1" x14ac:dyDescent="0.2">
      <c r="F472" s="50"/>
      <c r="H472"/>
    </row>
    <row r="473" spans="6:8" hidden="1" x14ac:dyDescent="0.2">
      <c r="F473" s="50"/>
      <c r="H473"/>
    </row>
    <row r="474" spans="6:8" hidden="1" x14ac:dyDescent="0.2">
      <c r="F474" s="50"/>
      <c r="H474"/>
    </row>
    <row r="475" spans="6:8" hidden="1" x14ac:dyDescent="0.2">
      <c r="F475" s="50"/>
      <c r="H475"/>
    </row>
    <row r="476" spans="6:8" hidden="1" x14ac:dyDescent="0.2">
      <c r="F476" s="50"/>
      <c r="H476"/>
    </row>
    <row r="477" spans="6:8" hidden="1" x14ac:dyDescent="0.2">
      <c r="F477" s="50"/>
      <c r="H477"/>
    </row>
    <row r="478" spans="6:8" hidden="1" x14ac:dyDescent="0.2">
      <c r="F478" s="50"/>
      <c r="H478"/>
    </row>
    <row r="479" spans="6:8" hidden="1" x14ac:dyDescent="0.2">
      <c r="F479" s="50"/>
      <c r="H479"/>
    </row>
    <row r="480" spans="6:8" hidden="1" x14ac:dyDescent="0.2">
      <c r="F480" s="50"/>
      <c r="H480" s="50"/>
    </row>
    <row r="481" spans="6:8" hidden="1" x14ac:dyDescent="0.2">
      <c r="F481" s="50"/>
      <c r="H481" s="50"/>
    </row>
    <row r="482" spans="6:8" hidden="1" x14ac:dyDescent="0.2">
      <c r="F482" s="50"/>
      <c r="H482"/>
    </row>
    <row r="483" spans="6:8" hidden="1" x14ac:dyDescent="0.2">
      <c r="F483" s="50"/>
      <c r="H483"/>
    </row>
    <row r="484" spans="6:8" hidden="1" x14ac:dyDescent="0.2">
      <c r="F484" s="50"/>
      <c r="H484"/>
    </row>
    <row r="485" spans="6:8" hidden="1" x14ac:dyDescent="0.2">
      <c r="F485" s="50"/>
      <c r="H485"/>
    </row>
    <row r="486" spans="6:8" hidden="1" x14ac:dyDescent="0.2">
      <c r="F486" s="50"/>
      <c r="H486"/>
    </row>
    <row r="487" spans="6:8" hidden="1" x14ac:dyDescent="0.2">
      <c r="F487" s="50"/>
      <c r="H487"/>
    </row>
    <row r="488" spans="6:8" hidden="1" x14ac:dyDescent="0.2">
      <c r="F488" s="50"/>
      <c r="H488" s="50"/>
    </row>
    <row r="489" spans="6:8" hidden="1" x14ac:dyDescent="0.2">
      <c r="F489" s="50"/>
      <c r="H489"/>
    </row>
    <row r="490" spans="6:8" hidden="1" x14ac:dyDescent="0.2">
      <c r="F490" s="50"/>
      <c r="H490"/>
    </row>
    <row r="491" spans="6:8" hidden="1" x14ac:dyDescent="0.2">
      <c r="F491" s="50"/>
      <c r="H491"/>
    </row>
    <row r="492" spans="6:8" hidden="1" x14ac:dyDescent="0.2">
      <c r="H492"/>
    </row>
    <row r="493" spans="6:8" hidden="1" x14ac:dyDescent="0.2">
      <c r="F493" s="50"/>
      <c r="H493"/>
    </row>
    <row r="494" spans="6:8" hidden="1" x14ac:dyDescent="0.2">
      <c r="F494" s="50"/>
      <c r="H494"/>
    </row>
    <row r="495" spans="6:8" hidden="1" x14ac:dyDescent="0.2">
      <c r="F495" s="50"/>
      <c r="H495"/>
    </row>
    <row r="496" spans="6:8" hidden="1" x14ac:dyDescent="0.2">
      <c r="F496" s="50"/>
      <c r="H496"/>
    </row>
    <row r="497" spans="6:8" hidden="1" x14ac:dyDescent="0.2">
      <c r="F497" s="50"/>
      <c r="H497"/>
    </row>
    <row r="498" spans="6:8" hidden="1" x14ac:dyDescent="0.2">
      <c r="F498" s="50"/>
      <c r="H498"/>
    </row>
    <row r="499" spans="6:8" hidden="1" x14ac:dyDescent="0.2">
      <c r="F499" s="50"/>
      <c r="H499"/>
    </row>
    <row r="500" spans="6:8" hidden="1" x14ac:dyDescent="0.2">
      <c r="F500" s="50"/>
      <c r="H500" s="50"/>
    </row>
    <row r="501" spans="6:8" hidden="1" x14ac:dyDescent="0.2">
      <c r="F501" s="50"/>
      <c r="H501" s="50"/>
    </row>
    <row r="502" spans="6:8" hidden="1" x14ac:dyDescent="0.2">
      <c r="F502" s="50"/>
      <c r="H502"/>
    </row>
    <row r="503" spans="6:8" hidden="1" x14ac:dyDescent="0.2">
      <c r="F503" s="50"/>
      <c r="H503"/>
    </row>
    <row r="504" spans="6:8" hidden="1" x14ac:dyDescent="0.2">
      <c r="F504" s="50"/>
      <c r="H504" s="50"/>
    </row>
    <row r="505" spans="6:8" hidden="1" x14ac:dyDescent="0.2">
      <c r="F505" s="50"/>
      <c r="H505"/>
    </row>
    <row r="506" spans="6:8" hidden="1" x14ac:dyDescent="0.2">
      <c r="F506" s="50"/>
      <c r="H506"/>
    </row>
    <row r="507" spans="6:8" hidden="1" x14ac:dyDescent="0.2">
      <c r="F507" s="50"/>
      <c r="H507" s="50"/>
    </row>
    <row r="508" spans="6:8" hidden="1" x14ac:dyDescent="0.2">
      <c r="F508" s="50"/>
      <c r="H508"/>
    </row>
    <row r="509" spans="6:8" hidden="1" x14ac:dyDescent="0.2">
      <c r="F509" s="50"/>
      <c r="H509"/>
    </row>
    <row r="510" spans="6:8" hidden="1" x14ac:dyDescent="0.2">
      <c r="F510" s="50"/>
      <c r="H510"/>
    </row>
    <row r="511" spans="6:8" hidden="1" x14ac:dyDescent="0.2">
      <c r="F511" s="50"/>
      <c r="H511"/>
    </row>
    <row r="512" spans="6:8" hidden="1" x14ac:dyDescent="0.2">
      <c r="F512" s="50"/>
      <c r="H512"/>
    </row>
    <row r="513" spans="6:8" hidden="1" x14ac:dyDescent="0.2">
      <c r="F513" s="50"/>
      <c r="H513" s="50"/>
    </row>
    <row r="514" spans="6:8" hidden="1" x14ac:dyDescent="0.2">
      <c r="F514" s="50"/>
      <c r="H514" s="50"/>
    </row>
    <row r="515" spans="6:8" hidden="1" x14ac:dyDescent="0.2">
      <c r="F515" s="50"/>
      <c r="H515"/>
    </row>
    <row r="516" spans="6:8" hidden="1" x14ac:dyDescent="0.2">
      <c r="F516" s="50"/>
      <c r="H516" s="50"/>
    </row>
    <row r="517" spans="6:8" hidden="1" x14ac:dyDescent="0.2">
      <c r="F517" s="50"/>
      <c r="H517"/>
    </row>
    <row r="518" spans="6:8" hidden="1" x14ac:dyDescent="0.2">
      <c r="F518" s="50"/>
      <c r="H518"/>
    </row>
    <row r="519" spans="6:8" hidden="1" x14ac:dyDescent="0.2">
      <c r="F519" s="50"/>
      <c r="H519"/>
    </row>
    <row r="520" spans="6:8" hidden="1" x14ac:dyDescent="0.2">
      <c r="F520" s="50"/>
      <c r="H520" s="50"/>
    </row>
    <row r="521" spans="6:8" hidden="1" x14ac:dyDescent="0.2">
      <c r="F521" s="50"/>
      <c r="H521"/>
    </row>
    <row r="522" spans="6:8" hidden="1" x14ac:dyDescent="0.2">
      <c r="F522" s="50"/>
      <c r="H522" s="50"/>
    </row>
    <row r="523" spans="6:8" hidden="1" x14ac:dyDescent="0.2">
      <c r="F523" s="50"/>
      <c r="H523"/>
    </row>
    <row r="524" spans="6:8" hidden="1" x14ac:dyDescent="0.2">
      <c r="F524" s="50"/>
      <c r="H524" s="50"/>
    </row>
    <row r="525" spans="6:8" hidden="1" x14ac:dyDescent="0.2">
      <c r="F525" s="50"/>
      <c r="H525"/>
    </row>
    <row r="526" spans="6:8" hidden="1" x14ac:dyDescent="0.2">
      <c r="F526" s="50"/>
      <c r="H526"/>
    </row>
    <row r="527" spans="6:8" hidden="1" x14ac:dyDescent="0.2">
      <c r="F527" s="50"/>
      <c r="H527"/>
    </row>
    <row r="528" spans="6:8" hidden="1" x14ac:dyDescent="0.2">
      <c r="F528" s="50"/>
      <c r="H528"/>
    </row>
    <row r="529" spans="6:8" hidden="1" x14ac:dyDescent="0.2">
      <c r="F529" s="50"/>
      <c r="H529"/>
    </row>
    <row r="530" spans="6:8" hidden="1" x14ac:dyDescent="0.2">
      <c r="F530" s="50"/>
      <c r="H530"/>
    </row>
    <row r="531" spans="6:8" hidden="1" x14ac:dyDescent="0.2">
      <c r="F531" s="50"/>
      <c r="H531"/>
    </row>
    <row r="532" spans="6:8" hidden="1" x14ac:dyDescent="0.2">
      <c r="F532" s="50"/>
      <c r="H532"/>
    </row>
    <row r="533" spans="6:8" hidden="1" x14ac:dyDescent="0.2">
      <c r="F533" s="50"/>
      <c r="H533"/>
    </row>
    <row r="534" spans="6:8" hidden="1" x14ac:dyDescent="0.2">
      <c r="F534" s="50"/>
      <c r="H534"/>
    </row>
    <row r="535" spans="6:8" hidden="1" x14ac:dyDescent="0.2">
      <c r="F535" s="50"/>
      <c r="H535"/>
    </row>
    <row r="536" spans="6:8" hidden="1" x14ac:dyDescent="0.2">
      <c r="F536" s="50"/>
      <c r="H536"/>
    </row>
    <row r="537" spans="6:8" hidden="1" x14ac:dyDescent="0.2">
      <c r="F537" s="50"/>
      <c r="H537"/>
    </row>
    <row r="538" spans="6:8" hidden="1" x14ac:dyDescent="0.2">
      <c r="F538" s="50"/>
      <c r="H538" s="50"/>
    </row>
    <row r="539" spans="6:8" hidden="1" x14ac:dyDescent="0.2">
      <c r="F539" s="50"/>
      <c r="H539" s="50"/>
    </row>
    <row r="540" spans="6:8" hidden="1" x14ac:dyDescent="0.2">
      <c r="F540" s="50"/>
      <c r="H540" s="50"/>
    </row>
    <row r="541" spans="6:8" hidden="1" x14ac:dyDescent="0.2">
      <c r="F541" s="50"/>
      <c r="H541"/>
    </row>
    <row r="542" spans="6:8" hidden="1" x14ac:dyDescent="0.2">
      <c r="F542" s="50"/>
      <c r="H542"/>
    </row>
    <row r="543" spans="6:8" hidden="1" x14ac:dyDescent="0.2">
      <c r="F543" s="50"/>
      <c r="H543" s="50"/>
    </row>
    <row r="544" spans="6:8" hidden="1" x14ac:dyDescent="0.2">
      <c r="F544" s="50"/>
      <c r="H544"/>
    </row>
    <row r="545" spans="6:8" hidden="1" x14ac:dyDescent="0.2">
      <c r="F545" s="50"/>
      <c r="H545" s="50"/>
    </row>
    <row r="546" spans="6:8" hidden="1" x14ac:dyDescent="0.2">
      <c r="F546" s="50"/>
      <c r="H546"/>
    </row>
    <row r="547" spans="6:8" hidden="1" x14ac:dyDescent="0.2">
      <c r="H547"/>
    </row>
    <row r="548" spans="6:8" hidden="1" x14ac:dyDescent="0.2">
      <c r="H548"/>
    </row>
    <row r="549" spans="6:8" hidden="1" x14ac:dyDescent="0.2">
      <c r="F549" s="50"/>
      <c r="H549" s="50"/>
    </row>
    <row r="550" spans="6:8" hidden="1" x14ac:dyDescent="0.2">
      <c r="F550" s="50"/>
      <c r="H550" s="50"/>
    </row>
    <row r="551" spans="6:8" hidden="1" x14ac:dyDescent="0.2">
      <c r="F551" s="50"/>
      <c r="H551"/>
    </row>
    <row r="552" spans="6:8" hidden="1" x14ac:dyDescent="0.2">
      <c r="F552" s="50"/>
      <c r="H552" s="50"/>
    </row>
    <row r="553" spans="6:8" hidden="1" x14ac:dyDescent="0.2">
      <c r="F553" s="50"/>
      <c r="H553" s="50"/>
    </row>
    <row r="554" spans="6:8" hidden="1" x14ac:dyDescent="0.2">
      <c r="F554" s="50"/>
      <c r="H554"/>
    </row>
    <row r="555" spans="6:8" hidden="1" x14ac:dyDescent="0.2">
      <c r="F555" s="50"/>
      <c r="H555"/>
    </row>
    <row r="556" spans="6:8" hidden="1" x14ac:dyDescent="0.2">
      <c r="F556" s="50"/>
      <c r="H556"/>
    </row>
    <row r="557" spans="6:8" hidden="1" x14ac:dyDescent="0.2">
      <c r="F557" s="50"/>
      <c r="H557"/>
    </row>
    <row r="558" spans="6:8" hidden="1" x14ac:dyDescent="0.2">
      <c r="F558" s="50"/>
      <c r="H558"/>
    </row>
    <row r="559" spans="6:8" hidden="1" x14ac:dyDescent="0.2">
      <c r="F559" s="50"/>
      <c r="H559"/>
    </row>
    <row r="560" spans="6:8" hidden="1" x14ac:dyDescent="0.2">
      <c r="F560" s="50"/>
      <c r="H560"/>
    </row>
    <row r="561" spans="6:8" hidden="1" x14ac:dyDescent="0.2">
      <c r="F561" s="50"/>
      <c r="H561"/>
    </row>
    <row r="562" spans="6:8" hidden="1" x14ac:dyDescent="0.2">
      <c r="F562" s="50"/>
      <c r="H562"/>
    </row>
    <row r="563" spans="6:8" hidden="1" x14ac:dyDescent="0.2">
      <c r="F563" s="50"/>
      <c r="H563"/>
    </row>
    <row r="564" spans="6:8" hidden="1" x14ac:dyDescent="0.2">
      <c r="F564" s="50"/>
      <c r="H564"/>
    </row>
    <row r="565" spans="6:8" hidden="1" x14ac:dyDescent="0.2">
      <c r="F565" s="50"/>
      <c r="H565"/>
    </row>
    <row r="566" spans="6:8" hidden="1" x14ac:dyDescent="0.2">
      <c r="F566" s="50"/>
      <c r="H566"/>
    </row>
    <row r="567" spans="6:8" hidden="1" x14ac:dyDescent="0.2">
      <c r="F567" s="50"/>
      <c r="H567"/>
    </row>
    <row r="568" spans="6:8" hidden="1" x14ac:dyDescent="0.2">
      <c r="F568" s="50"/>
      <c r="H568"/>
    </row>
    <row r="569" spans="6:8" hidden="1" x14ac:dyDescent="0.2">
      <c r="F569" s="50"/>
      <c r="H569"/>
    </row>
    <row r="570" spans="6:8" hidden="1" x14ac:dyDescent="0.2">
      <c r="F570" s="50"/>
      <c r="H570"/>
    </row>
    <row r="571" spans="6:8" hidden="1" x14ac:dyDescent="0.2">
      <c r="F571" s="50"/>
      <c r="H571"/>
    </row>
    <row r="572" spans="6:8" hidden="1" x14ac:dyDescent="0.2">
      <c r="F572" s="50"/>
      <c r="H572"/>
    </row>
    <row r="573" spans="6:8" hidden="1" x14ac:dyDescent="0.2">
      <c r="F573" s="50"/>
      <c r="H573"/>
    </row>
    <row r="574" spans="6:8" hidden="1" x14ac:dyDescent="0.2">
      <c r="F574" s="50"/>
      <c r="H574"/>
    </row>
    <row r="575" spans="6:8" hidden="1" x14ac:dyDescent="0.2">
      <c r="F575" s="50"/>
      <c r="H575"/>
    </row>
    <row r="576" spans="6:8" hidden="1" x14ac:dyDescent="0.2">
      <c r="F576" s="50"/>
      <c r="H576"/>
    </row>
    <row r="577" spans="6:8" hidden="1" x14ac:dyDescent="0.2">
      <c r="F577" s="50"/>
      <c r="H577"/>
    </row>
    <row r="578" spans="6:8" hidden="1" x14ac:dyDescent="0.2">
      <c r="F578" s="50"/>
      <c r="H578"/>
    </row>
    <row r="579" spans="6:8" hidden="1" x14ac:dyDescent="0.2">
      <c r="F579" s="50"/>
      <c r="H579"/>
    </row>
    <row r="580" spans="6:8" hidden="1" x14ac:dyDescent="0.2">
      <c r="F580" s="50"/>
      <c r="H580"/>
    </row>
    <row r="581" spans="6:8" hidden="1" x14ac:dyDescent="0.2">
      <c r="F581" s="50"/>
      <c r="H581"/>
    </row>
    <row r="582" spans="6:8" hidden="1" x14ac:dyDescent="0.2">
      <c r="F582" s="50"/>
      <c r="H582"/>
    </row>
    <row r="583" spans="6:8" hidden="1" x14ac:dyDescent="0.2">
      <c r="F583" s="50"/>
      <c r="H583"/>
    </row>
    <row r="584" spans="6:8" hidden="1" x14ac:dyDescent="0.2">
      <c r="F584" s="50"/>
      <c r="H584" s="50"/>
    </row>
    <row r="585" spans="6:8" hidden="1" x14ac:dyDescent="0.2">
      <c r="F585" s="50"/>
      <c r="H585"/>
    </row>
    <row r="586" spans="6:8" hidden="1" x14ac:dyDescent="0.2">
      <c r="F586" s="50"/>
      <c r="H586"/>
    </row>
    <row r="587" spans="6:8" hidden="1" x14ac:dyDescent="0.2">
      <c r="F587" s="50"/>
      <c r="H587" s="50"/>
    </row>
    <row r="588" spans="6:8" hidden="1" x14ac:dyDescent="0.2">
      <c r="F588" s="50"/>
      <c r="H588"/>
    </row>
    <row r="589" spans="6:8" hidden="1" x14ac:dyDescent="0.2">
      <c r="F589" s="50"/>
      <c r="H589"/>
    </row>
    <row r="590" spans="6:8" hidden="1" x14ac:dyDescent="0.2">
      <c r="F590" s="50"/>
      <c r="H590" s="50"/>
    </row>
    <row r="591" spans="6:8" hidden="1" x14ac:dyDescent="0.2">
      <c r="F591" s="50"/>
      <c r="H591"/>
    </row>
    <row r="592" spans="6:8" hidden="1" x14ac:dyDescent="0.2">
      <c r="F592" s="50"/>
      <c r="H592"/>
    </row>
    <row r="593" spans="6:8" hidden="1" x14ac:dyDescent="0.2">
      <c r="F593" s="50"/>
      <c r="H593"/>
    </row>
    <row r="594" spans="6:8" hidden="1" x14ac:dyDescent="0.2">
      <c r="F594" s="50"/>
      <c r="H594"/>
    </row>
    <row r="595" spans="6:8" hidden="1" x14ac:dyDescent="0.2">
      <c r="F595" s="50"/>
      <c r="H595"/>
    </row>
    <row r="596" spans="6:8" hidden="1" x14ac:dyDescent="0.2">
      <c r="F596" s="50"/>
      <c r="H596"/>
    </row>
    <row r="597" spans="6:8" hidden="1" x14ac:dyDescent="0.2">
      <c r="F597" s="50"/>
      <c r="H597"/>
    </row>
    <row r="598" spans="6:8" hidden="1" x14ac:dyDescent="0.2">
      <c r="F598" s="50"/>
      <c r="H598"/>
    </row>
    <row r="599" spans="6:8" hidden="1" x14ac:dyDescent="0.2">
      <c r="F599" s="50"/>
      <c r="H599"/>
    </row>
    <row r="600" spans="6:8" hidden="1" x14ac:dyDescent="0.2">
      <c r="F600" s="50"/>
      <c r="H600"/>
    </row>
    <row r="601" spans="6:8" hidden="1" x14ac:dyDescent="0.2">
      <c r="F601" s="50"/>
      <c r="H601"/>
    </row>
    <row r="602" spans="6:8" hidden="1" x14ac:dyDescent="0.2">
      <c r="F602" s="50"/>
      <c r="H602" s="50"/>
    </row>
    <row r="603" spans="6:8" hidden="1" x14ac:dyDescent="0.2">
      <c r="F603" s="50"/>
      <c r="H603"/>
    </row>
    <row r="604" spans="6:8" hidden="1" x14ac:dyDescent="0.2">
      <c r="F604" s="50"/>
      <c r="H604"/>
    </row>
    <row r="605" spans="6:8" hidden="1" x14ac:dyDescent="0.2">
      <c r="F605" s="50"/>
      <c r="H605"/>
    </row>
    <row r="606" spans="6:8" hidden="1" x14ac:dyDescent="0.2">
      <c r="F606" s="50"/>
      <c r="H606"/>
    </row>
    <row r="607" spans="6:8" hidden="1" x14ac:dyDescent="0.2">
      <c r="F607" s="50"/>
      <c r="H607"/>
    </row>
    <row r="608" spans="6:8" hidden="1" x14ac:dyDescent="0.2">
      <c r="F608" s="50"/>
      <c r="H608"/>
    </row>
    <row r="609" spans="6:8" hidden="1" x14ac:dyDescent="0.2">
      <c r="F609" s="50"/>
      <c r="H609"/>
    </row>
    <row r="610" spans="6:8" hidden="1" x14ac:dyDescent="0.2">
      <c r="F610" s="50"/>
      <c r="H610"/>
    </row>
    <row r="611" spans="6:8" hidden="1" x14ac:dyDescent="0.2">
      <c r="F611" s="50"/>
      <c r="H611"/>
    </row>
    <row r="612" spans="6:8" hidden="1" x14ac:dyDescent="0.2">
      <c r="F612" s="50"/>
      <c r="H612" s="50"/>
    </row>
    <row r="613" spans="6:8" hidden="1" x14ac:dyDescent="0.2">
      <c r="F613" s="50"/>
      <c r="H613"/>
    </row>
    <row r="614" spans="6:8" hidden="1" x14ac:dyDescent="0.2">
      <c r="F614" s="50"/>
      <c r="H614"/>
    </row>
    <row r="615" spans="6:8" hidden="1" x14ac:dyDescent="0.2">
      <c r="F615" s="50"/>
      <c r="H615"/>
    </row>
    <row r="616" spans="6:8" hidden="1" x14ac:dyDescent="0.2">
      <c r="F616" s="50"/>
      <c r="H616"/>
    </row>
    <row r="617" spans="6:8" hidden="1" x14ac:dyDescent="0.2">
      <c r="F617" s="50"/>
      <c r="H617"/>
    </row>
    <row r="618" spans="6:8" hidden="1" x14ac:dyDescent="0.2">
      <c r="F618" s="50"/>
      <c r="H618" s="50"/>
    </row>
    <row r="619" spans="6:8" hidden="1" x14ac:dyDescent="0.2">
      <c r="F619" s="50"/>
      <c r="H619"/>
    </row>
    <row r="620" spans="6:8" hidden="1" x14ac:dyDescent="0.2">
      <c r="F620" s="50"/>
      <c r="H620"/>
    </row>
    <row r="621" spans="6:8" hidden="1" x14ac:dyDescent="0.2">
      <c r="F621" s="50"/>
      <c r="H621"/>
    </row>
    <row r="622" spans="6:8" hidden="1" x14ac:dyDescent="0.2">
      <c r="F622" s="50"/>
      <c r="H622" s="50"/>
    </row>
    <row r="623" spans="6:8" hidden="1" x14ac:dyDescent="0.2">
      <c r="F623" s="50"/>
      <c r="H623"/>
    </row>
    <row r="624" spans="6:8" hidden="1" x14ac:dyDescent="0.2">
      <c r="F624" s="50"/>
      <c r="H624"/>
    </row>
    <row r="625" spans="6:8" hidden="1" x14ac:dyDescent="0.2">
      <c r="F625" s="50"/>
      <c r="H625" s="50"/>
    </row>
    <row r="626" spans="6:8" hidden="1" x14ac:dyDescent="0.2">
      <c r="F626" s="50"/>
      <c r="H626" s="50"/>
    </row>
    <row r="627" spans="6:8" hidden="1" x14ac:dyDescent="0.2">
      <c r="F627" s="50"/>
      <c r="H627" s="50"/>
    </row>
    <row r="628" spans="6:8" hidden="1" x14ac:dyDescent="0.2">
      <c r="F628" s="50"/>
      <c r="H628" s="50"/>
    </row>
    <row r="629" spans="6:8" hidden="1" x14ac:dyDescent="0.2">
      <c r="F629" s="50"/>
      <c r="H629" s="50"/>
    </row>
    <row r="630" spans="6:8" hidden="1" x14ac:dyDescent="0.2">
      <c r="F630" s="50"/>
      <c r="H630" s="50"/>
    </row>
    <row r="631" spans="6:8" hidden="1" x14ac:dyDescent="0.2">
      <c r="F631" s="50"/>
      <c r="H631"/>
    </row>
    <row r="632" spans="6:8" hidden="1" x14ac:dyDescent="0.2">
      <c r="F632" s="50"/>
      <c r="H632" s="50"/>
    </row>
    <row r="633" spans="6:8" hidden="1" x14ac:dyDescent="0.2">
      <c r="F633" s="50"/>
      <c r="H633"/>
    </row>
    <row r="634" spans="6:8" hidden="1" x14ac:dyDescent="0.2">
      <c r="F634" s="50"/>
      <c r="H634" s="50"/>
    </row>
    <row r="635" spans="6:8" hidden="1" x14ac:dyDescent="0.2">
      <c r="F635" s="50"/>
      <c r="H635"/>
    </row>
    <row r="636" spans="6:8" hidden="1" x14ac:dyDescent="0.2">
      <c r="F636" s="50"/>
      <c r="H636" s="50"/>
    </row>
    <row r="637" spans="6:8" hidden="1" x14ac:dyDescent="0.2">
      <c r="F637" s="50"/>
      <c r="H637"/>
    </row>
    <row r="638" spans="6:8" hidden="1" x14ac:dyDescent="0.2">
      <c r="F638" s="50"/>
      <c r="H638"/>
    </row>
    <row r="639" spans="6:8" hidden="1" x14ac:dyDescent="0.2">
      <c r="F639" s="50"/>
      <c r="H639"/>
    </row>
    <row r="640" spans="6:8" hidden="1" x14ac:dyDescent="0.2">
      <c r="F640" s="50"/>
      <c r="H640"/>
    </row>
    <row r="641" spans="6:8" hidden="1" x14ac:dyDescent="0.2">
      <c r="F641" s="50"/>
      <c r="H641"/>
    </row>
    <row r="642" spans="6:8" hidden="1" x14ac:dyDescent="0.2">
      <c r="F642" s="50"/>
      <c r="H642"/>
    </row>
    <row r="643" spans="6:8" hidden="1" x14ac:dyDescent="0.2">
      <c r="F643" s="50"/>
      <c r="H643"/>
    </row>
    <row r="644" spans="6:8" hidden="1" x14ac:dyDescent="0.2">
      <c r="F644" s="50"/>
      <c r="H644"/>
    </row>
    <row r="645" spans="6:8" hidden="1" x14ac:dyDescent="0.2">
      <c r="H645"/>
    </row>
    <row r="646" spans="6:8" hidden="1" x14ac:dyDescent="0.2">
      <c r="H646"/>
    </row>
    <row r="647" spans="6:8" hidden="1" x14ac:dyDescent="0.2">
      <c r="F647" s="50"/>
      <c r="H647"/>
    </row>
    <row r="648" spans="6:8" hidden="1" x14ac:dyDescent="0.2">
      <c r="F648" s="50"/>
      <c r="H648" s="50"/>
    </row>
    <row r="649" spans="6:8" hidden="1" x14ac:dyDescent="0.2">
      <c r="F649" s="50"/>
      <c r="H649"/>
    </row>
    <row r="650" spans="6:8" hidden="1" x14ac:dyDescent="0.2">
      <c r="F650" s="50"/>
      <c r="H650"/>
    </row>
    <row r="651" spans="6:8" hidden="1" x14ac:dyDescent="0.2">
      <c r="F651" s="50"/>
      <c r="H651"/>
    </row>
    <row r="652" spans="6:8" hidden="1" x14ac:dyDescent="0.2">
      <c r="F652" s="50"/>
      <c r="H652"/>
    </row>
    <row r="653" spans="6:8" hidden="1" x14ac:dyDescent="0.2">
      <c r="F653" s="50"/>
      <c r="H653"/>
    </row>
    <row r="654" spans="6:8" hidden="1" x14ac:dyDescent="0.2">
      <c r="F654" s="50"/>
      <c r="H654" s="50"/>
    </row>
    <row r="655" spans="6:8" hidden="1" x14ac:dyDescent="0.2">
      <c r="F655" s="50"/>
      <c r="H655"/>
    </row>
    <row r="656" spans="6:8" hidden="1" x14ac:dyDescent="0.2">
      <c r="F656" s="50"/>
      <c r="H656"/>
    </row>
    <row r="657" spans="6:8" hidden="1" x14ac:dyDescent="0.2">
      <c r="F657" s="50"/>
      <c r="H657"/>
    </row>
    <row r="658" spans="6:8" hidden="1" x14ac:dyDescent="0.2">
      <c r="F658" s="50"/>
      <c r="H658" s="50"/>
    </row>
    <row r="659" spans="6:8" hidden="1" x14ac:dyDescent="0.2">
      <c r="H659"/>
    </row>
    <row r="660" spans="6:8" hidden="1" x14ac:dyDescent="0.2">
      <c r="F660" s="50"/>
      <c r="H660"/>
    </row>
    <row r="661" spans="6:8" hidden="1" x14ac:dyDescent="0.2">
      <c r="F661" s="50"/>
      <c r="H661"/>
    </row>
    <row r="662" spans="6:8" hidden="1" x14ac:dyDescent="0.2">
      <c r="F662" s="50"/>
      <c r="H662"/>
    </row>
    <row r="663" spans="6:8" hidden="1" x14ac:dyDescent="0.2">
      <c r="F663" s="50"/>
      <c r="H663" s="50"/>
    </row>
    <row r="664" spans="6:8" hidden="1" x14ac:dyDescent="0.2">
      <c r="F664" s="50"/>
      <c r="H664"/>
    </row>
    <row r="665" spans="6:8" hidden="1" x14ac:dyDescent="0.2">
      <c r="F665" s="50"/>
      <c r="H665"/>
    </row>
    <row r="666" spans="6:8" hidden="1" x14ac:dyDescent="0.2">
      <c r="F666" s="50"/>
      <c r="H666" s="50"/>
    </row>
    <row r="667" spans="6:8" hidden="1" x14ac:dyDescent="0.2">
      <c r="F667" s="50"/>
      <c r="H667"/>
    </row>
    <row r="668" spans="6:8" hidden="1" x14ac:dyDescent="0.2">
      <c r="F668" s="50"/>
      <c r="H668"/>
    </row>
    <row r="669" spans="6:8" hidden="1" x14ac:dyDescent="0.2">
      <c r="F669" s="50"/>
      <c r="H669" s="50"/>
    </row>
    <row r="670" spans="6:8" hidden="1" x14ac:dyDescent="0.2">
      <c r="F670" s="50"/>
      <c r="H670"/>
    </row>
    <row r="671" spans="6:8" hidden="1" x14ac:dyDescent="0.2">
      <c r="F671" s="50"/>
      <c r="H671"/>
    </row>
    <row r="672" spans="6:8" hidden="1" x14ac:dyDescent="0.2">
      <c r="F672" s="50"/>
      <c r="H672" s="50"/>
    </row>
    <row r="673" spans="6:8" hidden="1" x14ac:dyDescent="0.2">
      <c r="F673" s="50"/>
      <c r="H673"/>
    </row>
    <row r="674" spans="6:8" hidden="1" x14ac:dyDescent="0.2">
      <c r="F674" s="50"/>
      <c r="H674" s="50"/>
    </row>
    <row r="675" spans="6:8" hidden="1" x14ac:dyDescent="0.2">
      <c r="F675" s="50"/>
      <c r="H675" s="50"/>
    </row>
    <row r="676" spans="6:8" hidden="1" x14ac:dyDescent="0.2">
      <c r="F676" s="50"/>
      <c r="H676"/>
    </row>
    <row r="677" spans="6:8" hidden="1" x14ac:dyDescent="0.2">
      <c r="F677" s="50"/>
      <c r="H677"/>
    </row>
    <row r="678" spans="6:8" hidden="1" x14ac:dyDescent="0.2">
      <c r="F678" s="50"/>
      <c r="H678"/>
    </row>
    <row r="679" spans="6:8" hidden="1" x14ac:dyDescent="0.2">
      <c r="F679" s="50"/>
      <c r="H679" s="50"/>
    </row>
    <row r="680" spans="6:8" hidden="1" x14ac:dyDescent="0.2">
      <c r="F680" s="50"/>
      <c r="H680" s="50"/>
    </row>
    <row r="681" spans="6:8" hidden="1" x14ac:dyDescent="0.2">
      <c r="F681" s="50"/>
      <c r="H681"/>
    </row>
    <row r="682" spans="6:8" hidden="1" x14ac:dyDescent="0.2">
      <c r="F682" s="50"/>
      <c r="H682"/>
    </row>
    <row r="683" spans="6:8" hidden="1" x14ac:dyDescent="0.2">
      <c r="F683" s="50"/>
      <c r="H683" s="50"/>
    </row>
    <row r="684" spans="6:8" hidden="1" x14ac:dyDescent="0.2">
      <c r="F684" s="50"/>
      <c r="H684"/>
    </row>
    <row r="685" spans="6:8" hidden="1" x14ac:dyDescent="0.2">
      <c r="F685" s="50"/>
      <c r="H685"/>
    </row>
    <row r="686" spans="6:8" hidden="1" x14ac:dyDescent="0.2">
      <c r="F686" s="50"/>
      <c r="H686"/>
    </row>
    <row r="687" spans="6:8" hidden="1" x14ac:dyDescent="0.2">
      <c r="F687" s="50"/>
      <c r="H687"/>
    </row>
    <row r="688" spans="6:8" hidden="1" x14ac:dyDescent="0.2">
      <c r="F688" s="50"/>
      <c r="H688"/>
    </row>
    <row r="689" spans="6:8" hidden="1" x14ac:dyDescent="0.2">
      <c r="F689" s="50"/>
      <c r="H689"/>
    </row>
    <row r="690" spans="6:8" hidden="1" x14ac:dyDescent="0.2">
      <c r="F690" s="50"/>
      <c r="H690" s="50"/>
    </row>
    <row r="691" spans="6:8" hidden="1" x14ac:dyDescent="0.2">
      <c r="F691" s="50"/>
      <c r="H691"/>
    </row>
    <row r="692" spans="6:8" hidden="1" x14ac:dyDescent="0.2">
      <c r="F692" s="50"/>
      <c r="H692"/>
    </row>
    <row r="693" spans="6:8" hidden="1" x14ac:dyDescent="0.2">
      <c r="F693" s="50"/>
      <c r="H693"/>
    </row>
    <row r="694" spans="6:8" hidden="1" x14ac:dyDescent="0.2">
      <c r="F694" s="50"/>
      <c r="H694" s="50"/>
    </row>
    <row r="695" spans="6:8" hidden="1" x14ac:dyDescent="0.2">
      <c r="F695" s="50"/>
      <c r="H695" s="50"/>
    </row>
    <row r="696" spans="6:8" hidden="1" x14ac:dyDescent="0.2">
      <c r="F696" s="50"/>
      <c r="H696"/>
    </row>
    <row r="697" spans="6:8" hidden="1" x14ac:dyDescent="0.2">
      <c r="F697" s="50"/>
      <c r="H697"/>
    </row>
    <row r="698" spans="6:8" hidden="1" x14ac:dyDescent="0.2">
      <c r="F698" s="50"/>
      <c r="H698"/>
    </row>
    <row r="699" spans="6:8" hidden="1" x14ac:dyDescent="0.2">
      <c r="F699" s="50"/>
      <c r="H699" s="50"/>
    </row>
    <row r="700" spans="6:8" hidden="1" x14ac:dyDescent="0.2">
      <c r="F700" s="50"/>
      <c r="H700"/>
    </row>
    <row r="701" spans="6:8" hidden="1" x14ac:dyDescent="0.2">
      <c r="F701" s="50"/>
      <c r="H701" s="50"/>
    </row>
    <row r="702" spans="6:8" hidden="1" x14ac:dyDescent="0.2">
      <c r="F702" s="50"/>
      <c r="H702" s="50"/>
    </row>
    <row r="703" spans="6:8" hidden="1" x14ac:dyDescent="0.2">
      <c r="F703" s="50"/>
      <c r="H703" s="50"/>
    </row>
    <row r="704" spans="6:8" hidden="1" x14ac:dyDescent="0.2">
      <c r="F704" s="50"/>
      <c r="H704"/>
    </row>
    <row r="705" spans="6:8" hidden="1" x14ac:dyDescent="0.2">
      <c r="F705" s="50"/>
      <c r="H705" s="50"/>
    </row>
    <row r="706" spans="6:8" hidden="1" x14ac:dyDescent="0.2">
      <c r="F706" s="50"/>
      <c r="H706" s="50"/>
    </row>
    <row r="707" spans="6:8" hidden="1" x14ac:dyDescent="0.2">
      <c r="F707" s="50"/>
      <c r="H707" s="50"/>
    </row>
    <row r="708" spans="6:8" hidden="1" x14ac:dyDescent="0.2">
      <c r="F708" s="50"/>
      <c r="H708" s="50"/>
    </row>
    <row r="709" spans="6:8" hidden="1" x14ac:dyDescent="0.2">
      <c r="F709" s="50"/>
      <c r="H709"/>
    </row>
    <row r="710" spans="6:8" hidden="1" x14ac:dyDescent="0.2">
      <c r="F710" s="50"/>
      <c r="H710"/>
    </row>
    <row r="711" spans="6:8" hidden="1" x14ac:dyDescent="0.2">
      <c r="F711" s="50"/>
      <c r="H711"/>
    </row>
    <row r="712" spans="6:8" hidden="1" x14ac:dyDescent="0.2">
      <c r="F712" s="50"/>
      <c r="H712"/>
    </row>
    <row r="713" spans="6:8" hidden="1" x14ac:dyDescent="0.2">
      <c r="F713" s="50"/>
      <c r="H713"/>
    </row>
    <row r="714" spans="6:8" hidden="1" x14ac:dyDescent="0.2">
      <c r="F714" s="50"/>
      <c r="H714"/>
    </row>
    <row r="715" spans="6:8" hidden="1" x14ac:dyDescent="0.2">
      <c r="F715" s="50"/>
      <c r="H715"/>
    </row>
    <row r="716" spans="6:8" hidden="1" x14ac:dyDescent="0.2">
      <c r="F716" s="50"/>
      <c r="H716"/>
    </row>
    <row r="717" spans="6:8" hidden="1" x14ac:dyDescent="0.2">
      <c r="F717" s="50"/>
      <c r="H717"/>
    </row>
    <row r="718" spans="6:8" hidden="1" x14ac:dyDescent="0.2">
      <c r="F718" s="50"/>
      <c r="H718" s="50"/>
    </row>
    <row r="719" spans="6:8" hidden="1" x14ac:dyDescent="0.2">
      <c r="F719" s="50"/>
      <c r="H719" s="50"/>
    </row>
    <row r="720" spans="6:8" hidden="1" x14ac:dyDescent="0.2">
      <c r="F720" s="50"/>
      <c r="H720"/>
    </row>
    <row r="721" spans="6:8" hidden="1" x14ac:dyDescent="0.2">
      <c r="F721" s="50"/>
      <c r="H721"/>
    </row>
    <row r="722" spans="6:8" hidden="1" x14ac:dyDescent="0.2">
      <c r="F722" s="50"/>
      <c r="H722"/>
    </row>
    <row r="723" spans="6:8" hidden="1" x14ac:dyDescent="0.2">
      <c r="F723" s="50"/>
      <c r="H723"/>
    </row>
    <row r="724" spans="6:8" hidden="1" x14ac:dyDescent="0.2">
      <c r="F724" s="50"/>
      <c r="H724"/>
    </row>
    <row r="725" spans="6:8" hidden="1" x14ac:dyDescent="0.2">
      <c r="F725" s="50"/>
      <c r="H725" s="50"/>
    </row>
    <row r="726" spans="6:8" hidden="1" x14ac:dyDescent="0.2">
      <c r="F726" s="50"/>
      <c r="H726"/>
    </row>
    <row r="727" spans="6:8" hidden="1" x14ac:dyDescent="0.2">
      <c r="H727"/>
    </row>
    <row r="728" spans="6:8" hidden="1" x14ac:dyDescent="0.2">
      <c r="F728" s="50"/>
      <c r="H728"/>
    </row>
    <row r="729" spans="6:8" hidden="1" x14ac:dyDescent="0.2">
      <c r="H729"/>
    </row>
    <row r="730" spans="6:8" hidden="1" x14ac:dyDescent="0.2">
      <c r="F730" s="50"/>
      <c r="H730" s="50"/>
    </row>
    <row r="731" spans="6:8" hidden="1" x14ac:dyDescent="0.2">
      <c r="F731" s="50"/>
      <c r="H731" s="50"/>
    </row>
    <row r="732" spans="6:8" hidden="1" x14ac:dyDescent="0.2">
      <c r="F732" s="50"/>
      <c r="H732" s="50"/>
    </row>
    <row r="733" spans="6:8" hidden="1" x14ac:dyDescent="0.2">
      <c r="F733" s="50"/>
      <c r="H733" s="50"/>
    </row>
    <row r="734" spans="6:8" hidden="1" x14ac:dyDescent="0.2">
      <c r="F734" s="50"/>
      <c r="H734"/>
    </row>
    <row r="735" spans="6:8" hidden="1" x14ac:dyDescent="0.2">
      <c r="F735" s="50"/>
      <c r="H735"/>
    </row>
    <row r="736" spans="6:8" hidden="1" x14ac:dyDescent="0.2">
      <c r="F736" s="50"/>
      <c r="H736"/>
    </row>
    <row r="737" spans="6:8" hidden="1" x14ac:dyDescent="0.2">
      <c r="F737" s="50"/>
      <c r="H737"/>
    </row>
    <row r="738" spans="6:8" hidden="1" x14ac:dyDescent="0.2">
      <c r="F738" s="50"/>
      <c r="H738" s="50"/>
    </row>
    <row r="739" spans="6:8" hidden="1" x14ac:dyDescent="0.2">
      <c r="F739" s="50"/>
      <c r="H739"/>
    </row>
    <row r="740" spans="6:8" hidden="1" x14ac:dyDescent="0.2">
      <c r="F740" s="50"/>
      <c r="H740" s="50"/>
    </row>
    <row r="741" spans="6:8" hidden="1" x14ac:dyDescent="0.2">
      <c r="F741" s="50"/>
      <c r="H741" s="50"/>
    </row>
    <row r="742" spans="6:8" hidden="1" x14ac:dyDescent="0.2">
      <c r="F742" s="50"/>
      <c r="H742"/>
    </row>
    <row r="743" spans="6:8" hidden="1" x14ac:dyDescent="0.2">
      <c r="F743" s="50"/>
      <c r="H743"/>
    </row>
    <row r="744" spans="6:8" hidden="1" x14ac:dyDescent="0.2">
      <c r="F744" s="50"/>
      <c r="H744"/>
    </row>
    <row r="745" spans="6:8" hidden="1" x14ac:dyDescent="0.2">
      <c r="F745" s="50"/>
      <c r="H745"/>
    </row>
    <row r="746" spans="6:8" hidden="1" x14ac:dyDescent="0.2">
      <c r="F746" s="50"/>
      <c r="H746"/>
    </row>
    <row r="747" spans="6:8" hidden="1" x14ac:dyDescent="0.2">
      <c r="F747" s="50"/>
      <c r="H747"/>
    </row>
    <row r="748" spans="6:8" hidden="1" x14ac:dyDescent="0.2">
      <c r="F748" s="50"/>
      <c r="H748"/>
    </row>
    <row r="749" spans="6:8" ht="15" hidden="1" x14ac:dyDescent="0.25">
      <c r="F749" s="50"/>
      <c r="H749" s="61"/>
    </row>
    <row r="750" spans="6:8" hidden="1" x14ac:dyDescent="0.2">
      <c r="F750" s="50"/>
      <c r="H750"/>
    </row>
    <row r="751" spans="6:8" hidden="1" x14ac:dyDescent="0.2">
      <c r="F751" s="50"/>
      <c r="H751"/>
    </row>
    <row r="752" spans="6:8" hidden="1" x14ac:dyDescent="0.2">
      <c r="F752" s="50"/>
      <c r="H752"/>
    </row>
    <row r="753" spans="6:8" hidden="1" x14ac:dyDescent="0.2">
      <c r="F753" s="50"/>
      <c r="H753"/>
    </row>
    <row r="754" spans="6:8" hidden="1" x14ac:dyDescent="0.2">
      <c r="F754" s="50"/>
      <c r="H754" s="50"/>
    </row>
    <row r="755" spans="6:8" hidden="1" x14ac:dyDescent="0.2">
      <c r="F755" s="50"/>
      <c r="H755"/>
    </row>
    <row r="756" spans="6:8" hidden="1" x14ac:dyDescent="0.2">
      <c r="F756" s="50"/>
      <c r="H756"/>
    </row>
    <row r="757" spans="6:8" hidden="1" x14ac:dyDescent="0.2">
      <c r="F757" s="50"/>
      <c r="H757" s="50"/>
    </row>
    <row r="758" spans="6:8" hidden="1" x14ac:dyDescent="0.2">
      <c r="F758" s="50"/>
      <c r="H758"/>
    </row>
    <row r="759" spans="6:8" hidden="1" x14ac:dyDescent="0.2">
      <c r="F759" s="50"/>
      <c r="H759"/>
    </row>
    <row r="760" spans="6:8" hidden="1" x14ac:dyDescent="0.2">
      <c r="F760" s="50"/>
      <c r="H760"/>
    </row>
    <row r="761" spans="6:8" hidden="1" x14ac:dyDescent="0.2">
      <c r="F761" s="50"/>
      <c r="H761"/>
    </row>
    <row r="762" spans="6:8" hidden="1" x14ac:dyDescent="0.2">
      <c r="F762" s="50"/>
      <c r="H762"/>
    </row>
    <row r="763" spans="6:8" hidden="1" x14ac:dyDescent="0.2">
      <c r="F763" s="50"/>
      <c r="H763"/>
    </row>
    <row r="764" spans="6:8" hidden="1" x14ac:dyDescent="0.2">
      <c r="F764" s="50"/>
      <c r="H764"/>
    </row>
    <row r="765" spans="6:8" hidden="1" x14ac:dyDescent="0.2">
      <c r="F765" s="50"/>
      <c r="H765" s="50"/>
    </row>
    <row r="766" spans="6:8" hidden="1" x14ac:dyDescent="0.2">
      <c r="F766" s="50"/>
      <c r="H766" s="50"/>
    </row>
    <row r="767" spans="6:8" hidden="1" x14ac:dyDescent="0.2">
      <c r="F767" s="50"/>
      <c r="H767" s="50"/>
    </row>
    <row r="768" spans="6:8" hidden="1" x14ac:dyDescent="0.2">
      <c r="F768" s="50"/>
      <c r="H768"/>
    </row>
    <row r="769" spans="6:8" hidden="1" x14ac:dyDescent="0.2">
      <c r="F769" s="50"/>
      <c r="H769"/>
    </row>
    <row r="770" spans="6:8" hidden="1" x14ac:dyDescent="0.2">
      <c r="F770" s="50"/>
      <c r="H770"/>
    </row>
    <row r="771" spans="6:8" hidden="1" x14ac:dyDescent="0.2">
      <c r="F771" s="50"/>
      <c r="H771"/>
    </row>
    <row r="772" spans="6:8" hidden="1" x14ac:dyDescent="0.2">
      <c r="F772" s="50"/>
      <c r="H772" s="50"/>
    </row>
    <row r="773" spans="6:8" hidden="1" x14ac:dyDescent="0.2">
      <c r="F773" s="50"/>
      <c r="H773" s="50"/>
    </row>
    <row r="774" spans="6:8" hidden="1" x14ac:dyDescent="0.2">
      <c r="F774" s="50"/>
      <c r="H774"/>
    </row>
    <row r="775" spans="6:8" hidden="1" x14ac:dyDescent="0.2">
      <c r="F775" s="50"/>
      <c r="H775"/>
    </row>
    <row r="776" spans="6:8" hidden="1" x14ac:dyDescent="0.2">
      <c r="F776" s="50"/>
      <c r="H776"/>
    </row>
    <row r="777" spans="6:8" hidden="1" x14ac:dyDescent="0.2">
      <c r="F777" s="50"/>
      <c r="H777"/>
    </row>
    <row r="778" spans="6:8" hidden="1" x14ac:dyDescent="0.2">
      <c r="F778" s="50"/>
      <c r="H778"/>
    </row>
    <row r="779" spans="6:8" hidden="1" x14ac:dyDescent="0.2">
      <c r="F779" s="50"/>
      <c r="H779"/>
    </row>
    <row r="780" spans="6:8" hidden="1" x14ac:dyDescent="0.2">
      <c r="F780" s="50"/>
      <c r="H780"/>
    </row>
    <row r="781" spans="6:8" hidden="1" x14ac:dyDescent="0.2">
      <c r="F781" s="50"/>
      <c r="H781"/>
    </row>
    <row r="782" spans="6:8" hidden="1" x14ac:dyDescent="0.2">
      <c r="F782" s="50"/>
      <c r="H782"/>
    </row>
    <row r="783" spans="6:8" hidden="1" x14ac:dyDescent="0.2">
      <c r="F783" s="50"/>
      <c r="H783"/>
    </row>
    <row r="784" spans="6:8" hidden="1" x14ac:dyDescent="0.2">
      <c r="F784" s="50"/>
      <c r="H784"/>
    </row>
    <row r="785" spans="6:8" hidden="1" x14ac:dyDescent="0.2">
      <c r="F785" s="50"/>
      <c r="H785"/>
    </row>
    <row r="786" spans="6:8" hidden="1" x14ac:dyDescent="0.2">
      <c r="F786" s="50"/>
      <c r="H786"/>
    </row>
    <row r="787" spans="6:8" hidden="1" x14ac:dyDescent="0.2">
      <c r="F787" s="50"/>
      <c r="H787"/>
    </row>
    <row r="788" spans="6:8" hidden="1" x14ac:dyDescent="0.2">
      <c r="F788" s="50"/>
      <c r="H788" s="50"/>
    </row>
    <row r="789" spans="6:8" hidden="1" x14ac:dyDescent="0.2">
      <c r="F789" s="50"/>
      <c r="H789"/>
    </row>
    <row r="790" spans="6:8" hidden="1" x14ac:dyDescent="0.2">
      <c r="F790" s="50"/>
      <c r="H790"/>
    </row>
    <row r="791" spans="6:8" hidden="1" x14ac:dyDescent="0.2">
      <c r="F791" s="50"/>
      <c r="H791"/>
    </row>
    <row r="792" spans="6:8" hidden="1" x14ac:dyDescent="0.2">
      <c r="H792"/>
    </row>
    <row r="793" spans="6:8" hidden="1" x14ac:dyDescent="0.2">
      <c r="F793" s="50"/>
      <c r="H793"/>
    </row>
    <row r="794" spans="6:8" hidden="1" x14ac:dyDescent="0.2">
      <c r="F794" s="50"/>
      <c r="H794"/>
    </row>
    <row r="795" spans="6:8" hidden="1" x14ac:dyDescent="0.2">
      <c r="F795" s="50"/>
      <c r="H795" s="50"/>
    </row>
    <row r="796" spans="6:8" hidden="1" x14ac:dyDescent="0.2">
      <c r="F796" s="50"/>
      <c r="H796" s="50"/>
    </row>
    <row r="797" spans="6:8" hidden="1" x14ac:dyDescent="0.2">
      <c r="F797" s="50"/>
      <c r="H797"/>
    </row>
    <row r="798" spans="6:8" hidden="1" x14ac:dyDescent="0.2">
      <c r="F798" s="50"/>
      <c r="H798"/>
    </row>
    <row r="799" spans="6:8" hidden="1" x14ac:dyDescent="0.2">
      <c r="F799" s="50"/>
      <c r="H799"/>
    </row>
    <row r="800" spans="6:8" hidden="1" x14ac:dyDescent="0.2">
      <c r="F800" s="50"/>
      <c r="H800"/>
    </row>
    <row r="801" spans="6:8" hidden="1" x14ac:dyDescent="0.2">
      <c r="F801" s="50"/>
      <c r="H801"/>
    </row>
    <row r="802" spans="6:8" hidden="1" x14ac:dyDescent="0.2">
      <c r="F802" s="50"/>
      <c r="H802" s="50"/>
    </row>
    <row r="803" spans="6:8" hidden="1" x14ac:dyDescent="0.2">
      <c r="F803" s="50"/>
      <c r="H803"/>
    </row>
    <row r="804" spans="6:8" hidden="1" x14ac:dyDescent="0.2">
      <c r="F804" s="50"/>
      <c r="H804"/>
    </row>
    <row r="805" spans="6:8" hidden="1" x14ac:dyDescent="0.2">
      <c r="F805" s="50"/>
      <c r="H805"/>
    </row>
    <row r="806" spans="6:8" hidden="1" x14ac:dyDescent="0.2">
      <c r="F806" s="50"/>
      <c r="H806"/>
    </row>
    <row r="807" spans="6:8" hidden="1" x14ac:dyDescent="0.2">
      <c r="F807" s="50"/>
      <c r="H807" s="50"/>
    </row>
    <row r="808" spans="6:8" hidden="1" x14ac:dyDescent="0.2">
      <c r="F808" s="50"/>
      <c r="H808"/>
    </row>
    <row r="809" spans="6:8" hidden="1" x14ac:dyDescent="0.2">
      <c r="F809" s="50"/>
      <c r="H809"/>
    </row>
    <row r="810" spans="6:8" hidden="1" x14ac:dyDescent="0.2">
      <c r="F810" s="50"/>
      <c r="H810"/>
    </row>
    <row r="811" spans="6:8" hidden="1" x14ac:dyDescent="0.2">
      <c r="F811" s="50"/>
      <c r="H811"/>
    </row>
    <row r="812" spans="6:8" hidden="1" x14ac:dyDescent="0.2">
      <c r="F812" s="50"/>
      <c r="H812"/>
    </row>
    <row r="813" spans="6:8" hidden="1" x14ac:dyDescent="0.2">
      <c r="F813" s="50"/>
      <c r="H813"/>
    </row>
    <row r="814" spans="6:8" hidden="1" x14ac:dyDescent="0.2">
      <c r="H814"/>
    </row>
    <row r="815" spans="6:8" hidden="1" x14ac:dyDescent="0.2">
      <c r="F815" s="50"/>
      <c r="H815"/>
    </row>
    <row r="816" spans="6:8" hidden="1" x14ac:dyDescent="0.2">
      <c r="F816" s="50"/>
      <c r="H816"/>
    </row>
    <row r="817" spans="6:8" hidden="1" x14ac:dyDescent="0.2">
      <c r="F817" s="50"/>
      <c r="H817"/>
    </row>
    <row r="818" spans="6:8" hidden="1" x14ac:dyDescent="0.2">
      <c r="F818" s="50"/>
      <c r="H818"/>
    </row>
    <row r="819" spans="6:8" hidden="1" x14ac:dyDescent="0.2">
      <c r="F819" s="50"/>
      <c r="H819" s="50"/>
    </row>
    <row r="820" spans="6:8" hidden="1" x14ac:dyDescent="0.2">
      <c r="F820" s="50"/>
      <c r="H820"/>
    </row>
    <row r="821" spans="6:8" hidden="1" x14ac:dyDescent="0.2">
      <c r="F821" s="50"/>
      <c r="H821"/>
    </row>
    <row r="822" spans="6:8" hidden="1" x14ac:dyDescent="0.2">
      <c r="F822" s="50"/>
      <c r="H822"/>
    </row>
    <row r="823" spans="6:8" hidden="1" x14ac:dyDescent="0.2">
      <c r="F823" s="50"/>
      <c r="H823"/>
    </row>
    <row r="824" spans="6:8" hidden="1" x14ac:dyDescent="0.2">
      <c r="F824" s="50"/>
      <c r="H824"/>
    </row>
    <row r="825" spans="6:8" hidden="1" x14ac:dyDescent="0.2">
      <c r="F825" s="50"/>
      <c r="H825"/>
    </row>
    <row r="826" spans="6:8" hidden="1" x14ac:dyDescent="0.2">
      <c r="F826" s="50"/>
      <c r="H826"/>
    </row>
    <row r="827" spans="6:8" hidden="1" x14ac:dyDescent="0.2">
      <c r="F827" s="50"/>
      <c r="H827"/>
    </row>
    <row r="828" spans="6:8" hidden="1" x14ac:dyDescent="0.2">
      <c r="F828" s="50"/>
      <c r="H828"/>
    </row>
    <row r="829" spans="6:8" hidden="1" x14ac:dyDescent="0.2">
      <c r="H829"/>
    </row>
    <row r="830" spans="6:8" hidden="1" x14ac:dyDescent="0.2">
      <c r="F830" s="50"/>
      <c r="H830"/>
    </row>
    <row r="831" spans="6:8" hidden="1" x14ac:dyDescent="0.2">
      <c r="F831" s="50"/>
      <c r="H831"/>
    </row>
    <row r="832" spans="6:8" hidden="1" x14ac:dyDescent="0.2">
      <c r="F832" s="50"/>
      <c r="H832"/>
    </row>
    <row r="833" spans="6:8" hidden="1" x14ac:dyDescent="0.2">
      <c r="H833"/>
    </row>
    <row r="834" spans="6:8" hidden="1" x14ac:dyDescent="0.2">
      <c r="H834"/>
    </row>
    <row r="835" spans="6:8" hidden="1" x14ac:dyDescent="0.2">
      <c r="H835"/>
    </row>
    <row r="836" spans="6:8" hidden="1" x14ac:dyDescent="0.2">
      <c r="H836"/>
    </row>
    <row r="837" spans="6:8" hidden="1" x14ac:dyDescent="0.2">
      <c r="H837"/>
    </row>
    <row r="838" spans="6:8" hidden="1" x14ac:dyDescent="0.2">
      <c r="H838"/>
    </row>
    <row r="839" spans="6:8" hidden="1" x14ac:dyDescent="0.2">
      <c r="F839" s="50"/>
      <c r="H839"/>
    </row>
    <row r="840" spans="6:8" hidden="1" x14ac:dyDescent="0.2">
      <c r="F840" s="50"/>
      <c r="H840" s="50"/>
    </row>
    <row r="841" spans="6:8" hidden="1" x14ac:dyDescent="0.2">
      <c r="F841" s="50"/>
      <c r="H841"/>
    </row>
    <row r="842" spans="6:8" hidden="1" x14ac:dyDescent="0.2">
      <c r="F842" s="50"/>
      <c r="H842"/>
    </row>
    <row r="843" spans="6:8" hidden="1" x14ac:dyDescent="0.2">
      <c r="F843" s="50"/>
      <c r="H843"/>
    </row>
    <row r="844" spans="6:8" hidden="1" x14ac:dyDescent="0.2">
      <c r="F844" s="50"/>
      <c r="H844"/>
    </row>
    <row r="845" spans="6:8" hidden="1" x14ac:dyDescent="0.2">
      <c r="F845" s="50"/>
      <c r="H845" s="50"/>
    </row>
    <row r="846" spans="6:8" hidden="1" x14ac:dyDescent="0.2">
      <c r="F846" s="50"/>
      <c r="H846" s="50"/>
    </row>
    <row r="847" spans="6:8" hidden="1" x14ac:dyDescent="0.2">
      <c r="F847" s="50"/>
      <c r="H847"/>
    </row>
    <row r="848" spans="6:8" hidden="1" x14ac:dyDescent="0.2">
      <c r="F848" s="50"/>
      <c r="H848" s="50"/>
    </row>
    <row r="849" spans="6:8" hidden="1" x14ac:dyDescent="0.2">
      <c r="F849" s="50"/>
      <c r="H849"/>
    </row>
    <row r="850" spans="6:8" hidden="1" x14ac:dyDescent="0.2">
      <c r="F850" s="50"/>
      <c r="H850"/>
    </row>
    <row r="851" spans="6:8" hidden="1" x14ac:dyDescent="0.2">
      <c r="F851" s="50"/>
      <c r="H851"/>
    </row>
    <row r="852" spans="6:8" hidden="1" x14ac:dyDescent="0.2">
      <c r="F852" s="50"/>
      <c r="H852" s="50"/>
    </row>
    <row r="853" spans="6:8" hidden="1" x14ac:dyDescent="0.2">
      <c r="F853" s="50"/>
      <c r="H853"/>
    </row>
    <row r="854" spans="6:8" hidden="1" x14ac:dyDescent="0.2">
      <c r="F854" s="50"/>
      <c r="H854"/>
    </row>
    <row r="855" spans="6:8" hidden="1" x14ac:dyDescent="0.2">
      <c r="F855" s="50"/>
      <c r="H855"/>
    </row>
    <row r="856" spans="6:8" hidden="1" x14ac:dyDescent="0.2">
      <c r="F856" s="50"/>
      <c r="H856"/>
    </row>
    <row r="857" spans="6:8" hidden="1" x14ac:dyDescent="0.2">
      <c r="F857" s="50"/>
      <c r="H857"/>
    </row>
    <row r="858" spans="6:8" hidden="1" x14ac:dyDescent="0.2">
      <c r="F858" s="50"/>
      <c r="H858"/>
    </row>
    <row r="859" spans="6:8" hidden="1" x14ac:dyDescent="0.2">
      <c r="F859" s="50"/>
      <c r="H859" s="50"/>
    </row>
    <row r="860" spans="6:8" hidden="1" x14ac:dyDescent="0.2">
      <c r="F860" s="50"/>
      <c r="H860"/>
    </row>
    <row r="861" spans="6:8" hidden="1" x14ac:dyDescent="0.2">
      <c r="F861" s="50"/>
      <c r="H861" s="50"/>
    </row>
    <row r="862" spans="6:8" hidden="1" x14ac:dyDescent="0.2">
      <c r="F862" s="50"/>
      <c r="H862" s="50"/>
    </row>
    <row r="863" spans="6:8" hidden="1" x14ac:dyDescent="0.2">
      <c r="F863" s="50"/>
      <c r="H863"/>
    </row>
    <row r="864" spans="6:8" hidden="1" x14ac:dyDescent="0.2">
      <c r="F864" s="50"/>
      <c r="H864"/>
    </row>
    <row r="865" spans="6:8" hidden="1" x14ac:dyDescent="0.2">
      <c r="F865" s="50"/>
      <c r="H865"/>
    </row>
    <row r="866" spans="6:8" hidden="1" x14ac:dyDescent="0.2">
      <c r="F866" s="50"/>
      <c r="H866"/>
    </row>
    <row r="867" spans="6:8" hidden="1" x14ac:dyDescent="0.2">
      <c r="F867" s="50"/>
      <c r="H867"/>
    </row>
    <row r="868" spans="6:8" hidden="1" x14ac:dyDescent="0.2">
      <c r="F868" s="50"/>
      <c r="H868" s="50"/>
    </row>
    <row r="869" spans="6:8" hidden="1" x14ac:dyDescent="0.2">
      <c r="F869" s="50"/>
      <c r="H869" s="50"/>
    </row>
    <row r="870" spans="6:8" hidden="1" x14ac:dyDescent="0.2">
      <c r="F870" s="50"/>
      <c r="H870"/>
    </row>
    <row r="871" spans="6:8" hidden="1" x14ac:dyDescent="0.2">
      <c r="F871" s="50"/>
      <c r="H871"/>
    </row>
    <row r="872" spans="6:8" hidden="1" x14ac:dyDescent="0.2">
      <c r="F872" s="50"/>
      <c r="H872"/>
    </row>
    <row r="873" spans="6:8" hidden="1" x14ac:dyDescent="0.2">
      <c r="F873" s="50"/>
      <c r="H873"/>
    </row>
    <row r="874" spans="6:8" hidden="1" x14ac:dyDescent="0.2">
      <c r="F874" s="50"/>
      <c r="H874" s="50"/>
    </row>
    <row r="875" spans="6:8" hidden="1" x14ac:dyDescent="0.2">
      <c r="F875" s="50"/>
      <c r="H875" s="50"/>
    </row>
    <row r="876" spans="6:8" hidden="1" x14ac:dyDescent="0.2">
      <c r="F876" s="50"/>
      <c r="H876" s="50"/>
    </row>
    <row r="877" spans="6:8" hidden="1" x14ac:dyDescent="0.2">
      <c r="F877" s="50"/>
      <c r="H877"/>
    </row>
    <row r="878" spans="6:8" hidden="1" x14ac:dyDescent="0.2">
      <c r="F878" s="50"/>
      <c r="H878" s="50"/>
    </row>
    <row r="879" spans="6:8" hidden="1" x14ac:dyDescent="0.2">
      <c r="F879" s="50"/>
      <c r="H879" s="50"/>
    </row>
    <row r="880" spans="6:8" hidden="1" x14ac:dyDescent="0.2">
      <c r="F880" s="50"/>
      <c r="H880" s="50"/>
    </row>
    <row r="881" spans="6:8" hidden="1" x14ac:dyDescent="0.2">
      <c r="F881" s="50"/>
      <c r="H881"/>
    </row>
    <row r="882" spans="6:8" hidden="1" x14ac:dyDescent="0.2">
      <c r="F882" s="50"/>
      <c r="H882"/>
    </row>
    <row r="883" spans="6:8" hidden="1" x14ac:dyDescent="0.2">
      <c r="F883" s="50"/>
      <c r="H883"/>
    </row>
    <row r="884" spans="6:8" hidden="1" x14ac:dyDescent="0.2">
      <c r="F884" s="50"/>
      <c r="H884"/>
    </row>
    <row r="885" spans="6:8" hidden="1" x14ac:dyDescent="0.2">
      <c r="F885" s="50"/>
      <c r="H885"/>
    </row>
    <row r="886" spans="6:8" hidden="1" x14ac:dyDescent="0.2">
      <c r="F886" s="50"/>
      <c r="H886"/>
    </row>
    <row r="887" spans="6:8" hidden="1" x14ac:dyDescent="0.2">
      <c r="F887" s="50"/>
      <c r="H887"/>
    </row>
    <row r="888" spans="6:8" hidden="1" x14ac:dyDescent="0.2">
      <c r="F888" s="50"/>
      <c r="H888"/>
    </row>
    <row r="889" spans="6:8" hidden="1" x14ac:dyDescent="0.2">
      <c r="F889" s="50"/>
      <c r="H889" s="50"/>
    </row>
    <row r="890" spans="6:8" hidden="1" x14ac:dyDescent="0.2">
      <c r="F890" s="50"/>
      <c r="H890" s="50"/>
    </row>
    <row r="891" spans="6:8" hidden="1" x14ac:dyDescent="0.2">
      <c r="F891" s="50"/>
      <c r="H891" s="50"/>
    </row>
    <row r="892" spans="6:8" hidden="1" x14ac:dyDescent="0.2">
      <c r="F892" s="50"/>
      <c r="H892" s="50"/>
    </row>
    <row r="893" spans="6:8" hidden="1" x14ac:dyDescent="0.2">
      <c r="F893" s="50"/>
      <c r="H893"/>
    </row>
    <row r="894" spans="6:8" hidden="1" x14ac:dyDescent="0.2">
      <c r="F894" s="50"/>
      <c r="H894"/>
    </row>
    <row r="895" spans="6:8" hidden="1" x14ac:dyDescent="0.2">
      <c r="F895" s="50"/>
      <c r="H895"/>
    </row>
    <row r="896" spans="6:8" hidden="1" x14ac:dyDescent="0.2">
      <c r="F896" s="50"/>
      <c r="H896" s="50"/>
    </row>
    <row r="897" spans="6:8" hidden="1" x14ac:dyDescent="0.2">
      <c r="F897" s="50"/>
      <c r="H897" s="50"/>
    </row>
    <row r="898" spans="6:8" hidden="1" x14ac:dyDescent="0.2">
      <c r="F898" s="50"/>
      <c r="H898" s="50"/>
    </row>
    <row r="899" spans="6:8" hidden="1" x14ac:dyDescent="0.2">
      <c r="F899" s="50"/>
      <c r="H899" s="50"/>
    </row>
    <row r="900" spans="6:8" hidden="1" x14ac:dyDescent="0.2">
      <c r="F900" s="50"/>
      <c r="H900"/>
    </row>
    <row r="901" spans="6:8" hidden="1" x14ac:dyDescent="0.2">
      <c r="F901" s="50"/>
      <c r="H901" s="50"/>
    </row>
    <row r="902" spans="6:8" hidden="1" x14ac:dyDescent="0.2">
      <c r="F902" s="50"/>
      <c r="H902" s="50"/>
    </row>
    <row r="903" spans="6:8" hidden="1" x14ac:dyDescent="0.2">
      <c r="F903" s="50"/>
      <c r="H903"/>
    </row>
    <row r="904" spans="6:8" hidden="1" x14ac:dyDescent="0.2">
      <c r="H904"/>
    </row>
    <row r="905" spans="6:8" hidden="1" x14ac:dyDescent="0.2">
      <c r="F905" s="50"/>
      <c r="H905"/>
    </row>
    <row r="906" spans="6:8" hidden="1" x14ac:dyDescent="0.2">
      <c r="F906" s="50"/>
      <c r="H906" s="50"/>
    </row>
    <row r="907" spans="6:8" hidden="1" x14ac:dyDescent="0.2">
      <c r="F907" s="50"/>
      <c r="H907"/>
    </row>
    <row r="908" spans="6:8" hidden="1" x14ac:dyDescent="0.2">
      <c r="F908" s="50"/>
      <c r="H908"/>
    </row>
    <row r="909" spans="6:8" hidden="1" x14ac:dyDescent="0.2">
      <c r="F909" s="50"/>
      <c r="H909"/>
    </row>
    <row r="910" spans="6:8" hidden="1" x14ac:dyDescent="0.2">
      <c r="F910" s="50"/>
      <c r="H910"/>
    </row>
    <row r="911" spans="6:8" hidden="1" x14ac:dyDescent="0.2">
      <c r="F911" s="50"/>
      <c r="H911"/>
    </row>
    <row r="912" spans="6:8" hidden="1" x14ac:dyDescent="0.2">
      <c r="F912" s="50"/>
      <c r="H912"/>
    </row>
    <row r="913" spans="6:8" hidden="1" x14ac:dyDescent="0.2">
      <c r="F913" s="50"/>
      <c r="H913"/>
    </row>
    <row r="914" spans="6:8" hidden="1" x14ac:dyDescent="0.2">
      <c r="F914" s="50"/>
      <c r="H914" s="50"/>
    </row>
    <row r="915" spans="6:8" hidden="1" x14ac:dyDescent="0.2">
      <c r="F915" s="50"/>
      <c r="H915" s="50"/>
    </row>
    <row r="916" spans="6:8" hidden="1" x14ac:dyDescent="0.2">
      <c r="F916" s="50"/>
      <c r="H916"/>
    </row>
    <row r="917" spans="6:8" hidden="1" x14ac:dyDescent="0.2">
      <c r="F917" s="50"/>
      <c r="H917" s="50"/>
    </row>
    <row r="918" spans="6:8" hidden="1" x14ac:dyDescent="0.2">
      <c r="F918" s="50"/>
      <c r="H918"/>
    </row>
    <row r="919" spans="6:8" hidden="1" x14ac:dyDescent="0.2">
      <c r="F919" s="50"/>
      <c r="H919"/>
    </row>
    <row r="920" spans="6:8" hidden="1" x14ac:dyDescent="0.2">
      <c r="F920" s="50"/>
      <c r="H920"/>
    </row>
    <row r="921" spans="6:8" hidden="1" x14ac:dyDescent="0.2">
      <c r="F921" s="50"/>
      <c r="H921" s="50"/>
    </row>
    <row r="922" spans="6:8" hidden="1" x14ac:dyDescent="0.2">
      <c r="F922" s="50"/>
      <c r="H922"/>
    </row>
    <row r="923" spans="6:8" hidden="1" x14ac:dyDescent="0.2">
      <c r="F923" s="50"/>
      <c r="H923"/>
    </row>
    <row r="924" spans="6:8" hidden="1" x14ac:dyDescent="0.2">
      <c r="F924" s="50"/>
      <c r="H924"/>
    </row>
    <row r="925" spans="6:8" hidden="1" x14ac:dyDescent="0.2">
      <c r="F925" s="50"/>
      <c r="H925"/>
    </row>
    <row r="926" spans="6:8" hidden="1" x14ac:dyDescent="0.2">
      <c r="F926" s="50"/>
      <c r="H926" s="50"/>
    </row>
    <row r="927" spans="6:8" hidden="1" x14ac:dyDescent="0.2">
      <c r="F927" s="50"/>
      <c r="H927"/>
    </row>
    <row r="928" spans="6:8" hidden="1" x14ac:dyDescent="0.2">
      <c r="F928" s="50"/>
      <c r="H928"/>
    </row>
    <row r="929" spans="6:8" hidden="1" x14ac:dyDescent="0.2">
      <c r="F929" s="50"/>
      <c r="H929"/>
    </row>
    <row r="930" spans="6:8" hidden="1" x14ac:dyDescent="0.2">
      <c r="F930" s="50"/>
      <c r="H930"/>
    </row>
    <row r="931" spans="6:8" hidden="1" x14ac:dyDescent="0.2">
      <c r="F931" s="50"/>
      <c r="H931"/>
    </row>
    <row r="932" spans="6:8" hidden="1" x14ac:dyDescent="0.2">
      <c r="F932" s="50"/>
      <c r="H932"/>
    </row>
    <row r="933" spans="6:8" hidden="1" x14ac:dyDescent="0.2">
      <c r="F933" s="50"/>
      <c r="H933"/>
    </row>
    <row r="934" spans="6:8" hidden="1" x14ac:dyDescent="0.2">
      <c r="F934" s="50"/>
      <c r="H934"/>
    </row>
    <row r="935" spans="6:8" hidden="1" x14ac:dyDescent="0.2">
      <c r="F935" s="50"/>
      <c r="H935"/>
    </row>
    <row r="936" spans="6:8" hidden="1" x14ac:dyDescent="0.2">
      <c r="F936" s="50"/>
      <c r="H936" s="50"/>
    </row>
    <row r="937" spans="6:8" hidden="1" x14ac:dyDescent="0.2">
      <c r="F937" s="50"/>
      <c r="H937"/>
    </row>
    <row r="938" spans="6:8" hidden="1" x14ac:dyDescent="0.2">
      <c r="F938" s="50"/>
      <c r="H938"/>
    </row>
    <row r="939" spans="6:8" hidden="1" x14ac:dyDescent="0.2">
      <c r="F939" s="50"/>
      <c r="H939" s="50"/>
    </row>
    <row r="940" spans="6:8" hidden="1" x14ac:dyDescent="0.2">
      <c r="F940" s="50"/>
      <c r="H940"/>
    </row>
    <row r="941" spans="6:8" hidden="1" x14ac:dyDescent="0.2">
      <c r="F941" s="50"/>
      <c r="H941"/>
    </row>
    <row r="942" spans="6:8" hidden="1" x14ac:dyDescent="0.2">
      <c r="F942" s="50"/>
      <c r="H942"/>
    </row>
    <row r="943" spans="6:8" hidden="1" x14ac:dyDescent="0.2">
      <c r="F943" s="50"/>
      <c r="H943"/>
    </row>
    <row r="944" spans="6:8" hidden="1" x14ac:dyDescent="0.2">
      <c r="F944" s="50"/>
      <c r="H944"/>
    </row>
    <row r="945" spans="6:8" hidden="1" x14ac:dyDescent="0.2">
      <c r="F945" s="50"/>
      <c r="H945"/>
    </row>
    <row r="946" spans="6:8" hidden="1" x14ac:dyDescent="0.2">
      <c r="F946" s="50"/>
      <c r="H946"/>
    </row>
    <row r="947" spans="6:8" hidden="1" x14ac:dyDescent="0.2">
      <c r="F947" s="50"/>
      <c r="H947" s="50"/>
    </row>
    <row r="948" spans="6:8" hidden="1" x14ac:dyDescent="0.2">
      <c r="F948" s="50"/>
      <c r="H948"/>
    </row>
    <row r="949" spans="6:8" hidden="1" x14ac:dyDescent="0.2">
      <c r="F949" s="50"/>
      <c r="H949"/>
    </row>
    <row r="950" spans="6:8" hidden="1" x14ac:dyDescent="0.2">
      <c r="F950" s="50"/>
      <c r="H950"/>
    </row>
    <row r="951" spans="6:8" hidden="1" x14ac:dyDescent="0.2">
      <c r="F951" s="50"/>
      <c r="H951"/>
    </row>
    <row r="952" spans="6:8" hidden="1" x14ac:dyDescent="0.2">
      <c r="F952" s="50"/>
      <c r="H952"/>
    </row>
    <row r="953" spans="6:8" hidden="1" x14ac:dyDescent="0.2">
      <c r="F953" s="50"/>
      <c r="H953"/>
    </row>
    <row r="954" spans="6:8" hidden="1" x14ac:dyDescent="0.2">
      <c r="F954" s="50"/>
      <c r="H954"/>
    </row>
    <row r="955" spans="6:8" hidden="1" x14ac:dyDescent="0.2">
      <c r="F955" s="50"/>
      <c r="H955"/>
    </row>
    <row r="956" spans="6:8" hidden="1" x14ac:dyDescent="0.2">
      <c r="F956" s="50"/>
      <c r="H956"/>
    </row>
    <row r="957" spans="6:8" hidden="1" x14ac:dyDescent="0.2">
      <c r="F957" s="50"/>
      <c r="H957"/>
    </row>
    <row r="958" spans="6:8" hidden="1" x14ac:dyDescent="0.2">
      <c r="F958" s="50"/>
      <c r="H958"/>
    </row>
    <row r="959" spans="6:8" hidden="1" x14ac:dyDescent="0.2">
      <c r="F959" s="50"/>
      <c r="H959"/>
    </row>
    <row r="960" spans="6:8" hidden="1" x14ac:dyDescent="0.2">
      <c r="F960" s="50"/>
      <c r="H960" s="50"/>
    </row>
    <row r="961" spans="6:8" hidden="1" x14ac:dyDescent="0.2">
      <c r="F961" s="50"/>
      <c r="H961" s="50"/>
    </row>
    <row r="962" spans="6:8" hidden="1" x14ac:dyDescent="0.2">
      <c r="F962" s="50"/>
      <c r="H962"/>
    </row>
    <row r="963" spans="6:8" hidden="1" x14ac:dyDescent="0.2">
      <c r="F963" s="50"/>
      <c r="H963"/>
    </row>
    <row r="964" spans="6:8" hidden="1" x14ac:dyDescent="0.2">
      <c r="F964" s="50"/>
      <c r="H964"/>
    </row>
    <row r="965" spans="6:8" hidden="1" x14ac:dyDescent="0.2">
      <c r="F965" s="50"/>
      <c r="H965"/>
    </row>
    <row r="966" spans="6:8" hidden="1" x14ac:dyDescent="0.2">
      <c r="F966" s="50"/>
      <c r="H966"/>
    </row>
    <row r="967" spans="6:8" hidden="1" x14ac:dyDescent="0.2">
      <c r="F967" s="50"/>
      <c r="H967"/>
    </row>
    <row r="968" spans="6:8" hidden="1" x14ac:dyDescent="0.2">
      <c r="F968" s="50"/>
      <c r="H968"/>
    </row>
    <row r="969" spans="6:8" hidden="1" x14ac:dyDescent="0.2">
      <c r="F969" s="50"/>
      <c r="H969"/>
    </row>
    <row r="970" spans="6:8" hidden="1" x14ac:dyDescent="0.2">
      <c r="F970" s="50"/>
      <c r="H970"/>
    </row>
    <row r="971" spans="6:8" hidden="1" x14ac:dyDescent="0.2">
      <c r="F971" s="50"/>
      <c r="H971"/>
    </row>
    <row r="972" spans="6:8" hidden="1" x14ac:dyDescent="0.2">
      <c r="F972" s="50"/>
      <c r="H972"/>
    </row>
    <row r="973" spans="6:8" hidden="1" x14ac:dyDescent="0.2">
      <c r="F973" s="50"/>
      <c r="H973"/>
    </row>
    <row r="974" spans="6:8" hidden="1" x14ac:dyDescent="0.2">
      <c r="F974" s="50"/>
      <c r="H974"/>
    </row>
    <row r="975" spans="6:8" hidden="1" x14ac:dyDescent="0.2">
      <c r="F975" s="50"/>
      <c r="H975"/>
    </row>
    <row r="976" spans="6:8" hidden="1" x14ac:dyDescent="0.2">
      <c r="F976" s="50"/>
      <c r="H976"/>
    </row>
    <row r="977" spans="6:8" hidden="1" x14ac:dyDescent="0.2">
      <c r="F977" s="50"/>
      <c r="H977"/>
    </row>
    <row r="978" spans="6:8" hidden="1" x14ac:dyDescent="0.2">
      <c r="F978" s="50"/>
      <c r="H978"/>
    </row>
    <row r="979" spans="6:8" hidden="1" x14ac:dyDescent="0.2">
      <c r="F979" s="50"/>
      <c r="H979"/>
    </row>
    <row r="980" spans="6:8" hidden="1" x14ac:dyDescent="0.2">
      <c r="F980" s="50"/>
      <c r="H980"/>
    </row>
    <row r="981" spans="6:8" hidden="1" x14ac:dyDescent="0.2">
      <c r="F981" s="50"/>
      <c r="H981"/>
    </row>
    <row r="982" spans="6:8" hidden="1" x14ac:dyDescent="0.2">
      <c r="F982" s="50"/>
      <c r="H982"/>
    </row>
    <row r="983" spans="6:8" hidden="1" x14ac:dyDescent="0.2">
      <c r="F983" s="50"/>
      <c r="H983"/>
    </row>
    <row r="984" spans="6:8" hidden="1" x14ac:dyDescent="0.2">
      <c r="F984" s="50"/>
      <c r="H984"/>
    </row>
    <row r="985" spans="6:8" hidden="1" x14ac:dyDescent="0.2">
      <c r="F985" s="50"/>
      <c r="H985"/>
    </row>
    <row r="986" spans="6:8" hidden="1" x14ac:dyDescent="0.2">
      <c r="F986" s="50"/>
      <c r="H986"/>
    </row>
    <row r="987" spans="6:8" hidden="1" x14ac:dyDescent="0.2">
      <c r="F987" s="50"/>
      <c r="H987"/>
    </row>
    <row r="988" spans="6:8" hidden="1" x14ac:dyDescent="0.2">
      <c r="F988" s="50"/>
      <c r="H988"/>
    </row>
    <row r="989" spans="6:8" hidden="1" x14ac:dyDescent="0.2">
      <c r="F989" s="50"/>
      <c r="H989"/>
    </row>
    <row r="990" spans="6:8" hidden="1" x14ac:dyDescent="0.2">
      <c r="F990" s="50"/>
      <c r="H990"/>
    </row>
    <row r="991" spans="6:8" hidden="1" x14ac:dyDescent="0.2">
      <c r="F991" s="50"/>
      <c r="H991" s="50"/>
    </row>
    <row r="992" spans="6:8" hidden="1" x14ac:dyDescent="0.2">
      <c r="F992" s="50"/>
      <c r="H992" s="50"/>
    </row>
    <row r="993" spans="6:8" hidden="1" x14ac:dyDescent="0.2">
      <c r="F993" s="50"/>
      <c r="H993" s="50"/>
    </row>
    <row r="994" spans="6:8" hidden="1" x14ac:dyDescent="0.2">
      <c r="F994" s="50"/>
      <c r="H994"/>
    </row>
    <row r="995" spans="6:8" hidden="1" x14ac:dyDescent="0.2">
      <c r="F995" s="50"/>
      <c r="H995"/>
    </row>
    <row r="996" spans="6:8" hidden="1" x14ac:dyDescent="0.2">
      <c r="F996" s="50"/>
      <c r="H996"/>
    </row>
    <row r="997" spans="6:8" hidden="1" x14ac:dyDescent="0.2">
      <c r="F997" s="50"/>
      <c r="H997"/>
    </row>
    <row r="998" spans="6:8" hidden="1" x14ac:dyDescent="0.2">
      <c r="F998" s="50"/>
      <c r="H998"/>
    </row>
    <row r="999" spans="6:8" hidden="1" x14ac:dyDescent="0.2">
      <c r="F999" s="50"/>
      <c r="H999"/>
    </row>
    <row r="1000" spans="6:8" hidden="1" x14ac:dyDescent="0.2">
      <c r="F1000" s="50"/>
      <c r="H1000"/>
    </row>
    <row r="1001" spans="6:8" hidden="1" x14ac:dyDescent="0.2">
      <c r="F1001" s="50"/>
      <c r="H1001"/>
    </row>
    <row r="1002" spans="6:8" hidden="1" x14ac:dyDescent="0.2">
      <c r="F1002" s="50"/>
      <c r="H1002"/>
    </row>
    <row r="1003" spans="6:8" hidden="1" x14ac:dyDescent="0.2">
      <c r="F1003" s="50"/>
      <c r="H1003"/>
    </row>
    <row r="1004" spans="6:8" hidden="1" x14ac:dyDescent="0.2">
      <c r="F1004" s="50"/>
      <c r="H1004"/>
    </row>
    <row r="1005" spans="6:8" hidden="1" x14ac:dyDescent="0.2">
      <c r="F1005" s="50"/>
      <c r="H1005"/>
    </row>
    <row r="1006" spans="6:8" hidden="1" x14ac:dyDescent="0.2">
      <c r="F1006" s="50"/>
      <c r="H1006"/>
    </row>
    <row r="1007" spans="6:8" hidden="1" x14ac:dyDescent="0.2">
      <c r="F1007" s="50"/>
      <c r="H1007"/>
    </row>
    <row r="1008" spans="6:8" hidden="1" x14ac:dyDescent="0.2">
      <c r="F1008" s="50"/>
      <c r="H1008"/>
    </row>
    <row r="1009" spans="6:8" hidden="1" x14ac:dyDescent="0.2">
      <c r="F1009" s="50"/>
      <c r="H1009"/>
    </row>
    <row r="1010" spans="6:8" hidden="1" x14ac:dyDescent="0.2">
      <c r="F1010" s="50"/>
      <c r="H1010"/>
    </row>
    <row r="1011" spans="6:8" hidden="1" x14ac:dyDescent="0.2">
      <c r="F1011" s="50"/>
      <c r="H1011"/>
    </row>
    <row r="1012" spans="6:8" hidden="1" x14ac:dyDescent="0.2">
      <c r="F1012" s="50"/>
      <c r="H1012"/>
    </row>
    <row r="1013" spans="6:8" hidden="1" x14ac:dyDescent="0.2">
      <c r="F1013" s="50"/>
      <c r="H1013"/>
    </row>
    <row r="1014" spans="6:8" hidden="1" x14ac:dyDescent="0.2">
      <c r="F1014" s="50"/>
      <c r="H1014" s="50"/>
    </row>
    <row r="1015" spans="6:8" hidden="1" x14ac:dyDescent="0.2">
      <c r="F1015" s="50"/>
      <c r="H1015"/>
    </row>
    <row r="1016" spans="6:8" hidden="1" x14ac:dyDescent="0.2">
      <c r="F1016" s="50"/>
      <c r="H1016"/>
    </row>
    <row r="1017" spans="6:8" hidden="1" x14ac:dyDescent="0.2">
      <c r="F1017" s="50"/>
      <c r="H1017"/>
    </row>
    <row r="1018" spans="6:8" hidden="1" x14ac:dyDescent="0.2">
      <c r="F1018" s="50"/>
      <c r="H1018"/>
    </row>
    <row r="1019" spans="6:8" hidden="1" x14ac:dyDescent="0.2">
      <c r="F1019" s="50"/>
      <c r="H1019"/>
    </row>
    <row r="1020" spans="6:8" hidden="1" x14ac:dyDescent="0.2">
      <c r="F1020" s="50"/>
      <c r="H1020"/>
    </row>
    <row r="1021" spans="6:8" hidden="1" x14ac:dyDescent="0.2">
      <c r="F1021" s="50"/>
      <c r="H1021"/>
    </row>
    <row r="1022" spans="6:8" hidden="1" x14ac:dyDescent="0.2">
      <c r="F1022" s="50"/>
      <c r="H1022"/>
    </row>
    <row r="1023" spans="6:8" hidden="1" x14ac:dyDescent="0.2">
      <c r="F1023" s="50"/>
      <c r="H1023"/>
    </row>
    <row r="1024" spans="6:8" hidden="1" x14ac:dyDescent="0.2">
      <c r="F1024" s="50"/>
      <c r="H1024"/>
    </row>
    <row r="1025" spans="6:8" hidden="1" x14ac:dyDescent="0.2">
      <c r="F1025" s="50"/>
      <c r="H1025"/>
    </row>
    <row r="1026" spans="6:8" hidden="1" x14ac:dyDescent="0.2">
      <c r="F1026" s="50"/>
      <c r="H1026"/>
    </row>
    <row r="1027" spans="6:8" hidden="1" x14ac:dyDescent="0.2">
      <c r="F1027" s="50"/>
      <c r="H1027"/>
    </row>
    <row r="1028" spans="6:8" hidden="1" x14ac:dyDescent="0.2">
      <c r="F1028" s="50"/>
      <c r="H1028"/>
    </row>
    <row r="1029" spans="6:8" hidden="1" x14ac:dyDescent="0.2">
      <c r="F1029" s="50"/>
      <c r="H1029" s="50"/>
    </row>
    <row r="1030" spans="6:8" hidden="1" x14ac:dyDescent="0.2">
      <c r="F1030" s="50"/>
      <c r="H1030" s="50"/>
    </row>
    <row r="1031" spans="6:8" hidden="1" x14ac:dyDescent="0.2">
      <c r="F1031" s="50"/>
      <c r="H1031" s="50"/>
    </row>
    <row r="1032" spans="6:8" hidden="1" x14ac:dyDescent="0.2">
      <c r="F1032" s="50"/>
      <c r="H1032" s="50"/>
    </row>
    <row r="1033" spans="6:8" hidden="1" x14ac:dyDescent="0.2">
      <c r="F1033" s="50"/>
      <c r="H1033" s="50"/>
    </row>
    <row r="1034" spans="6:8" hidden="1" x14ac:dyDescent="0.2">
      <c r="F1034" s="50"/>
      <c r="H1034" s="50"/>
    </row>
    <row r="1035" spans="6:8" hidden="1" x14ac:dyDescent="0.2">
      <c r="F1035" s="50"/>
      <c r="H1035" s="50"/>
    </row>
    <row r="1036" spans="6:8" hidden="1" x14ac:dyDescent="0.2">
      <c r="F1036" s="50"/>
      <c r="H1036"/>
    </row>
    <row r="1037" spans="6:8" hidden="1" x14ac:dyDescent="0.2">
      <c r="F1037" s="50"/>
      <c r="H1037"/>
    </row>
    <row r="1038" spans="6:8" hidden="1" x14ac:dyDescent="0.2">
      <c r="F1038" s="50"/>
      <c r="H1038"/>
    </row>
    <row r="1039" spans="6:8" hidden="1" x14ac:dyDescent="0.2">
      <c r="F1039" s="50"/>
      <c r="H1039"/>
    </row>
    <row r="1040" spans="6:8" ht="15" hidden="1" x14ac:dyDescent="0.25">
      <c r="F1040" s="50"/>
      <c r="H1040" s="54"/>
    </row>
    <row r="1041" spans="6:8" ht="15" hidden="1" x14ac:dyDescent="0.25">
      <c r="F1041" s="50"/>
      <c r="H1041" s="54"/>
    </row>
    <row r="1042" spans="6:8" ht="15" hidden="1" x14ac:dyDescent="0.25">
      <c r="F1042" s="50"/>
      <c r="H1042" s="54"/>
    </row>
    <row r="1043" spans="6:8" hidden="1" x14ac:dyDescent="0.2">
      <c r="F1043" s="50"/>
      <c r="H1043" s="50"/>
    </row>
    <row r="1044" spans="6:8" hidden="1" x14ac:dyDescent="0.2">
      <c r="F1044" s="50"/>
      <c r="H1044"/>
    </row>
    <row r="1045" spans="6:8" hidden="1" x14ac:dyDescent="0.2">
      <c r="F1045" s="50"/>
      <c r="H1045" s="50"/>
    </row>
    <row r="1046" spans="6:8" hidden="1" x14ac:dyDescent="0.2">
      <c r="F1046" s="50"/>
      <c r="H1046"/>
    </row>
    <row r="1047" spans="6:8" hidden="1" x14ac:dyDescent="0.2">
      <c r="F1047" s="50"/>
      <c r="H1047"/>
    </row>
    <row r="1048" spans="6:8" hidden="1" x14ac:dyDescent="0.2">
      <c r="F1048" s="50"/>
      <c r="H1048"/>
    </row>
    <row r="1049" spans="6:8" hidden="1" x14ac:dyDescent="0.2">
      <c r="F1049" s="50"/>
      <c r="H1049"/>
    </row>
    <row r="1050" spans="6:8" hidden="1" x14ac:dyDescent="0.2">
      <c r="F1050" s="50"/>
      <c r="H1050"/>
    </row>
    <row r="1051" spans="6:8" hidden="1" x14ac:dyDescent="0.2">
      <c r="F1051" s="50"/>
      <c r="H1051"/>
    </row>
    <row r="1052" spans="6:8" hidden="1" x14ac:dyDescent="0.2">
      <c r="F1052" s="50"/>
      <c r="H1052"/>
    </row>
    <row r="1053" spans="6:8" hidden="1" x14ac:dyDescent="0.2">
      <c r="F1053" s="50"/>
      <c r="H1053"/>
    </row>
    <row r="1054" spans="6:8" hidden="1" x14ac:dyDescent="0.2">
      <c r="F1054" s="50"/>
      <c r="H1054"/>
    </row>
    <row r="1055" spans="6:8" hidden="1" x14ac:dyDescent="0.2">
      <c r="F1055" s="50"/>
      <c r="H1055"/>
    </row>
    <row r="1056" spans="6:8" hidden="1" x14ac:dyDescent="0.2">
      <c r="F1056" s="50"/>
      <c r="H1056" s="50"/>
    </row>
    <row r="1057" spans="1:8" hidden="1" x14ac:dyDescent="0.2">
      <c r="A1057" s="55"/>
      <c r="C1057" s="55"/>
      <c r="H1057"/>
    </row>
    <row r="1058" spans="1:8" hidden="1" x14ac:dyDescent="0.2">
      <c r="A1058" s="55"/>
      <c r="C1058" s="55"/>
      <c r="H1058"/>
    </row>
    <row r="1059" spans="1:8" hidden="1" x14ac:dyDescent="0.2">
      <c r="A1059" s="55"/>
      <c r="C1059" s="55"/>
      <c r="H1059"/>
    </row>
    <row r="1060" spans="1:8" hidden="1" x14ac:dyDescent="0.2">
      <c r="A1060" s="55"/>
      <c r="C1060" s="55"/>
      <c r="H1060"/>
    </row>
    <row r="1061" spans="1:8" hidden="1" x14ac:dyDescent="0.2">
      <c r="A1061" s="55"/>
      <c r="C1061" s="55"/>
      <c r="H1061"/>
    </row>
    <row r="1062" spans="1:8" hidden="1" x14ac:dyDescent="0.2">
      <c r="A1062" s="55"/>
      <c r="C1062" s="55"/>
      <c r="H1062"/>
    </row>
    <row r="1063" spans="1:8" hidden="1" x14ac:dyDescent="0.2">
      <c r="A1063" s="55"/>
      <c r="C1063" s="55"/>
      <c r="H1063"/>
    </row>
    <row r="1064" spans="1:8" hidden="1" x14ac:dyDescent="0.2">
      <c r="A1064" s="55"/>
      <c r="C1064" s="55"/>
      <c r="H1064"/>
    </row>
    <row r="1065" spans="1:8" hidden="1" x14ac:dyDescent="0.2">
      <c r="A1065" s="55"/>
      <c r="C1065" s="55"/>
      <c r="H1065"/>
    </row>
    <row r="1066" spans="1:8" hidden="1" x14ac:dyDescent="0.2">
      <c r="A1066" s="55"/>
      <c r="C1066" s="55"/>
      <c r="H1066"/>
    </row>
    <row r="1067" spans="1:8" hidden="1" x14ac:dyDescent="0.2">
      <c r="A1067" s="55"/>
      <c r="C1067" s="55"/>
      <c r="H1067"/>
    </row>
    <row r="1068" spans="1:8" hidden="1" x14ac:dyDescent="0.2">
      <c r="A1068" s="55"/>
      <c r="C1068" s="55"/>
      <c r="H1068"/>
    </row>
    <row r="1069" spans="1:8" hidden="1" x14ac:dyDescent="0.2">
      <c r="A1069" s="55"/>
      <c r="C1069" s="55"/>
      <c r="H1069"/>
    </row>
    <row r="1070" spans="1:8" hidden="1" x14ac:dyDescent="0.2">
      <c r="A1070" s="55"/>
      <c r="C1070" s="55"/>
      <c r="H1070"/>
    </row>
    <row r="1071" spans="1:8" hidden="1" x14ac:dyDescent="0.2">
      <c r="A1071" s="55"/>
      <c r="C1071" s="55"/>
      <c r="H1071"/>
    </row>
    <row r="1072" spans="1:8" hidden="1" x14ac:dyDescent="0.2">
      <c r="A1072" s="55"/>
      <c r="C1072" s="55"/>
      <c r="H1072"/>
    </row>
    <row r="1073" spans="1:8" hidden="1" x14ac:dyDescent="0.2">
      <c r="A1073" s="55"/>
      <c r="C1073" s="55"/>
      <c r="H1073"/>
    </row>
    <row r="1074" spans="1:8" hidden="1" x14ac:dyDescent="0.2">
      <c r="A1074" s="55"/>
      <c r="C1074" s="55"/>
      <c r="H1074"/>
    </row>
    <row r="1075" spans="1:8" hidden="1" x14ac:dyDescent="0.2">
      <c r="A1075" s="55"/>
      <c r="C1075" s="55"/>
      <c r="H1075"/>
    </row>
    <row r="1076" spans="1:8" hidden="1" x14ac:dyDescent="0.2">
      <c r="A1076" s="55"/>
      <c r="C1076" s="55"/>
      <c r="H1076"/>
    </row>
    <row r="1077" spans="1:8" hidden="1" x14ac:dyDescent="0.2">
      <c r="A1077" s="55"/>
      <c r="C1077" s="55"/>
      <c r="H1077"/>
    </row>
    <row r="1078" spans="1:8" hidden="1" x14ac:dyDescent="0.2">
      <c r="A1078" s="55"/>
      <c r="C1078" s="55"/>
      <c r="F1078" s="50"/>
      <c r="H1078"/>
    </row>
    <row r="1079" spans="1:8" hidden="1" x14ac:dyDescent="0.2">
      <c r="A1079" s="55"/>
      <c r="C1079" s="55"/>
      <c r="H1079"/>
    </row>
    <row r="1080" spans="1:8" hidden="1" x14ac:dyDescent="0.2">
      <c r="A1080" s="55"/>
      <c r="C1080" s="55"/>
      <c r="H1080"/>
    </row>
    <row r="1081" spans="1:8" hidden="1" x14ac:dyDescent="0.2">
      <c r="A1081" s="55"/>
      <c r="C1081" s="55"/>
      <c r="H1081"/>
    </row>
    <row r="1082" spans="1:8" hidden="1" x14ac:dyDescent="0.2">
      <c r="A1082" s="55"/>
      <c r="C1082" s="55"/>
      <c r="H1082"/>
    </row>
    <row r="1083" spans="1:8" hidden="1" x14ac:dyDescent="0.2">
      <c r="A1083" s="55"/>
      <c r="C1083" s="55"/>
      <c r="F1083" s="50"/>
      <c r="H1083"/>
    </row>
    <row r="1084" spans="1:8" hidden="1" x14ac:dyDescent="0.2">
      <c r="A1084" s="55"/>
      <c r="C1084" s="55"/>
      <c r="H1084"/>
    </row>
    <row r="1085" spans="1:8" hidden="1" x14ac:dyDescent="0.2">
      <c r="A1085" s="55"/>
      <c r="C1085" s="55"/>
      <c r="H1085"/>
    </row>
    <row r="1086" spans="1:8" hidden="1" x14ac:dyDescent="0.2">
      <c r="A1086" s="55"/>
      <c r="C1086" s="55"/>
      <c r="H1086"/>
    </row>
    <row r="1087" spans="1:8" hidden="1" x14ac:dyDescent="0.2">
      <c r="A1087" s="55"/>
      <c r="C1087" s="55"/>
      <c r="F1087" s="50"/>
      <c r="H1087"/>
    </row>
    <row r="1088" spans="1:8" hidden="1" x14ac:dyDescent="0.2">
      <c r="A1088" s="55"/>
      <c r="C1088" s="55"/>
      <c r="H1088"/>
    </row>
    <row r="1089" spans="1:8" hidden="1" x14ac:dyDescent="0.2">
      <c r="A1089" s="55"/>
      <c r="C1089" s="55"/>
      <c r="H1089"/>
    </row>
    <row r="1090" spans="1:8" hidden="1" x14ac:dyDescent="0.2">
      <c r="A1090" s="55"/>
      <c r="C1090" s="55"/>
      <c r="H1090"/>
    </row>
    <row r="1091" spans="1:8" hidden="1" x14ac:dyDescent="0.2">
      <c r="A1091" s="55"/>
      <c r="C1091" s="55"/>
      <c r="H1091"/>
    </row>
    <row r="1092" spans="1:8" hidden="1" x14ac:dyDescent="0.2">
      <c r="A1092" s="55"/>
      <c r="C1092" s="55"/>
      <c r="H1092"/>
    </row>
    <row r="1093" spans="1:8" hidden="1" x14ac:dyDescent="0.2">
      <c r="A1093" s="55"/>
      <c r="C1093" s="55"/>
      <c r="H1093"/>
    </row>
    <row r="1094" spans="1:8" hidden="1" x14ac:dyDescent="0.2">
      <c r="A1094" s="55"/>
      <c r="C1094" s="55"/>
      <c r="H1094"/>
    </row>
    <row r="1095" spans="1:8" hidden="1" x14ac:dyDescent="0.2">
      <c r="A1095" s="55"/>
      <c r="C1095" s="55"/>
      <c r="F1095" s="50"/>
      <c r="H1095"/>
    </row>
    <row r="1096" spans="1:8" hidden="1" x14ac:dyDescent="0.2">
      <c r="A1096" s="55"/>
      <c r="C1096" s="55"/>
    </row>
    <row r="1097" spans="1:8" hidden="1" x14ac:dyDescent="0.2">
      <c r="A1097" s="55"/>
      <c r="C1097" s="55"/>
      <c r="H1097"/>
    </row>
    <row r="1098" spans="1:8" hidden="1" x14ac:dyDescent="0.2">
      <c r="A1098" s="55"/>
      <c r="C1098" s="55"/>
      <c r="H1098"/>
    </row>
    <row r="1099" spans="1:8" hidden="1" x14ac:dyDescent="0.2">
      <c r="A1099" s="55"/>
      <c r="C1099" s="55"/>
      <c r="H1099"/>
    </row>
    <row r="1100" spans="1:8" hidden="1" x14ac:dyDescent="0.2">
      <c r="A1100" s="55"/>
      <c r="C1100" s="55"/>
      <c r="H1100"/>
    </row>
    <row r="1101" spans="1:8" hidden="1" x14ac:dyDescent="0.2">
      <c r="A1101" s="55"/>
      <c r="C1101" s="55"/>
      <c r="H1101"/>
    </row>
    <row r="1102" spans="1:8" hidden="1" x14ac:dyDescent="0.2">
      <c r="A1102" s="55"/>
      <c r="C1102" s="55"/>
      <c r="F1102" s="50"/>
      <c r="H1102"/>
    </row>
    <row r="1103" spans="1:8" hidden="1" x14ac:dyDescent="0.2">
      <c r="F1103" s="50"/>
    </row>
    <row r="1104" spans="1:8" hidden="1" x14ac:dyDescent="0.2">
      <c r="A1104" s="55"/>
      <c r="C1104" s="55"/>
    </row>
    <row r="1105" spans="1:8" hidden="1" x14ac:dyDescent="0.2">
      <c r="A1105" s="55"/>
      <c r="C1105" s="55"/>
    </row>
    <row r="1106" spans="1:8" hidden="1" x14ac:dyDescent="0.2">
      <c r="A1106" s="55"/>
      <c r="C1106" s="55"/>
    </row>
    <row r="1107" spans="1:8" hidden="1" x14ac:dyDescent="0.2">
      <c r="A1107" s="55"/>
      <c r="C1107" s="55"/>
    </row>
    <row r="1108" spans="1:8" hidden="1" x14ac:dyDescent="0.2">
      <c r="A1108" s="55"/>
      <c r="C1108" s="55"/>
    </row>
    <row r="1109" spans="1:8" hidden="1" x14ac:dyDescent="0.2">
      <c r="A1109" s="55"/>
      <c r="C1109" s="55"/>
    </row>
    <row r="1110" spans="1:8" hidden="1" x14ac:dyDescent="0.2">
      <c r="A1110" s="55"/>
      <c r="C1110" s="55"/>
      <c r="H1110"/>
    </row>
    <row r="1111" spans="1:8" hidden="1" x14ac:dyDescent="0.2">
      <c r="A1111" s="55"/>
      <c r="C1111" s="55"/>
    </row>
    <row r="1112" spans="1:8" hidden="1" x14ac:dyDescent="0.2">
      <c r="A1112" s="55"/>
      <c r="C1112" s="55"/>
    </row>
    <row r="1113" spans="1:8" hidden="1" x14ac:dyDescent="0.2">
      <c r="A1113" s="55"/>
      <c r="C1113" s="55"/>
    </row>
    <row r="1114" spans="1:8" hidden="1" x14ac:dyDescent="0.2">
      <c r="A1114" s="55"/>
      <c r="C1114" s="55"/>
    </row>
    <row r="1115" spans="1:8" hidden="1" x14ac:dyDescent="0.2">
      <c r="A1115" s="55"/>
      <c r="C1115" s="55"/>
    </row>
    <row r="1116" spans="1:8" hidden="1" x14ac:dyDescent="0.2">
      <c r="A1116" s="55"/>
      <c r="C1116" s="55"/>
    </row>
    <row r="1117" spans="1:8" hidden="1" x14ac:dyDescent="0.2">
      <c r="A1117" s="55"/>
      <c r="C1117" s="55"/>
    </row>
    <row r="1118" spans="1:8" hidden="1" x14ac:dyDescent="0.2">
      <c r="A1118" s="55"/>
      <c r="C1118" s="55"/>
    </row>
    <row r="1119" spans="1:8" hidden="1" x14ac:dyDescent="0.2">
      <c r="A1119" s="55"/>
      <c r="C1119" s="55"/>
    </row>
    <row r="1120" spans="1:8" hidden="1" x14ac:dyDescent="0.2">
      <c r="A1120" s="55"/>
      <c r="C1120" s="55"/>
    </row>
    <row r="1121" spans="1:6" hidden="1" x14ac:dyDescent="0.2">
      <c r="A1121" s="55"/>
      <c r="C1121" s="55"/>
    </row>
    <row r="1122" spans="1:6" hidden="1" x14ac:dyDescent="0.2">
      <c r="A1122" s="55"/>
      <c r="C1122" s="55"/>
      <c r="F1122" s="50"/>
    </row>
    <row r="1123" spans="1:6" hidden="1" x14ac:dyDescent="0.2">
      <c r="A1123" s="55"/>
      <c r="C1123" s="55"/>
      <c r="F1123" s="50"/>
    </row>
    <row r="1124" spans="1:6" hidden="1" x14ac:dyDescent="0.2">
      <c r="A1124" s="55"/>
      <c r="C1124" s="55"/>
    </row>
    <row r="1125" spans="1:6" hidden="1" x14ac:dyDescent="0.2">
      <c r="A1125" s="55"/>
      <c r="C1125" s="55"/>
    </row>
    <row r="1126" spans="1:6" hidden="1" x14ac:dyDescent="0.2">
      <c r="A1126" s="55"/>
      <c r="C1126" s="55"/>
    </row>
    <row r="1127" spans="1:6" hidden="1" x14ac:dyDescent="0.2">
      <c r="A1127" s="55"/>
      <c r="C1127" s="55"/>
    </row>
    <row r="1128" spans="1:6" hidden="1" x14ac:dyDescent="0.2">
      <c r="A1128" s="55"/>
      <c r="C1128" s="55"/>
    </row>
    <row r="1129" spans="1:6" hidden="1" x14ac:dyDescent="0.2">
      <c r="A1129" s="55"/>
      <c r="C1129" s="55"/>
    </row>
    <row r="1130" spans="1:6" hidden="1" x14ac:dyDescent="0.2">
      <c r="A1130" s="55"/>
      <c r="C1130" s="55"/>
    </row>
    <row r="1131" spans="1:6" hidden="1" x14ac:dyDescent="0.2">
      <c r="A1131" s="55"/>
      <c r="C1131" s="55"/>
    </row>
    <row r="1134" spans="1:6" hidden="1" x14ac:dyDescent="0.2">
      <c r="A1134" s="55"/>
      <c r="C1134" s="55"/>
    </row>
    <row r="1135" spans="1:6" hidden="1" x14ac:dyDescent="0.2">
      <c r="A1135" s="55"/>
      <c r="C1135" s="55"/>
    </row>
    <row r="1136" spans="1:6" hidden="1" x14ac:dyDescent="0.2">
      <c r="A1136" s="55"/>
      <c r="C1136" s="55"/>
    </row>
    <row r="1137" spans="1:6" hidden="1" x14ac:dyDescent="0.2">
      <c r="A1137" s="55"/>
      <c r="C1137" s="55"/>
    </row>
    <row r="1138" spans="1:6" hidden="1" x14ac:dyDescent="0.2">
      <c r="A1138" s="55"/>
      <c r="C1138" s="55"/>
    </row>
    <row r="1139" spans="1:6" hidden="1" x14ac:dyDescent="0.2">
      <c r="A1139" s="55"/>
      <c r="C1139" s="55"/>
    </row>
    <row r="1140" spans="1:6" hidden="1" x14ac:dyDescent="0.2">
      <c r="A1140" s="55"/>
      <c r="C1140" s="55"/>
      <c r="F1140" s="50"/>
    </row>
    <row r="1141" spans="1:6" hidden="1" x14ac:dyDescent="0.2">
      <c r="A1141" s="55"/>
      <c r="C1141" s="55"/>
    </row>
    <row r="1142" spans="1:6" hidden="1" x14ac:dyDescent="0.2">
      <c r="F1142" s="50"/>
    </row>
    <row r="1143" spans="1:6" hidden="1" x14ac:dyDescent="0.2">
      <c r="F1143" s="50"/>
    </row>
    <row r="1144" spans="1:6" hidden="1" x14ac:dyDescent="0.2">
      <c r="F1144" s="50"/>
    </row>
    <row r="1145" spans="1:6" hidden="1" x14ac:dyDescent="0.2">
      <c r="F1145" s="50"/>
    </row>
    <row r="1146" spans="1:6" hidden="1" x14ac:dyDescent="0.2">
      <c r="F1146" s="50"/>
    </row>
    <row r="1147" spans="1:6" hidden="1" x14ac:dyDescent="0.2">
      <c r="F1147" s="50"/>
    </row>
    <row r="1148" spans="1:6" hidden="1" x14ac:dyDescent="0.2">
      <c r="F1148" s="50"/>
    </row>
    <row r="1149" spans="1:6" hidden="1" x14ac:dyDescent="0.2">
      <c r="F1149" s="50"/>
    </row>
    <row r="1150" spans="1:6" hidden="1" x14ac:dyDescent="0.2">
      <c r="F1150" s="50"/>
    </row>
    <row r="1151" spans="1:6" hidden="1" x14ac:dyDescent="0.2">
      <c r="F1151" s="50"/>
    </row>
    <row r="1152" spans="1:6" hidden="1" x14ac:dyDescent="0.2">
      <c r="F1152" s="50"/>
    </row>
    <row r="1153" spans="1:6" hidden="1" x14ac:dyDescent="0.2">
      <c r="F1153" s="50"/>
    </row>
    <row r="1154" spans="1:6" hidden="1" x14ac:dyDescent="0.2">
      <c r="F1154" s="50"/>
    </row>
    <row r="1155" spans="1:6" hidden="1" x14ac:dyDescent="0.2">
      <c r="F1155" s="50"/>
    </row>
    <row r="1156" spans="1:6" hidden="1" x14ac:dyDescent="0.2">
      <c r="F1156" s="50"/>
    </row>
    <row r="1157" spans="1:6" ht="15" hidden="1" x14ac:dyDescent="0.25">
      <c r="A1157" s="58"/>
      <c r="C1157" s="58"/>
    </row>
    <row r="1158" spans="1:6" hidden="1" x14ac:dyDescent="0.2">
      <c r="F1158" s="50"/>
    </row>
    <row r="1159" spans="1:6" hidden="1" x14ac:dyDescent="0.2">
      <c r="F1159" s="50"/>
    </row>
    <row r="1160" spans="1:6" hidden="1" x14ac:dyDescent="0.2">
      <c r="F1160" s="50"/>
    </row>
    <row r="1161" spans="1:6" hidden="1" x14ac:dyDescent="0.2">
      <c r="F1161" s="50"/>
    </row>
    <row r="1162" spans="1:6" hidden="1" x14ac:dyDescent="0.2">
      <c r="F1162" s="50"/>
    </row>
    <row r="1163" spans="1:6" hidden="1" x14ac:dyDescent="0.2">
      <c r="F1163" s="50"/>
    </row>
    <row r="1164" spans="1:6" hidden="1" x14ac:dyDescent="0.2">
      <c r="F1164" s="50"/>
    </row>
    <row r="1165" spans="1:6" hidden="1" x14ac:dyDescent="0.2">
      <c r="F1165" s="50"/>
    </row>
    <row r="1166" spans="1:6" hidden="1" x14ac:dyDescent="0.2">
      <c r="F1166" s="50"/>
    </row>
    <row r="1167" spans="1:6" hidden="1" x14ac:dyDescent="0.2">
      <c r="F1167" s="50"/>
    </row>
    <row r="1168" spans="1:6" hidden="1" x14ac:dyDescent="0.2">
      <c r="F1168" s="50"/>
    </row>
    <row r="1169" spans="6:6" hidden="1" x14ac:dyDescent="0.2">
      <c r="F1169" s="50"/>
    </row>
    <row r="1170" spans="6:6" hidden="1" x14ac:dyDescent="0.2">
      <c r="F1170" s="50"/>
    </row>
    <row r="1171" spans="6:6" hidden="1" x14ac:dyDescent="0.2">
      <c r="F1171" s="50"/>
    </row>
    <row r="1172" spans="6:6" hidden="1" x14ac:dyDescent="0.2">
      <c r="F1172" s="50"/>
    </row>
    <row r="1173" spans="6:6" hidden="1" x14ac:dyDescent="0.2">
      <c r="F1173" s="50"/>
    </row>
    <row r="1174" spans="6:6" hidden="1" x14ac:dyDescent="0.2">
      <c r="F1174" s="50"/>
    </row>
    <row r="1175" spans="6:6" hidden="1" x14ac:dyDescent="0.2">
      <c r="F1175" s="50"/>
    </row>
    <row r="1176" spans="6:6" hidden="1" x14ac:dyDescent="0.2">
      <c r="F1176" s="50"/>
    </row>
    <row r="1177" spans="6:6" hidden="1" x14ac:dyDescent="0.2">
      <c r="F1177" s="50"/>
    </row>
    <row r="1178" spans="6:6" hidden="1" x14ac:dyDescent="0.2">
      <c r="F1178" s="50"/>
    </row>
    <row r="1179" spans="6:6" hidden="1" x14ac:dyDescent="0.2">
      <c r="F1179" s="50"/>
    </row>
    <row r="1180" spans="6:6" hidden="1" x14ac:dyDescent="0.2">
      <c r="F1180" s="50"/>
    </row>
    <row r="1181" spans="6:6" hidden="1" x14ac:dyDescent="0.2">
      <c r="F1181" s="50"/>
    </row>
    <row r="1182" spans="6:6" hidden="1" x14ac:dyDescent="0.2">
      <c r="F1182" s="50"/>
    </row>
    <row r="1183" spans="6:6" hidden="1" x14ac:dyDescent="0.2">
      <c r="F1183" s="50"/>
    </row>
    <row r="1184" spans="6:6" hidden="1" x14ac:dyDescent="0.2">
      <c r="F1184" s="50"/>
    </row>
    <row r="1185" spans="1:6" hidden="1" x14ac:dyDescent="0.2">
      <c r="F1185" s="50"/>
    </row>
    <row r="1186" spans="1:6" hidden="1" x14ac:dyDescent="0.2">
      <c r="F1186" s="50"/>
    </row>
    <row r="1187" spans="1:6" hidden="1" x14ac:dyDescent="0.2">
      <c r="F1187" s="50"/>
    </row>
    <row r="1188" spans="1:6" hidden="1" x14ac:dyDescent="0.2">
      <c r="F1188" s="50"/>
    </row>
    <row r="1189" spans="1:6" hidden="1" x14ac:dyDescent="0.2">
      <c r="F1189" s="50"/>
    </row>
    <row r="1190" spans="1:6" hidden="1" x14ac:dyDescent="0.2">
      <c r="F1190" s="50"/>
    </row>
    <row r="1191" spans="1:6" hidden="1" x14ac:dyDescent="0.2">
      <c r="F1191" s="50"/>
    </row>
    <row r="1192" spans="1:6" hidden="1" x14ac:dyDescent="0.2">
      <c r="F1192" s="50"/>
    </row>
    <row r="1193" spans="1:6" hidden="1" x14ac:dyDescent="0.2">
      <c r="F1193" s="50"/>
    </row>
    <row r="1194" spans="1:6" ht="15.75" hidden="1" thickBot="1" x14ac:dyDescent="0.25">
      <c r="A1194" s="59"/>
      <c r="C1194" s="59"/>
    </row>
    <row r="1195" spans="1:6" hidden="1" x14ac:dyDescent="0.2">
      <c r="F1195" s="50"/>
    </row>
    <row r="1196" spans="1:6" hidden="1" x14ac:dyDescent="0.2">
      <c r="F1196" s="50"/>
    </row>
    <row r="1197" spans="1:6" hidden="1" x14ac:dyDescent="0.2">
      <c r="F1197" s="50"/>
    </row>
    <row r="1198" spans="1:6" hidden="1" x14ac:dyDescent="0.2">
      <c r="F1198" s="50"/>
    </row>
    <row r="1199" spans="1:6" hidden="1" x14ac:dyDescent="0.2">
      <c r="F1199" s="50"/>
    </row>
    <row r="1200" spans="1:6" hidden="1" x14ac:dyDescent="0.2">
      <c r="F1200" s="50"/>
    </row>
    <row r="1201" spans="6:6" hidden="1" x14ac:dyDescent="0.2">
      <c r="F1201" s="50"/>
    </row>
    <row r="1202" spans="6:6" hidden="1" x14ac:dyDescent="0.2">
      <c r="F1202" s="50"/>
    </row>
    <row r="1203" spans="6:6" hidden="1" x14ac:dyDescent="0.2">
      <c r="F1203" s="50"/>
    </row>
    <row r="1204" spans="6:6" hidden="1" x14ac:dyDescent="0.2">
      <c r="F1204" s="50"/>
    </row>
    <row r="1205" spans="6:6" hidden="1" x14ac:dyDescent="0.2">
      <c r="F1205" s="50"/>
    </row>
    <row r="1206" spans="6:6" hidden="1" x14ac:dyDescent="0.2">
      <c r="F1206" s="50"/>
    </row>
    <row r="1207" spans="6:6" hidden="1" x14ac:dyDescent="0.2">
      <c r="F1207" s="50"/>
    </row>
    <row r="1208" spans="6:6" hidden="1" x14ac:dyDescent="0.2">
      <c r="F1208" s="50"/>
    </row>
    <row r="1209" spans="6:6" hidden="1" x14ac:dyDescent="0.2">
      <c r="F1209" s="50"/>
    </row>
    <row r="1210" spans="6:6" hidden="1" x14ac:dyDescent="0.2">
      <c r="F1210" s="50"/>
    </row>
    <row r="1211" spans="6:6" hidden="1" x14ac:dyDescent="0.2">
      <c r="F1211" s="50"/>
    </row>
    <row r="1212" spans="6:6" hidden="1" x14ac:dyDescent="0.2">
      <c r="F1212" s="50"/>
    </row>
    <row r="1213" spans="6:6" hidden="1" x14ac:dyDescent="0.2">
      <c r="F1213" s="50"/>
    </row>
    <row r="1214" spans="6:6" hidden="1" x14ac:dyDescent="0.2">
      <c r="F1214" s="50"/>
    </row>
    <row r="1215" spans="6:6" hidden="1" x14ac:dyDescent="0.2">
      <c r="F1215" s="50"/>
    </row>
    <row r="1216" spans="6:6" hidden="1" x14ac:dyDescent="0.2">
      <c r="F1216" s="50"/>
    </row>
    <row r="1217" spans="6:6" hidden="1" x14ac:dyDescent="0.2">
      <c r="F1217" s="50"/>
    </row>
    <row r="1218" spans="6:6" hidden="1" x14ac:dyDescent="0.2">
      <c r="F1218" s="50"/>
    </row>
    <row r="1219" spans="6:6" hidden="1" x14ac:dyDescent="0.2">
      <c r="F1219" s="50"/>
    </row>
    <row r="1220" spans="6:6" hidden="1" x14ac:dyDescent="0.2">
      <c r="F1220" s="50"/>
    </row>
    <row r="1221" spans="6:6" hidden="1" x14ac:dyDescent="0.2">
      <c r="F1221" s="50"/>
    </row>
    <row r="1223" spans="6:6" hidden="1" x14ac:dyDescent="0.2">
      <c r="F1223" s="50"/>
    </row>
    <row r="1224" spans="6:6" hidden="1" x14ac:dyDescent="0.2">
      <c r="F1224" s="50"/>
    </row>
    <row r="1225" spans="6:6" hidden="1" x14ac:dyDescent="0.2">
      <c r="F1225" s="50"/>
    </row>
    <row r="1226" spans="6:6" hidden="1" x14ac:dyDescent="0.2">
      <c r="F1226" s="50"/>
    </row>
    <row r="1227" spans="6:6" hidden="1" x14ac:dyDescent="0.2">
      <c r="F1227" s="50"/>
    </row>
    <row r="1228" spans="6:6" hidden="1" x14ac:dyDescent="0.2">
      <c r="F1228" s="50"/>
    </row>
    <row r="1229" spans="6:6" hidden="1" x14ac:dyDescent="0.2">
      <c r="F1229" s="50"/>
    </row>
    <row r="1230" spans="6:6" hidden="1" x14ac:dyDescent="0.2">
      <c r="F1230" s="50"/>
    </row>
    <row r="1231" spans="6:6" hidden="1" x14ac:dyDescent="0.2">
      <c r="F1231" s="50"/>
    </row>
    <row r="1232" spans="6:6" hidden="1" x14ac:dyDescent="0.2">
      <c r="F1232" s="50"/>
    </row>
    <row r="1233" spans="1:6" hidden="1" x14ac:dyDescent="0.2">
      <c r="F1233" s="50"/>
    </row>
    <row r="1234" spans="1:6" hidden="1" x14ac:dyDescent="0.2">
      <c r="F1234" s="50"/>
    </row>
    <row r="1235" spans="1:6" hidden="1" x14ac:dyDescent="0.2">
      <c r="F1235" s="50"/>
    </row>
    <row r="1236" spans="1:6" hidden="1" x14ac:dyDescent="0.2">
      <c r="F1236" s="50"/>
    </row>
    <row r="1237" spans="1:6" hidden="1" x14ac:dyDescent="0.2">
      <c r="A1237" s="60"/>
    </row>
    <row r="1238" spans="1:6" hidden="1" x14ac:dyDescent="0.2">
      <c r="A1238" s="60"/>
      <c r="C1238" s="60"/>
    </row>
    <row r="1239" spans="1:6" hidden="1" x14ac:dyDescent="0.2">
      <c r="A1239" s="60"/>
      <c r="C1239" s="60"/>
    </row>
    <row r="1240" spans="1:6" hidden="1" x14ac:dyDescent="0.2">
      <c r="A1240" s="60"/>
      <c r="C1240" s="60"/>
    </row>
    <row r="1241" spans="1:6" hidden="1" x14ac:dyDescent="0.2">
      <c r="A1241" s="60"/>
      <c r="C1241" s="60"/>
    </row>
    <row r="1242" spans="1:6" hidden="1" x14ac:dyDescent="0.2">
      <c r="A1242" s="60"/>
      <c r="C1242" s="60"/>
    </row>
    <row r="1243" spans="1:6" hidden="1" x14ac:dyDescent="0.2">
      <c r="A1243" s="60"/>
      <c r="C1243" s="60"/>
    </row>
    <row r="1244" spans="1:6" hidden="1" x14ac:dyDescent="0.2">
      <c r="A1244" s="60"/>
      <c r="C1244" s="60"/>
    </row>
    <row r="1245" spans="1:6" hidden="1" x14ac:dyDescent="0.2">
      <c r="A1245" s="60"/>
      <c r="C1245" s="60"/>
    </row>
    <row r="1246" spans="1:6" hidden="1" x14ac:dyDescent="0.2">
      <c r="A1246" s="60"/>
      <c r="C1246" s="60"/>
    </row>
    <row r="1247" spans="1:6" hidden="1" x14ac:dyDescent="0.2">
      <c r="A1247" s="60"/>
      <c r="C1247" s="60"/>
    </row>
    <row r="1248" spans="1:6" hidden="1" x14ac:dyDescent="0.2">
      <c r="A1248" s="60"/>
      <c r="C1248" s="60"/>
    </row>
    <row r="1249" spans="1:8" hidden="1" x14ac:dyDescent="0.2">
      <c r="A1249" s="60"/>
      <c r="C1249" s="60"/>
    </row>
    <row r="1250" spans="1:8" hidden="1" x14ac:dyDescent="0.2">
      <c r="A1250" s="60"/>
      <c r="C1250" s="60"/>
    </row>
    <row r="1251" spans="1:8" hidden="1" x14ac:dyDescent="0.2">
      <c r="A1251" s="60"/>
      <c r="C1251" s="60"/>
    </row>
    <row r="1252" spans="1:8" ht="15" hidden="1" x14ac:dyDescent="0.25">
      <c r="A1252" s="60"/>
      <c r="C1252" s="60"/>
      <c r="H1252" s="62"/>
    </row>
    <row r="1253" spans="1:8" ht="15" hidden="1" x14ac:dyDescent="0.25">
      <c r="A1253" s="60"/>
      <c r="C1253" s="60"/>
      <c r="H1253" s="62"/>
    </row>
    <row r="1254" spans="1:8" hidden="1" x14ac:dyDescent="0.2">
      <c r="A1254" s="60"/>
      <c r="C1254" s="60"/>
    </row>
    <row r="1255" spans="1:8" hidden="1" x14ac:dyDescent="0.2">
      <c r="A1255" s="60"/>
      <c r="C1255" s="60"/>
    </row>
    <row r="1256" spans="1:8" hidden="1" x14ac:dyDescent="0.2">
      <c r="A1256" s="60"/>
      <c r="C1256" s="60"/>
    </row>
    <row r="1257" spans="1:8" hidden="1" x14ac:dyDescent="0.2">
      <c r="A1257" s="60"/>
      <c r="C1257" s="60"/>
    </row>
    <row r="1258" spans="1:8" hidden="1" x14ac:dyDescent="0.2">
      <c r="A1258" s="60"/>
      <c r="C1258" s="60"/>
    </row>
    <row r="1259" spans="1:8" hidden="1" x14ac:dyDescent="0.2">
      <c r="A1259" s="60"/>
      <c r="C1259" s="60"/>
    </row>
    <row r="1260" spans="1:8" hidden="1" x14ac:dyDescent="0.2">
      <c r="A1260" s="60"/>
      <c r="C1260" s="60"/>
    </row>
    <row r="1261" spans="1:8" hidden="1" x14ac:dyDescent="0.2">
      <c r="A1261" s="60"/>
      <c r="C1261" s="60"/>
    </row>
    <row r="1262" spans="1:8" hidden="1" x14ac:dyDescent="0.2">
      <c r="A1262" s="60"/>
      <c r="C1262" s="60"/>
    </row>
    <row r="1263" spans="1:8" hidden="1" x14ac:dyDescent="0.2">
      <c r="A1263" s="60"/>
      <c r="C1263" s="60"/>
    </row>
    <row r="1264" spans="1:8" hidden="1" x14ac:dyDescent="0.2">
      <c r="A1264" s="60"/>
      <c r="C1264" s="60"/>
    </row>
    <row r="1265" spans="1:8" hidden="1" x14ac:dyDescent="0.2">
      <c r="A1265" s="60"/>
      <c r="C1265" s="60"/>
    </row>
    <row r="1266" spans="1:8" hidden="1" x14ac:dyDescent="0.2">
      <c r="A1266" s="60"/>
      <c r="C1266" s="60"/>
    </row>
    <row r="1267" spans="1:8" hidden="1" x14ac:dyDescent="0.2">
      <c r="A1267" s="60"/>
      <c r="C1267" s="60"/>
    </row>
    <row r="1268" spans="1:8" hidden="1" x14ac:dyDescent="0.2">
      <c r="F1268" s="50"/>
    </row>
    <row r="1269" spans="1:8" hidden="1" x14ac:dyDescent="0.2">
      <c r="F1269" s="50"/>
    </row>
    <row r="1270" spans="1:8" hidden="1" x14ac:dyDescent="0.2">
      <c r="F1270" s="50"/>
    </row>
    <row r="1271" spans="1:8" hidden="1" x14ac:dyDescent="0.2">
      <c r="F1271" s="50"/>
    </row>
    <row r="1272" spans="1:8" hidden="1" x14ac:dyDescent="0.2">
      <c r="F1272" s="50"/>
    </row>
    <row r="1273" spans="1:8" hidden="1" x14ac:dyDescent="0.2">
      <c r="F1273" s="50"/>
    </row>
    <row r="1274" spans="1:8" hidden="1" x14ac:dyDescent="0.2">
      <c r="F1274" s="50"/>
    </row>
    <row r="1275" spans="1:8" hidden="1" x14ac:dyDescent="0.2">
      <c r="F1275" s="50"/>
    </row>
    <row r="1276" spans="1:8" hidden="1" x14ac:dyDescent="0.2">
      <c r="F1276" s="50"/>
    </row>
    <row r="1277" spans="1:8" ht="15" hidden="1" x14ac:dyDescent="0.25">
      <c r="F1277" s="50"/>
      <c r="H1277" s="62"/>
    </row>
    <row r="1278" spans="1:8" ht="15" hidden="1" x14ac:dyDescent="0.25">
      <c r="F1278" s="50"/>
      <c r="H1278" s="62"/>
    </row>
    <row r="1279" spans="1:8" hidden="1" x14ac:dyDescent="0.2">
      <c r="F1279" s="50"/>
    </row>
    <row r="1280" spans="1:8" hidden="1" x14ac:dyDescent="0.2">
      <c r="F1280" s="50"/>
    </row>
    <row r="1281" spans="6:6" hidden="1" x14ac:dyDescent="0.2">
      <c r="F1281" s="50"/>
    </row>
    <row r="1282" spans="6:6" hidden="1" x14ac:dyDescent="0.2">
      <c r="F1282" s="50"/>
    </row>
    <row r="1283" spans="6:6" hidden="1" x14ac:dyDescent="0.2">
      <c r="F1283" s="50"/>
    </row>
    <row r="1284" spans="6:6" hidden="1" x14ac:dyDescent="0.2">
      <c r="F1284" s="50"/>
    </row>
    <row r="1285" spans="6:6" hidden="1" x14ac:dyDescent="0.2">
      <c r="F1285" s="50"/>
    </row>
    <row r="1286" spans="6:6" hidden="1" x14ac:dyDescent="0.2">
      <c r="F1286" s="50"/>
    </row>
    <row r="1287" spans="6:6" hidden="1" x14ac:dyDescent="0.2">
      <c r="F1287" s="50"/>
    </row>
    <row r="1288" spans="6:6" hidden="1" x14ac:dyDescent="0.2">
      <c r="F1288" s="50"/>
    </row>
    <row r="1289" spans="6:6" hidden="1" x14ac:dyDescent="0.2">
      <c r="F1289" s="50"/>
    </row>
    <row r="1290" spans="6:6" hidden="1" x14ac:dyDescent="0.2">
      <c r="F1290" s="50"/>
    </row>
    <row r="1291" spans="6:6" hidden="1" x14ac:dyDescent="0.2">
      <c r="F1291" s="50"/>
    </row>
    <row r="1292" spans="6:6" hidden="1" x14ac:dyDescent="0.2">
      <c r="F1292" s="50"/>
    </row>
    <row r="1293" spans="6:6" hidden="1" x14ac:dyDescent="0.2">
      <c r="F1293" s="50"/>
    </row>
    <row r="1294" spans="6:6" hidden="1" x14ac:dyDescent="0.2">
      <c r="F1294" s="50"/>
    </row>
    <row r="1295" spans="6:6" hidden="1" x14ac:dyDescent="0.2">
      <c r="F1295" s="50"/>
    </row>
    <row r="1296" spans="6:6" hidden="1" x14ac:dyDescent="0.2">
      <c r="F1296" s="50"/>
    </row>
    <row r="1297" spans="6:8" hidden="1" x14ac:dyDescent="0.2">
      <c r="F1297" s="50"/>
    </row>
    <row r="1298" spans="6:8" hidden="1" x14ac:dyDescent="0.2">
      <c r="F1298" s="50"/>
    </row>
    <row r="1299" spans="6:8" hidden="1" x14ac:dyDescent="0.2">
      <c r="F1299" s="50"/>
    </row>
    <row r="1300" spans="6:8" hidden="1" x14ac:dyDescent="0.2">
      <c r="F1300" s="50"/>
    </row>
    <row r="1301" spans="6:8" hidden="1" x14ac:dyDescent="0.2">
      <c r="F1301" s="50"/>
    </row>
    <row r="1302" spans="6:8" hidden="1" x14ac:dyDescent="0.2">
      <c r="F1302" s="50"/>
    </row>
    <row r="1303" spans="6:8" hidden="1" x14ac:dyDescent="0.2">
      <c r="F1303" s="50"/>
    </row>
    <row r="1304" spans="6:8" hidden="1" x14ac:dyDescent="0.2">
      <c r="F1304" s="50"/>
    </row>
    <row r="1305" spans="6:8" hidden="1" x14ac:dyDescent="0.2">
      <c r="F1305" s="50"/>
    </row>
    <row r="1306" spans="6:8" ht="15" hidden="1" x14ac:dyDescent="0.25">
      <c r="F1306" s="50"/>
      <c r="H1306" s="62"/>
    </row>
    <row r="1307" spans="6:8" hidden="1" x14ac:dyDescent="0.2">
      <c r="F1307" s="50"/>
    </row>
    <row r="1308" spans="6:8" hidden="1" x14ac:dyDescent="0.2">
      <c r="F1308" s="50"/>
    </row>
    <row r="1309" spans="6:8" hidden="1" x14ac:dyDescent="0.2">
      <c r="F1309" s="50"/>
    </row>
    <row r="1310" spans="6:8" hidden="1" x14ac:dyDescent="0.2">
      <c r="F1310" s="50"/>
    </row>
    <row r="1311" spans="6:8" hidden="1" x14ac:dyDescent="0.2">
      <c r="F1311" s="50"/>
    </row>
    <row r="1312" spans="6:8" hidden="1" x14ac:dyDescent="0.2">
      <c r="F1312" s="50"/>
    </row>
    <row r="1313" spans="6:6" hidden="1" x14ac:dyDescent="0.2">
      <c r="F1313" s="50"/>
    </row>
    <row r="1314" spans="6:6" hidden="1" x14ac:dyDescent="0.2">
      <c r="F1314" s="50"/>
    </row>
    <row r="1315" spans="6:6" hidden="1" x14ac:dyDescent="0.2">
      <c r="F1315" s="50"/>
    </row>
    <row r="1316" spans="6:6" hidden="1" x14ac:dyDescent="0.2">
      <c r="F1316" s="50"/>
    </row>
    <row r="1317" spans="6:6" hidden="1" x14ac:dyDescent="0.2">
      <c r="F1317" s="50"/>
    </row>
    <row r="1318" spans="6:6" hidden="1" x14ac:dyDescent="0.2">
      <c r="F1318" s="50"/>
    </row>
    <row r="1319" spans="6:6" hidden="1" x14ac:dyDescent="0.2">
      <c r="F1319" s="50"/>
    </row>
    <row r="1320" spans="6:6" hidden="1" x14ac:dyDescent="0.2">
      <c r="F1320" s="50"/>
    </row>
    <row r="1321" spans="6:6" hidden="1" x14ac:dyDescent="0.2">
      <c r="F1321" s="50"/>
    </row>
    <row r="1322" spans="6:6" hidden="1" x14ac:dyDescent="0.2">
      <c r="F1322" s="50"/>
    </row>
    <row r="1323" spans="6:6" hidden="1" x14ac:dyDescent="0.2">
      <c r="F1323" s="50"/>
    </row>
    <row r="1324" spans="6:6" hidden="1" x14ac:dyDescent="0.2">
      <c r="F1324" s="50"/>
    </row>
    <row r="1325" spans="6:6" hidden="1" x14ac:dyDescent="0.2">
      <c r="F1325" s="50"/>
    </row>
    <row r="1326" spans="6:6" hidden="1" x14ac:dyDescent="0.2">
      <c r="F1326" s="50"/>
    </row>
    <row r="1327" spans="6:6" hidden="1" x14ac:dyDescent="0.2">
      <c r="F1327" s="50"/>
    </row>
    <row r="1328" spans="6:6" hidden="1" x14ac:dyDescent="0.2">
      <c r="F1328" s="50"/>
    </row>
    <row r="1329" spans="6:6" hidden="1" x14ac:dyDescent="0.2">
      <c r="F1329" s="50"/>
    </row>
    <row r="1330" spans="6:6" hidden="1" x14ac:dyDescent="0.2">
      <c r="F1330" s="50"/>
    </row>
    <row r="1331" spans="6:6" hidden="1" x14ac:dyDescent="0.2">
      <c r="F1331" s="50"/>
    </row>
    <row r="1332" spans="6:6" hidden="1" x14ac:dyDescent="0.2">
      <c r="F1332" s="50"/>
    </row>
    <row r="1333" spans="6:6" hidden="1" x14ac:dyDescent="0.2">
      <c r="F1333" s="50"/>
    </row>
    <row r="1334" spans="6:6" hidden="1" x14ac:dyDescent="0.2">
      <c r="F1334" s="50"/>
    </row>
    <row r="1335" spans="6:6" hidden="1" x14ac:dyDescent="0.2">
      <c r="F1335" s="50"/>
    </row>
    <row r="1336" spans="6:6" hidden="1" x14ac:dyDescent="0.2">
      <c r="F1336" s="50"/>
    </row>
    <row r="1337" spans="6:6" hidden="1" x14ac:dyDescent="0.2">
      <c r="F1337" s="50"/>
    </row>
    <row r="1338" spans="6:6" hidden="1" x14ac:dyDescent="0.2">
      <c r="F1338" s="50"/>
    </row>
    <row r="1339" spans="6:6" hidden="1" x14ac:dyDescent="0.2">
      <c r="F1339" s="50"/>
    </row>
    <row r="1340" spans="6:6" hidden="1" x14ac:dyDescent="0.2">
      <c r="F1340" s="50"/>
    </row>
    <row r="1341" spans="6:6" hidden="1" x14ac:dyDescent="0.2">
      <c r="F1341" s="50"/>
    </row>
    <row r="1342" spans="6:6" hidden="1" x14ac:dyDescent="0.2">
      <c r="F1342" s="50"/>
    </row>
    <row r="1343" spans="6:6" hidden="1" x14ac:dyDescent="0.2">
      <c r="F1343" s="50"/>
    </row>
    <row r="1344" spans="6:6" hidden="1" x14ac:dyDescent="0.2">
      <c r="F1344" s="50"/>
    </row>
    <row r="1345" spans="6:6" hidden="1" x14ac:dyDescent="0.2">
      <c r="F1345" s="50"/>
    </row>
    <row r="1346" spans="6:6" hidden="1" x14ac:dyDescent="0.2">
      <c r="F1346" s="50"/>
    </row>
    <row r="1347" spans="6:6" hidden="1" x14ac:dyDescent="0.2">
      <c r="F1347" s="50"/>
    </row>
    <row r="1348" spans="6:6" hidden="1" x14ac:dyDescent="0.2">
      <c r="F1348" s="50"/>
    </row>
    <row r="1349" spans="6:6" hidden="1" x14ac:dyDescent="0.2">
      <c r="F1349" s="50"/>
    </row>
    <row r="1350" spans="6:6" hidden="1" x14ac:dyDescent="0.2">
      <c r="F1350" s="50"/>
    </row>
    <row r="1351" spans="6:6" hidden="1" x14ac:dyDescent="0.2">
      <c r="F1351" s="50"/>
    </row>
    <row r="1352" spans="6:6" hidden="1" x14ac:dyDescent="0.2">
      <c r="F1352" s="50"/>
    </row>
    <row r="1353" spans="6:6" hidden="1" x14ac:dyDescent="0.2">
      <c r="F1353" s="50"/>
    </row>
    <row r="1354" spans="6:6" hidden="1" x14ac:dyDescent="0.2">
      <c r="F1354" s="50"/>
    </row>
    <row r="1355" spans="6:6" hidden="1" x14ac:dyDescent="0.2">
      <c r="F1355" s="50"/>
    </row>
    <row r="1356" spans="6:6" hidden="1" x14ac:dyDescent="0.2">
      <c r="F1356" s="50"/>
    </row>
    <row r="1357" spans="6:6" hidden="1" x14ac:dyDescent="0.2">
      <c r="F1357" s="50"/>
    </row>
    <row r="1358" spans="6:6" hidden="1" x14ac:dyDescent="0.2">
      <c r="F1358" s="50"/>
    </row>
    <row r="1359" spans="6:6" hidden="1" x14ac:dyDescent="0.2">
      <c r="F1359" s="50"/>
    </row>
    <row r="1360" spans="6:6" hidden="1" x14ac:dyDescent="0.2">
      <c r="F1360" s="50"/>
    </row>
    <row r="1361" spans="6:8" hidden="1" x14ac:dyDescent="0.2">
      <c r="F1361" s="50"/>
    </row>
    <row r="1362" spans="6:8" hidden="1" x14ac:dyDescent="0.2">
      <c r="F1362" s="50"/>
    </row>
    <row r="1363" spans="6:8" hidden="1" x14ac:dyDescent="0.2">
      <c r="F1363" s="50"/>
    </row>
    <row r="1364" spans="6:8" hidden="1" x14ac:dyDescent="0.2">
      <c r="F1364" s="50"/>
    </row>
    <row r="1365" spans="6:8" hidden="1" x14ac:dyDescent="0.2">
      <c r="F1365" s="50"/>
    </row>
    <row r="1366" spans="6:8" hidden="1" x14ac:dyDescent="0.2">
      <c r="F1366" s="50"/>
    </row>
    <row r="1367" spans="6:8" hidden="1" x14ac:dyDescent="0.2">
      <c r="F1367" s="50"/>
    </row>
    <row r="1368" spans="6:8" hidden="1" x14ac:dyDescent="0.2">
      <c r="F1368" s="50"/>
    </row>
    <row r="1369" spans="6:8" hidden="1" x14ac:dyDescent="0.2">
      <c r="F1369" s="50"/>
    </row>
    <row r="1370" spans="6:8" hidden="1" x14ac:dyDescent="0.2">
      <c r="F1370" s="50"/>
    </row>
    <row r="1371" spans="6:8" hidden="1" x14ac:dyDescent="0.2">
      <c r="F1371" s="50"/>
    </row>
    <row r="1372" spans="6:8" hidden="1" x14ac:dyDescent="0.2">
      <c r="F1372" s="50"/>
    </row>
    <row r="1373" spans="6:8" hidden="1" x14ac:dyDescent="0.2">
      <c r="F1373" s="50"/>
    </row>
    <row r="1374" spans="6:8" hidden="1" x14ac:dyDescent="0.2">
      <c r="F1374" s="50"/>
    </row>
    <row r="1375" spans="6:8" hidden="1" x14ac:dyDescent="0.2">
      <c r="F1375" s="50"/>
      <c r="G1375" s="50"/>
      <c r="H1375" s="50"/>
    </row>
    <row r="1376" spans="6:8" hidden="1" x14ac:dyDescent="0.2">
      <c r="F1376" s="50"/>
    </row>
    <row r="1377" spans="6:6" hidden="1" x14ac:dyDescent="0.2">
      <c r="F1377" s="50"/>
    </row>
    <row r="1379" spans="6:6" hidden="1" x14ac:dyDescent="0.2">
      <c r="F1379" s="50"/>
    </row>
    <row r="1380" spans="6:6" hidden="1" x14ac:dyDescent="0.2">
      <c r="F1380" s="50"/>
    </row>
    <row r="1381" spans="6:6" hidden="1" x14ac:dyDescent="0.2">
      <c r="F1381" s="50"/>
    </row>
    <row r="1382" spans="6:6" hidden="1" x14ac:dyDescent="0.2">
      <c r="F1382" s="50"/>
    </row>
    <row r="1383" spans="6:6" hidden="1" x14ac:dyDescent="0.2">
      <c r="F1383" s="50"/>
    </row>
    <row r="1384" spans="6:6" hidden="1" x14ac:dyDescent="0.2">
      <c r="F1384" s="50"/>
    </row>
    <row r="1385" spans="6:6" hidden="1" x14ac:dyDescent="0.2">
      <c r="F1385" s="50"/>
    </row>
    <row r="1386" spans="6:6" hidden="1" x14ac:dyDescent="0.2">
      <c r="F1386" s="50"/>
    </row>
    <row r="1387" spans="6:6" hidden="1" x14ac:dyDescent="0.2">
      <c r="F1387" s="50"/>
    </row>
    <row r="1388" spans="6:6" hidden="1" x14ac:dyDescent="0.2">
      <c r="F1388" s="50"/>
    </row>
    <row r="1389" spans="6:6" hidden="1" x14ac:dyDescent="0.2">
      <c r="F1389" s="50"/>
    </row>
    <row r="1390" spans="6:6" hidden="1" x14ac:dyDescent="0.2">
      <c r="F1390" s="50"/>
    </row>
    <row r="1391" spans="6:6" hidden="1" x14ac:dyDescent="0.2">
      <c r="F1391" s="50"/>
    </row>
    <row r="1392" spans="6:6" hidden="1" x14ac:dyDescent="0.2">
      <c r="F1392" s="50"/>
    </row>
    <row r="1393" spans="1:6" hidden="1" x14ac:dyDescent="0.2">
      <c r="F1393" s="50"/>
    </row>
    <row r="1394" spans="1:6" ht="15" hidden="1" thickBot="1" x14ac:dyDescent="0.25">
      <c r="F1394" s="50"/>
    </row>
    <row r="1395" spans="1:6" ht="15.75" hidden="1" thickBot="1" x14ac:dyDescent="0.25">
      <c r="A1395" s="63"/>
      <c r="C1395" s="63"/>
    </row>
    <row r="1396" spans="1:6" ht="15.75" hidden="1" thickBot="1" x14ac:dyDescent="0.25">
      <c r="A1396" s="59"/>
      <c r="C1396" s="59"/>
    </row>
    <row r="1397" spans="1:6" ht="15.75" hidden="1" thickBot="1" x14ac:dyDescent="0.25">
      <c r="A1397" s="59"/>
      <c r="C1397" s="59"/>
    </row>
    <row r="1398" spans="1:6" ht="15.75" hidden="1" thickBot="1" x14ac:dyDescent="0.25">
      <c r="A1398" s="59"/>
      <c r="C1398" s="59"/>
    </row>
    <row r="1399" spans="1:6" ht="15.75" hidden="1" thickBot="1" x14ac:dyDescent="0.25">
      <c r="A1399" s="59"/>
      <c r="C1399" s="59"/>
    </row>
    <row r="1400" spans="1:6" ht="15.75" hidden="1" thickBot="1" x14ac:dyDescent="0.25">
      <c r="A1400" s="59"/>
      <c r="C1400" s="59"/>
    </row>
    <row r="1401" spans="1:6" ht="15.75" hidden="1" thickBot="1" x14ac:dyDescent="0.25">
      <c r="A1401" s="59"/>
      <c r="C1401" s="59"/>
    </row>
    <row r="1402" spans="1:6" ht="15.75" hidden="1" thickBot="1" x14ac:dyDescent="0.25">
      <c r="A1402" s="59"/>
      <c r="C1402" s="59"/>
    </row>
    <row r="1403" spans="1:6" ht="15.75" hidden="1" thickBot="1" x14ac:dyDescent="0.25">
      <c r="A1403" s="59"/>
      <c r="C1403" s="59"/>
    </row>
    <row r="1404" spans="1:6" ht="15.75" hidden="1" thickBot="1" x14ac:dyDescent="0.25">
      <c r="A1404" s="63"/>
      <c r="C1404" s="63"/>
    </row>
    <row r="1405" spans="1:6" ht="15" hidden="1" x14ac:dyDescent="0.2">
      <c r="A1405" s="64"/>
      <c r="C1405" s="64"/>
    </row>
    <row r="1406" spans="1:6" ht="15" hidden="1" x14ac:dyDescent="0.2">
      <c r="A1406" s="64"/>
    </row>
    <row r="1407" spans="1:6" ht="15" hidden="1" x14ac:dyDescent="0.2">
      <c r="A1407" s="64"/>
      <c r="C1407" s="64"/>
    </row>
    <row r="1408" spans="1:6" ht="15" hidden="1" x14ac:dyDescent="0.2">
      <c r="A1408" s="64"/>
      <c r="C1408" s="64"/>
    </row>
    <row r="1409" spans="1:3" ht="15" hidden="1" x14ac:dyDescent="0.2">
      <c r="A1409" s="64"/>
      <c r="C1409" s="64"/>
    </row>
    <row r="1410" spans="1:3" ht="15" hidden="1" x14ac:dyDescent="0.2">
      <c r="A1410" s="64"/>
      <c r="C1410" s="64"/>
    </row>
    <row r="1411" spans="1:3" ht="15" hidden="1" x14ac:dyDescent="0.2">
      <c r="A1411" s="64"/>
      <c r="C1411" s="64"/>
    </row>
    <row r="1412" spans="1:3" ht="15" hidden="1" x14ac:dyDescent="0.2">
      <c r="A1412" s="64"/>
      <c r="C1412" s="64"/>
    </row>
    <row r="1413" spans="1:3" ht="15" hidden="1" x14ac:dyDescent="0.2">
      <c r="A1413" s="64"/>
      <c r="C1413" s="64"/>
    </row>
    <row r="1414" spans="1:3" ht="15" hidden="1" x14ac:dyDescent="0.2">
      <c r="A1414" s="64"/>
      <c r="C1414" s="64"/>
    </row>
    <row r="1415" spans="1:3" ht="15" hidden="1" x14ac:dyDescent="0.2">
      <c r="A1415" s="64"/>
      <c r="C1415" s="64"/>
    </row>
    <row r="1416" spans="1:3" ht="15" hidden="1" x14ac:dyDescent="0.2">
      <c r="A1416" s="64"/>
      <c r="C1416" s="64"/>
    </row>
    <row r="1417" spans="1:3" ht="15" hidden="1" x14ac:dyDescent="0.2">
      <c r="A1417" s="64"/>
      <c r="C1417" s="64"/>
    </row>
    <row r="1418" spans="1:3" ht="15" hidden="1" x14ac:dyDescent="0.2">
      <c r="A1418" s="64"/>
      <c r="C1418" s="64"/>
    </row>
    <row r="1419" spans="1:3" ht="15" hidden="1" x14ac:dyDescent="0.2">
      <c r="A1419" s="64"/>
      <c r="C1419" s="64"/>
    </row>
    <row r="1420" spans="1:3" ht="15" hidden="1" x14ac:dyDescent="0.2">
      <c r="A1420" s="64"/>
      <c r="C1420" s="64"/>
    </row>
    <row r="1421" spans="1:3" ht="15" hidden="1" x14ac:dyDescent="0.2">
      <c r="A1421" s="64"/>
      <c r="C1421" s="64"/>
    </row>
    <row r="1422" spans="1:3" ht="15" hidden="1" x14ac:dyDescent="0.2">
      <c r="A1422" s="64"/>
      <c r="C1422" s="64"/>
    </row>
    <row r="1423" spans="1:3" ht="15" hidden="1" x14ac:dyDescent="0.2">
      <c r="A1423" s="64"/>
      <c r="C1423" s="64"/>
    </row>
    <row r="1424" spans="1:3" ht="15" hidden="1" x14ac:dyDescent="0.2">
      <c r="A1424" s="64"/>
      <c r="C1424" s="64"/>
    </row>
    <row r="1425" spans="1:3" ht="15" hidden="1" x14ac:dyDescent="0.2">
      <c r="A1425" s="64"/>
      <c r="C1425" s="64"/>
    </row>
    <row r="1426" spans="1:3" ht="15" hidden="1" x14ac:dyDescent="0.2">
      <c r="A1426" s="64"/>
      <c r="C1426" s="64"/>
    </row>
    <row r="1427" spans="1:3" ht="15" hidden="1" x14ac:dyDescent="0.2">
      <c r="A1427" s="64"/>
      <c r="C1427" s="64"/>
    </row>
    <row r="1428" spans="1:3" ht="15" hidden="1" x14ac:dyDescent="0.2">
      <c r="A1428" s="64"/>
      <c r="C1428" s="64"/>
    </row>
    <row r="1429" spans="1:3" ht="15" hidden="1" x14ac:dyDescent="0.2">
      <c r="A1429" s="64"/>
      <c r="C1429" s="64"/>
    </row>
    <row r="1430" spans="1:3" ht="15" hidden="1" x14ac:dyDescent="0.2">
      <c r="A1430" s="64"/>
      <c r="C1430" s="64"/>
    </row>
    <row r="1431" spans="1:3" ht="15" hidden="1" x14ac:dyDescent="0.2">
      <c r="A1431" s="64"/>
      <c r="C1431" s="64"/>
    </row>
    <row r="1432" spans="1:3" ht="15" hidden="1" x14ac:dyDescent="0.2">
      <c r="A1432" s="64"/>
      <c r="C1432" s="64"/>
    </row>
    <row r="1433" spans="1:3" ht="15" hidden="1" x14ac:dyDescent="0.2">
      <c r="A1433" s="64"/>
      <c r="C1433" s="64"/>
    </row>
    <row r="1434" spans="1:3" ht="15" hidden="1" x14ac:dyDescent="0.2">
      <c r="A1434" s="64"/>
      <c r="C1434" s="64"/>
    </row>
    <row r="1435" spans="1:3" ht="15" hidden="1" x14ac:dyDescent="0.2">
      <c r="A1435" s="64"/>
      <c r="C1435" s="64"/>
    </row>
    <row r="1436" spans="1:3" ht="15" hidden="1" x14ac:dyDescent="0.2">
      <c r="A1436" s="64"/>
      <c r="C1436" s="64"/>
    </row>
    <row r="1437" spans="1:3" ht="15" hidden="1" x14ac:dyDescent="0.2">
      <c r="A1437" s="64"/>
      <c r="C1437" s="64"/>
    </row>
    <row r="1438" spans="1:3" ht="15" hidden="1" x14ac:dyDescent="0.2">
      <c r="A1438" s="64"/>
      <c r="C1438" s="64"/>
    </row>
    <row r="1439" spans="1:3" ht="15" hidden="1" x14ac:dyDescent="0.2">
      <c r="A1439" s="64"/>
      <c r="C1439" s="64"/>
    </row>
    <row r="1440" spans="1:3" ht="15" hidden="1" x14ac:dyDescent="0.2">
      <c r="A1440" s="64"/>
      <c r="C1440" s="64"/>
    </row>
    <row r="1441" spans="1:6" ht="15" hidden="1" x14ac:dyDescent="0.2">
      <c r="A1441" s="64"/>
      <c r="C1441" s="64"/>
    </row>
    <row r="1442" spans="1:6" ht="15" hidden="1" x14ac:dyDescent="0.2">
      <c r="A1442" s="64"/>
      <c r="C1442" s="64"/>
    </row>
    <row r="1443" spans="1:6" ht="15" hidden="1" x14ac:dyDescent="0.2">
      <c r="A1443" s="64"/>
      <c r="C1443" s="64"/>
    </row>
    <row r="1444" spans="1:6" ht="15" hidden="1" x14ac:dyDescent="0.2">
      <c r="A1444" s="64"/>
      <c r="C1444" s="64"/>
    </row>
    <row r="1445" spans="1:6" ht="15" hidden="1" x14ac:dyDescent="0.2">
      <c r="A1445" s="64"/>
      <c r="C1445" s="64"/>
    </row>
    <row r="1446" spans="1:6" ht="15" hidden="1" x14ac:dyDescent="0.2">
      <c r="A1446" s="64"/>
      <c r="C1446" s="64"/>
    </row>
    <row r="1447" spans="1:6" ht="15" hidden="1" x14ac:dyDescent="0.2">
      <c r="A1447" s="64"/>
      <c r="C1447" s="64"/>
    </row>
    <row r="1448" spans="1:6" ht="15" hidden="1" x14ac:dyDescent="0.2">
      <c r="A1448" s="64"/>
      <c r="C1448" s="64"/>
    </row>
    <row r="1449" spans="1:6" ht="15" hidden="1" x14ac:dyDescent="0.2">
      <c r="A1449" s="64"/>
      <c r="C1449" s="64"/>
    </row>
    <row r="1450" spans="1:6" ht="15" hidden="1" x14ac:dyDescent="0.2">
      <c r="A1450" s="64"/>
      <c r="C1450" s="64"/>
    </row>
    <row r="1451" spans="1:6" ht="15" hidden="1" x14ac:dyDescent="0.2">
      <c r="A1451" s="64"/>
      <c r="C1451" s="64"/>
    </row>
    <row r="1452" spans="1:6" ht="15" hidden="1" x14ac:dyDescent="0.2">
      <c r="A1452" s="64"/>
      <c r="C1452" s="64"/>
    </row>
    <row r="1453" spans="1:6" ht="15" hidden="1" x14ac:dyDescent="0.2">
      <c r="A1453" s="64"/>
      <c r="C1453" s="64"/>
    </row>
    <row r="1454" spans="1:6" ht="15" hidden="1" x14ac:dyDescent="0.2">
      <c r="A1454" s="64"/>
      <c r="C1454" s="64"/>
    </row>
    <row r="1455" spans="1:6" ht="15" hidden="1" x14ac:dyDescent="0.2">
      <c r="A1455" s="64"/>
      <c r="C1455" s="64"/>
    </row>
    <row r="1456" spans="1:6" hidden="1" x14ac:dyDescent="0.2">
      <c r="F1456" s="50"/>
    </row>
    <row r="1457" spans="1:6" hidden="1" x14ac:dyDescent="0.2">
      <c r="F1457" s="50"/>
    </row>
    <row r="1458" spans="1:6" hidden="1" x14ac:dyDescent="0.2">
      <c r="F1458" s="50"/>
    </row>
    <row r="1459" spans="1:6" hidden="1" x14ac:dyDescent="0.2">
      <c r="F1459" s="50"/>
    </row>
    <row r="1460" spans="1:6" hidden="1" x14ac:dyDescent="0.2">
      <c r="F1460" s="50"/>
    </row>
    <row r="1461" spans="1:6" hidden="1" x14ac:dyDescent="0.2">
      <c r="F1461" s="50"/>
    </row>
    <row r="1462" spans="1:6" hidden="1" x14ac:dyDescent="0.2">
      <c r="F1462" s="50"/>
    </row>
    <row r="1463" spans="1:6" hidden="1" x14ac:dyDescent="0.2">
      <c r="F1463" s="50"/>
    </row>
    <row r="1464" spans="1:6" hidden="1" x14ac:dyDescent="0.2">
      <c r="F1464" s="50"/>
    </row>
    <row r="1465" spans="1:6" hidden="1" x14ac:dyDescent="0.2">
      <c r="F1465" s="50"/>
    </row>
    <row r="1466" spans="1:6" hidden="1" x14ac:dyDescent="0.2">
      <c r="F1466" s="50"/>
    </row>
    <row r="1467" spans="1:6" hidden="1" x14ac:dyDescent="0.2">
      <c r="F1467" s="50"/>
    </row>
    <row r="1468" spans="1:6" hidden="1" x14ac:dyDescent="0.2">
      <c r="F1468" s="50"/>
    </row>
    <row r="1469" spans="1:6" hidden="1" x14ac:dyDescent="0.2">
      <c r="A1469" s="65"/>
      <c r="C1469" s="65"/>
    </row>
    <row r="1470" spans="1:6" hidden="1" x14ac:dyDescent="0.2">
      <c r="F1470" s="50"/>
    </row>
    <row r="1471" spans="1:6" hidden="1" x14ac:dyDescent="0.2">
      <c r="F1471" s="50"/>
    </row>
    <row r="1472" spans="1:6" hidden="1" x14ac:dyDescent="0.2">
      <c r="F1472" s="50"/>
    </row>
    <row r="1473" spans="1:8" hidden="1" x14ac:dyDescent="0.2">
      <c r="F1473" s="50"/>
    </row>
    <row r="1474" spans="1:8" ht="15" hidden="1" x14ac:dyDescent="0.25">
      <c r="A1474" s="60"/>
      <c r="C1474" s="60"/>
      <c r="H1474" s="62"/>
    </row>
    <row r="1475" spans="1:8" hidden="1" x14ac:dyDescent="0.2">
      <c r="F1475" s="50"/>
    </row>
    <row r="1476" spans="1:8" hidden="1" x14ac:dyDescent="0.2">
      <c r="F1476" s="50"/>
    </row>
    <row r="1477" spans="1:8" hidden="1" x14ac:dyDescent="0.2">
      <c r="F1477" s="50"/>
    </row>
    <row r="1479" spans="1:8" hidden="1" x14ac:dyDescent="0.2">
      <c r="F1479" s="50"/>
    </row>
    <row r="1480" spans="1:8" hidden="1" x14ac:dyDescent="0.2">
      <c r="F1480" s="50"/>
    </row>
    <row r="1481" spans="1:8" hidden="1" x14ac:dyDescent="0.2">
      <c r="F1481" s="50"/>
    </row>
    <row r="1482" spans="1:8" hidden="1" x14ac:dyDescent="0.2">
      <c r="F1482" s="50"/>
    </row>
    <row r="1483" spans="1:8" hidden="1" x14ac:dyDescent="0.2">
      <c r="F1483" s="50"/>
    </row>
    <row r="1484" spans="1:8" hidden="1" x14ac:dyDescent="0.2">
      <c r="F1484" s="50"/>
    </row>
    <row r="1485" spans="1:8" hidden="1" x14ac:dyDescent="0.2">
      <c r="F1485" s="50"/>
    </row>
    <row r="1486" spans="1:8" hidden="1" x14ac:dyDescent="0.2">
      <c r="F1486" s="50"/>
    </row>
    <row r="1487" spans="1:8" hidden="1" x14ac:dyDescent="0.2">
      <c r="F1487" s="50"/>
    </row>
    <row r="1488" spans="1:8" ht="15" hidden="1" x14ac:dyDescent="0.25">
      <c r="F1488" s="50"/>
      <c r="H1488" s="62"/>
    </row>
    <row r="1489" spans="1:6" hidden="1" x14ac:dyDescent="0.2">
      <c r="F1489" s="50"/>
    </row>
    <row r="1490" spans="1:6" hidden="1" x14ac:dyDescent="0.2">
      <c r="F1490" s="50"/>
    </row>
    <row r="1491" spans="1:6" hidden="1" x14ac:dyDescent="0.2">
      <c r="F1491" s="50"/>
    </row>
    <row r="1492" spans="1:6" hidden="1" x14ac:dyDescent="0.2">
      <c r="F1492" s="50"/>
    </row>
    <row r="1493" spans="1:6" hidden="1" x14ac:dyDescent="0.2">
      <c r="F1493" s="50"/>
    </row>
    <row r="1494" spans="1:6" hidden="1" x14ac:dyDescent="0.2">
      <c r="F1494" s="50"/>
    </row>
    <row r="1495" spans="1:6" hidden="1" x14ac:dyDescent="0.2">
      <c r="F1495" s="50"/>
    </row>
    <row r="1496" spans="1:6" hidden="1" x14ac:dyDescent="0.2">
      <c r="A1496" s="55"/>
      <c r="C1496" s="55"/>
    </row>
    <row r="1497" spans="1:6" hidden="1" x14ac:dyDescent="0.2">
      <c r="F1497" s="50"/>
    </row>
    <row r="1498" spans="1:6" hidden="1" x14ac:dyDescent="0.2">
      <c r="F1498" s="50"/>
    </row>
    <row r="1499" spans="1:6" hidden="1" x14ac:dyDescent="0.2">
      <c r="F1499" s="50"/>
    </row>
    <row r="1500" spans="1:6" hidden="1" x14ac:dyDescent="0.2">
      <c r="F1500" s="50"/>
    </row>
    <row r="1502" spans="1:6" hidden="1" x14ac:dyDescent="0.2">
      <c r="F1502" s="50"/>
    </row>
    <row r="1503" spans="1:6" hidden="1" x14ac:dyDescent="0.2">
      <c r="F1503" s="50"/>
    </row>
    <row r="1504" spans="1:6" hidden="1" x14ac:dyDescent="0.2">
      <c r="F1504" s="50"/>
    </row>
    <row r="1505" spans="6:6" hidden="1" x14ac:dyDescent="0.2">
      <c r="F1505" s="50"/>
    </row>
    <row r="1506" spans="6:6" hidden="1" x14ac:dyDescent="0.2">
      <c r="F1506" s="50"/>
    </row>
    <row r="1507" spans="6:6" hidden="1" x14ac:dyDescent="0.2">
      <c r="F1507" s="50"/>
    </row>
    <row r="1508" spans="6:6" hidden="1" x14ac:dyDescent="0.2">
      <c r="F1508" s="50"/>
    </row>
    <row r="1509" spans="6:6" hidden="1" x14ac:dyDescent="0.2">
      <c r="F1509" s="50"/>
    </row>
    <row r="1510" spans="6:6" hidden="1" x14ac:dyDescent="0.2">
      <c r="F1510" s="50"/>
    </row>
    <row r="1511" spans="6:6" hidden="1" x14ac:dyDescent="0.2">
      <c r="F1511" s="50"/>
    </row>
    <row r="1512" spans="6:6" hidden="1" x14ac:dyDescent="0.2">
      <c r="F1512" s="50"/>
    </row>
    <row r="1516" spans="6:6" hidden="1" x14ac:dyDescent="0.2">
      <c r="F1516" s="50"/>
    </row>
    <row r="1517" spans="6:6" hidden="1" x14ac:dyDescent="0.2">
      <c r="F1517" s="50"/>
    </row>
    <row r="1518" spans="6:6" hidden="1" x14ac:dyDescent="0.2">
      <c r="F1518" s="50"/>
    </row>
    <row r="1519" spans="6:6" hidden="1" x14ac:dyDescent="0.2">
      <c r="F1519" s="50"/>
    </row>
    <row r="1520" spans="6:6" hidden="1" x14ac:dyDescent="0.2">
      <c r="F1520" s="50"/>
    </row>
    <row r="1521" spans="1:6" hidden="1" x14ac:dyDescent="0.2">
      <c r="F1521" s="50"/>
    </row>
    <row r="1522" spans="1:6" hidden="1" x14ac:dyDescent="0.2">
      <c r="F1522" s="50"/>
    </row>
    <row r="1523" spans="1:6" hidden="1" x14ac:dyDescent="0.2">
      <c r="F1523" s="50"/>
    </row>
    <row r="1524" spans="1:6" hidden="1" x14ac:dyDescent="0.2">
      <c r="F1524" s="50"/>
    </row>
    <row r="1525" spans="1:6" hidden="1" x14ac:dyDescent="0.2">
      <c r="F1525" s="50"/>
    </row>
    <row r="1526" spans="1:6" hidden="1" x14ac:dyDescent="0.2">
      <c r="A1526" s="91"/>
      <c r="C1526" s="91"/>
      <c r="F1526" s="50"/>
    </row>
    <row r="1527" spans="1:6" hidden="1" x14ac:dyDescent="0.2">
      <c r="A1527" s="91"/>
      <c r="C1527" s="91"/>
      <c r="F1527" s="50"/>
    </row>
    <row r="1528" spans="1:6" hidden="1" x14ac:dyDescent="0.2">
      <c r="A1528" s="91"/>
      <c r="C1528" s="91"/>
      <c r="F1528" s="50"/>
    </row>
    <row r="1529" spans="1:6" hidden="1" x14ac:dyDescent="0.2">
      <c r="A1529" s="91"/>
      <c r="C1529" s="91"/>
      <c r="F1529" s="50"/>
    </row>
    <row r="1530" spans="1:6" hidden="1" x14ac:dyDescent="0.2">
      <c r="A1530" s="91"/>
      <c r="C1530" s="91"/>
      <c r="F1530" s="50"/>
    </row>
    <row r="1531" spans="1:6" hidden="1" x14ac:dyDescent="0.2">
      <c r="A1531" s="91"/>
      <c r="C1531" s="91"/>
      <c r="F1531" s="50"/>
    </row>
    <row r="1532" spans="1:6" hidden="1" x14ac:dyDescent="0.2">
      <c r="A1532" s="91"/>
      <c r="C1532" s="91"/>
      <c r="F1532" s="50"/>
    </row>
    <row r="1533" spans="1:6" hidden="1" x14ac:dyDescent="0.2">
      <c r="A1533" s="91"/>
      <c r="C1533" s="91"/>
      <c r="F1533" s="50"/>
    </row>
    <row r="1534" spans="1:6" hidden="1" x14ac:dyDescent="0.2">
      <c r="A1534" s="91"/>
      <c r="C1534" s="91"/>
      <c r="F1534" s="50"/>
    </row>
    <row r="1535" spans="1:6" hidden="1" x14ac:dyDescent="0.2">
      <c r="A1535" s="91"/>
      <c r="C1535" s="91"/>
      <c r="F1535" s="50"/>
    </row>
    <row r="1536" spans="1:6" hidden="1" x14ac:dyDescent="0.2">
      <c r="A1536" s="91"/>
      <c r="C1536" s="91"/>
      <c r="F1536" s="50"/>
    </row>
    <row r="1537" spans="1:6" hidden="1" x14ac:dyDescent="0.2">
      <c r="A1537" s="91"/>
      <c r="C1537" s="91"/>
      <c r="F1537" s="50"/>
    </row>
    <row r="1538" spans="1:6" hidden="1" x14ac:dyDescent="0.2">
      <c r="A1538" s="91"/>
      <c r="C1538" s="91"/>
      <c r="F1538" s="50"/>
    </row>
    <row r="1539" spans="1:6" hidden="1" x14ac:dyDescent="0.2">
      <c r="A1539" s="91"/>
      <c r="C1539" s="91"/>
      <c r="F1539" s="50"/>
    </row>
    <row r="1540" spans="1:6" hidden="1" x14ac:dyDescent="0.2">
      <c r="A1540" s="91"/>
      <c r="C1540" s="91"/>
      <c r="F1540" s="50"/>
    </row>
    <row r="1541" spans="1:6" hidden="1" x14ac:dyDescent="0.2">
      <c r="A1541" s="91"/>
      <c r="F1541" s="50"/>
    </row>
    <row r="1542" spans="1:6" hidden="1" x14ac:dyDescent="0.2">
      <c r="A1542" s="91"/>
      <c r="F1542" s="50"/>
    </row>
    <row r="1543" spans="1:6" hidden="1" x14ac:dyDescent="0.2">
      <c r="A1543" s="91"/>
      <c r="F1543" s="50"/>
    </row>
    <row r="1544" spans="1:6" hidden="1" x14ac:dyDescent="0.2">
      <c r="F1544" s="50"/>
    </row>
    <row r="1545" spans="1:6" hidden="1" x14ac:dyDescent="0.2">
      <c r="F1545" s="50"/>
    </row>
    <row r="1546" spans="1:6" hidden="1" x14ac:dyDescent="0.2">
      <c r="F1546" s="50"/>
    </row>
    <row r="1547" spans="1:6" hidden="1" x14ac:dyDescent="0.2">
      <c r="F1547" s="50"/>
    </row>
    <row r="1548" spans="1:6" hidden="1" x14ac:dyDescent="0.2">
      <c r="F1548" s="50"/>
    </row>
    <row r="1549" spans="1:6" hidden="1" x14ac:dyDescent="0.2">
      <c r="F1549" s="50"/>
    </row>
    <row r="1550" spans="1:6" hidden="1" x14ac:dyDescent="0.2">
      <c r="F1550" s="50"/>
    </row>
    <row r="1551" spans="1:6" hidden="1" x14ac:dyDescent="0.2">
      <c r="F1551" s="50"/>
    </row>
    <row r="1552" spans="1:6" hidden="1" x14ac:dyDescent="0.2">
      <c r="F1552" s="50"/>
    </row>
    <row r="1553" spans="6:6" hidden="1" x14ac:dyDescent="0.2">
      <c r="F1553" s="50"/>
    </row>
    <row r="1554" spans="6:6" hidden="1" x14ac:dyDescent="0.2">
      <c r="F1554" s="50"/>
    </row>
    <row r="1555" spans="6:6" hidden="1" x14ac:dyDescent="0.2">
      <c r="F1555" s="50"/>
    </row>
    <row r="1556" spans="6:6" hidden="1" x14ac:dyDescent="0.2">
      <c r="F1556" s="50"/>
    </row>
    <row r="1557" spans="6:6" hidden="1" x14ac:dyDescent="0.2">
      <c r="F1557" s="50"/>
    </row>
    <row r="1558" spans="6:6" hidden="1" x14ac:dyDescent="0.2">
      <c r="F1558" s="50"/>
    </row>
    <row r="1559" spans="6:6" hidden="1" x14ac:dyDescent="0.2">
      <c r="F1559" s="50"/>
    </row>
    <row r="1560" spans="6:6" hidden="1" x14ac:dyDescent="0.2">
      <c r="F1560" s="50"/>
    </row>
    <row r="1561" spans="6:6" hidden="1" x14ac:dyDescent="0.2">
      <c r="F1561" s="50"/>
    </row>
    <row r="1562" spans="6:6" hidden="1" x14ac:dyDescent="0.2">
      <c r="F1562" s="50"/>
    </row>
    <row r="1563" spans="6:6" hidden="1" x14ac:dyDescent="0.2">
      <c r="F1563" s="50"/>
    </row>
    <row r="1564" spans="6:6" hidden="1" x14ac:dyDescent="0.2">
      <c r="F1564" s="50"/>
    </row>
    <row r="1565" spans="6:6" hidden="1" x14ac:dyDescent="0.2">
      <c r="F1565" s="50"/>
    </row>
    <row r="1566" spans="6:6" hidden="1" x14ac:dyDescent="0.2">
      <c r="F1566" s="50"/>
    </row>
    <row r="1567" spans="6:6" hidden="1" x14ac:dyDescent="0.2">
      <c r="F1567" s="50"/>
    </row>
    <row r="1568" spans="6:6" hidden="1" x14ac:dyDescent="0.2">
      <c r="F1568" s="50"/>
    </row>
    <row r="1569" spans="6:6" hidden="1" x14ac:dyDescent="0.2">
      <c r="F1569" s="50"/>
    </row>
    <row r="1570" spans="6:6" hidden="1" x14ac:dyDescent="0.2">
      <c r="F1570" s="50"/>
    </row>
    <row r="1571" spans="6:6" hidden="1" x14ac:dyDescent="0.2">
      <c r="F1571" s="50"/>
    </row>
    <row r="1572" spans="6:6" hidden="1" x14ac:dyDescent="0.2">
      <c r="F1572" s="50"/>
    </row>
    <row r="1573" spans="6:6" hidden="1" x14ac:dyDescent="0.2">
      <c r="F1573" s="50"/>
    </row>
    <row r="1574" spans="6:6" hidden="1" x14ac:dyDescent="0.2">
      <c r="F1574" s="50"/>
    </row>
    <row r="1575" spans="6:6" ht="11.25" hidden="1" customHeight="1" x14ac:dyDescent="0.2">
      <c r="F1575" s="50"/>
    </row>
    <row r="1576" spans="6:6" hidden="1" x14ac:dyDescent="0.2">
      <c r="F1576" s="50"/>
    </row>
    <row r="1577" spans="6:6" hidden="1" x14ac:dyDescent="0.2">
      <c r="F1577" s="50"/>
    </row>
    <row r="1578" spans="6:6" hidden="1" x14ac:dyDescent="0.2">
      <c r="F1578" s="50"/>
    </row>
    <row r="1579" spans="6:6" hidden="1" x14ac:dyDescent="0.2">
      <c r="F1579" s="50"/>
    </row>
    <row r="1580" spans="6:6" hidden="1" x14ac:dyDescent="0.2">
      <c r="F1580" s="50"/>
    </row>
    <row r="1581" spans="6:6" hidden="1" x14ac:dyDescent="0.2">
      <c r="F1581" s="50"/>
    </row>
    <row r="1582" spans="6:6" hidden="1" x14ac:dyDescent="0.2">
      <c r="F1582" s="50"/>
    </row>
    <row r="1583" spans="6:6" hidden="1" x14ac:dyDescent="0.2">
      <c r="F1583" s="50"/>
    </row>
    <row r="1584" spans="6:6" hidden="1" x14ac:dyDescent="0.2">
      <c r="F1584" s="50"/>
    </row>
    <row r="1585" spans="6:6" hidden="1" x14ac:dyDescent="0.2">
      <c r="F1585" s="50"/>
    </row>
    <row r="1586" spans="6:6" hidden="1" x14ac:dyDescent="0.2">
      <c r="F1586" s="50"/>
    </row>
    <row r="1587" spans="6:6" hidden="1" x14ac:dyDescent="0.2">
      <c r="F1587" s="50"/>
    </row>
    <row r="1588" spans="6:6" hidden="1" x14ac:dyDescent="0.2">
      <c r="F1588" s="50"/>
    </row>
    <row r="1589" spans="6:6" hidden="1" x14ac:dyDescent="0.2">
      <c r="F1589" s="50"/>
    </row>
    <row r="1590" spans="6:6" hidden="1" x14ac:dyDescent="0.2">
      <c r="F1590" s="50"/>
    </row>
    <row r="1591" spans="6:6" hidden="1" x14ac:dyDescent="0.2">
      <c r="F1591" s="50"/>
    </row>
    <row r="1592" spans="6:6" hidden="1" x14ac:dyDescent="0.2">
      <c r="F1592" s="50"/>
    </row>
    <row r="1593" spans="6:6" hidden="1" x14ac:dyDescent="0.2">
      <c r="F1593" s="50"/>
    </row>
    <row r="1594" spans="6:6" hidden="1" x14ac:dyDescent="0.2">
      <c r="F1594" s="50"/>
    </row>
    <row r="1595" spans="6:6" hidden="1" x14ac:dyDescent="0.2">
      <c r="F1595" s="50"/>
    </row>
    <row r="1596" spans="6:6" hidden="1" x14ac:dyDescent="0.2">
      <c r="F1596" s="50"/>
    </row>
    <row r="1597" spans="6:6" hidden="1" x14ac:dyDescent="0.2">
      <c r="F1597" s="50"/>
    </row>
    <row r="1598" spans="6:6" hidden="1" x14ac:dyDescent="0.2">
      <c r="F1598" s="50"/>
    </row>
    <row r="1599" spans="6:6" hidden="1" x14ac:dyDescent="0.2">
      <c r="F1599" s="50"/>
    </row>
    <row r="1600" spans="6:6" hidden="1" x14ac:dyDescent="0.2">
      <c r="F1600" s="50"/>
    </row>
    <row r="1601" spans="6:6" hidden="1" x14ac:dyDescent="0.2">
      <c r="F1601" s="50"/>
    </row>
    <row r="1602" spans="6:6" hidden="1" x14ac:dyDescent="0.2">
      <c r="F1602" s="50"/>
    </row>
    <row r="1603" spans="6:6" hidden="1" x14ac:dyDescent="0.2">
      <c r="F1603" s="50"/>
    </row>
    <row r="1604" spans="6:6" hidden="1" x14ac:dyDescent="0.2">
      <c r="F1604" s="50"/>
    </row>
    <row r="1605" spans="6:6" hidden="1" x14ac:dyDescent="0.2">
      <c r="F1605" s="50"/>
    </row>
    <row r="1606" spans="6:6" hidden="1" x14ac:dyDescent="0.2">
      <c r="F1606" s="50"/>
    </row>
    <row r="1607" spans="6:6" hidden="1" x14ac:dyDescent="0.2">
      <c r="F1607" s="50"/>
    </row>
    <row r="1608" spans="6:6" hidden="1" x14ac:dyDescent="0.2">
      <c r="F1608" s="50"/>
    </row>
    <row r="1609" spans="6:6" hidden="1" x14ac:dyDescent="0.2">
      <c r="F1609" s="50"/>
    </row>
    <row r="1610" spans="6:6" hidden="1" x14ac:dyDescent="0.2">
      <c r="F1610" s="50"/>
    </row>
    <row r="1611" spans="6:6" hidden="1" x14ac:dyDescent="0.2">
      <c r="F1611" s="50"/>
    </row>
    <row r="1612" spans="6:6" hidden="1" x14ac:dyDescent="0.2">
      <c r="F1612" s="50"/>
    </row>
    <row r="1613" spans="6:6" hidden="1" x14ac:dyDescent="0.2">
      <c r="F1613" s="50"/>
    </row>
    <row r="1614" spans="6:6" hidden="1" x14ac:dyDescent="0.2">
      <c r="F1614" s="50"/>
    </row>
    <row r="1615" spans="6:6" hidden="1" x14ac:dyDescent="0.2">
      <c r="F1615" s="50"/>
    </row>
    <row r="1616" spans="6:6" hidden="1" x14ac:dyDescent="0.2">
      <c r="F1616" s="50"/>
    </row>
    <row r="1617" spans="6:6" hidden="1" x14ac:dyDescent="0.2">
      <c r="F1617" s="50"/>
    </row>
    <row r="1618" spans="6:6" hidden="1" x14ac:dyDescent="0.2">
      <c r="F1618" s="50"/>
    </row>
    <row r="1619" spans="6:6" hidden="1" x14ac:dyDescent="0.2">
      <c r="F1619" s="50"/>
    </row>
    <row r="1620" spans="6:6" hidden="1" x14ac:dyDescent="0.2">
      <c r="F1620" s="50"/>
    </row>
    <row r="1621" spans="6:6" hidden="1" x14ac:dyDescent="0.2">
      <c r="F1621" s="50"/>
    </row>
    <row r="1622" spans="6:6" hidden="1" x14ac:dyDescent="0.2">
      <c r="F1622" s="50"/>
    </row>
    <row r="1624" spans="6:6" hidden="1" x14ac:dyDescent="0.2">
      <c r="F1624" s="50"/>
    </row>
    <row r="1625" spans="6:6" hidden="1" x14ac:dyDescent="0.2">
      <c r="F1625" s="50"/>
    </row>
    <row r="1626" spans="6:6" hidden="1" x14ac:dyDescent="0.2">
      <c r="F1626" s="50"/>
    </row>
    <row r="1627" spans="6:6" hidden="1" x14ac:dyDescent="0.2">
      <c r="F1627" s="50"/>
    </row>
    <row r="1628" spans="6:6" hidden="1" x14ac:dyDescent="0.2">
      <c r="F1628" s="50"/>
    </row>
    <row r="1629" spans="6:6" hidden="1" x14ac:dyDescent="0.2">
      <c r="F1629" s="50"/>
    </row>
    <row r="1630" spans="6:6" hidden="1" x14ac:dyDescent="0.2">
      <c r="F1630" s="50"/>
    </row>
    <row r="1631" spans="6:6" hidden="1" x14ac:dyDescent="0.2">
      <c r="F1631" s="50"/>
    </row>
    <row r="1632" spans="6:6" hidden="1" x14ac:dyDescent="0.2">
      <c r="F1632" s="50"/>
    </row>
    <row r="1633" spans="6:6" hidden="1" x14ac:dyDescent="0.2">
      <c r="F1633" s="50"/>
    </row>
    <row r="1634" spans="6:6" hidden="1" x14ac:dyDescent="0.2">
      <c r="F1634" s="50"/>
    </row>
    <row r="1635" spans="6:6" hidden="1" x14ac:dyDescent="0.2">
      <c r="F1635" s="50"/>
    </row>
    <row r="1636" spans="6:6" hidden="1" x14ac:dyDescent="0.2">
      <c r="F1636" s="50"/>
    </row>
    <row r="1637" spans="6:6" hidden="1" x14ac:dyDescent="0.2">
      <c r="F1637" s="50"/>
    </row>
    <row r="1638" spans="6:6" hidden="1" x14ac:dyDescent="0.2">
      <c r="F1638" s="50"/>
    </row>
    <row r="1639" spans="6:6" hidden="1" x14ac:dyDescent="0.2">
      <c r="F1639" s="50"/>
    </row>
    <row r="1640" spans="6:6" hidden="1" x14ac:dyDescent="0.2">
      <c r="F1640" s="50"/>
    </row>
    <row r="1641" spans="6:6" hidden="1" x14ac:dyDescent="0.2">
      <c r="F1641" s="50"/>
    </row>
    <row r="1642" spans="6:6" hidden="1" x14ac:dyDescent="0.2">
      <c r="F1642" s="50"/>
    </row>
    <row r="1643" spans="6:6" hidden="1" x14ac:dyDescent="0.2">
      <c r="F1643" s="50"/>
    </row>
    <row r="1644" spans="6:6" hidden="1" x14ac:dyDescent="0.2">
      <c r="F1644" s="50"/>
    </row>
    <row r="1645" spans="6:6" hidden="1" x14ac:dyDescent="0.2">
      <c r="F1645" s="50"/>
    </row>
    <row r="1646" spans="6:6" hidden="1" x14ac:dyDescent="0.2">
      <c r="F1646" s="50"/>
    </row>
    <row r="1647" spans="6:6" hidden="1" x14ac:dyDescent="0.2">
      <c r="F1647" s="50"/>
    </row>
    <row r="1648" spans="6:6" hidden="1" x14ac:dyDescent="0.2">
      <c r="F1648" s="50"/>
    </row>
    <row r="1649" spans="6:6" hidden="1" x14ac:dyDescent="0.2">
      <c r="F1649" s="50"/>
    </row>
    <row r="1650" spans="6:6" hidden="1" x14ac:dyDescent="0.2">
      <c r="F1650" s="50"/>
    </row>
    <row r="1651" spans="6:6" hidden="1" x14ac:dyDescent="0.2">
      <c r="F1651" s="50"/>
    </row>
    <row r="1652" spans="6:6" hidden="1" x14ac:dyDescent="0.2">
      <c r="F1652" s="50"/>
    </row>
    <row r="1653" spans="6:6" hidden="1" x14ac:dyDescent="0.2">
      <c r="F1653" s="50"/>
    </row>
    <row r="1654" spans="6:6" hidden="1" x14ac:dyDescent="0.2">
      <c r="F1654" s="50"/>
    </row>
    <row r="1655" spans="6:6" hidden="1" x14ac:dyDescent="0.2">
      <c r="F1655" s="50"/>
    </row>
    <row r="1656" spans="6:6" hidden="1" x14ac:dyDescent="0.2">
      <c r="F1656" s="50"/>
    </row>
    <row r="1657" spans="6:6" hidden="1" x14ac:dyDescent="0.2">
      <c r="F1657" s="50"/>
    </row>
    <row r="1658" spans="6:6" hidden="1" x14ac:dyDescent="0.2">
      <c r="F1658" s="50"/>
    </row>
    <row r="1659" spans="6:6" hidden="1" x14ac:dyDescent="0.2">
      <c r="F1659" s="50"/>
    </row>
    <row r="1660" spans="6:6" hidden="1" x14ac:dyDescent="0.2">
      <c r="F1660" s="50"/>
    </row>
    <row r="1661" spans="6:6" hidden="1" x14ac:dyDescent="0.2">
      <c r="F1661" s="50"/>
    </row>
    <row r="1662" spans="6:6" hidden="1" x14ac:dyDescent="0.2">
      <c r="F1662" s="50"/>
    </row>
    <row r="1663" spans="6:6" hidden="1" x14ac:dyDescent="0.2">
      <c r="F1663" s="50"/>
    </row>
    <row r="1664" spans="6:6" hidden="1" x14ac:dyDescent="0.2">
      <c r="F1664" s="50"/>
    </row>
    <row r="1665" spans="6:6" hidden="1" x14ac:dyDescent="0.2">
      <c r="F1665" s="50"/>
    </row>
    <row r="1666" spans="6:6" hidden="1" x14ac:dyDescent="0.2">
      <c r="F1666" s="50"/>
    </row>
    <row r="1667" spans="6:6" hidden="1" x14ac:dyDescent="0.2">
      <c r="F1667" s="50"/>
    </row>
    <row r="1668" spans="6:6" hidden="1" x14ac:dyDescent="0.2">
      <c r="F1668" s="50"/>
    </row>
    <row r="1669" spans="6:6" hidden="1" x14ac:dyDescent="0.2">
      <c r="F1669" s="50"/>
    </row>
    <row r="1670" spans="6:6" hidden="1" x14ac:dyDescent="0.2">
      <c r="F1670" s="50"/>
    </row>
    <row r="1671" spans="6:6" hidden="1" x14ac:dyDescent="0.2">
      <c r="F1671" s="50"/>
    </row>
    <row r="1672" spans="6:6" hidden="1" x14ac:dyDescent="0.2">
      <c r="F1672" s="50"/>
    </row>
    <row r="1673" spans="6:6" hidden="1" x14ac:dyDescent="0.2">
      <c r="F1673" s="50"/>
    </row>
    <row r="1674" spans="6:6" hidden="1" x14ac:dyDescent="0.2">
      <c r="F1674" s="50"/>
    </row>
    <row r="1675" spans="6:6" hidden="1" x14ac:dyDescent="0.2">
      <c r="F1675" s="50"/>
    </row>
    <row r="1676" spans="6:6" hidden="1" x14ac:dyDescent="0.2">
      <c r="F1676" s="50"/>
    </row>
    <row r="1677" spans="6:6" hidden="1" x14ac:dyDescent="0.2">
      <c r="F1677" s="50"/>
    </row>
    <row r="1678" spans="6:6" hidden="1" x14ac:dyDescent="0.2">
      <c r="F1678" s="50"/>
    </row>
    <row r="1679" spans="6:6" hidden="1" x14ac:dyDescent="0.2">
      <c r="F1679" s="50"/>
    </row>
    <row r="1680" spans="6:6" hidden="1" x14ac:dyDescent="0.2">
      <c r="F1680" s="50"/>
    </row>
    <row r="1681" spans="6:6" hidden="1" x14ac:dyDescent="0.2">
      <c r="F1681" s="50"/>
    </row>
    <row r="1682" spans="6:6" hidden="1" x14ac:dyDescent="0.2">
      <c r="F1682" s="50"/>
    </row>
    <row r="1683" spans="6:6" hidden="1" x14ac:dyDescent="0.2">
      <c r="F1683" s="50"/>
    </row>
    <row r="1684" spans="6:6" hidden="1" x14ac:dyDescent="0.2">
      <c r="F1684" s="50"/>
    </row>
    <row r="1685" spans="6:6" hidden="1" x14ac:dyDescent="0.2">
      <c r="F1685" s="50"/>
    </row>
    <row r="1686" spans="6:6" hidden="1" x14ac:dyDescent="0.2">
      <c r="F1686" s="50"/>
    </row>
    <row r="1687" spans="6:6" hidden="1" x14ac:dyDescent="0.2">
      <c r="F1687" s="50"/>
    </row>
    <row r="1688" spans="6:6" hidden="1" x14ac:dyDescent="0.2">
      <c r="F1688" s="50"/>
    </row>
    <row r="1689" spans="6:6" hidden="1" x14ac:dyDescent="0.2">
      <c r="F1689" s="50"/>
    </row>
    <row r="1690" spans="6:6" hidden="1" x14ac:dyDescent="0.2">
      <c r="F1690" s="50"/>
    </row>
    <row r="1691" spans="6:6" hidden="1" x14ac:dyDescent="0.2">
      <c r="F1691" s="50"/>
    </row>
    <row r="1692" spans="6:6" hidden="1" x14ac:dyDescent="0.2">
      <c r="F1692" s="50"/>
    </row>
    <row r="1693" spans="6:6" hidden="1" x14ac:dyDescent="0.2">
      <c r="F1693" s="50"/>
    </row>
    <row r="1694" spans="6:6" hidden="1" x14ac:dyDescent="0.2">
      <c r="F1694" s="50"/>
    </row>
    <row r="1695" spans="6:6" hidden="1" x14ac:dyDescent="0.2">
      <c r="F1695" s="50"/>
    </row>
    <row r="1696" spans="6:6" hidden="1" x14ac:dyDescent="0.2">
      <c r="F1696" s="50"/>
    </row>
    <row r="1697" spans="1:8" hidden="1" x14ac:dyDescent="0.2">
      <c r="F1697" s="50"/>
    </row>
    <row r="1698" spans="1:8" hidden="1" x14ac:dyDescent="0.2">
      <c r="A1698" s="78"/>
      <c r="C1698" s="78"/>
      <c r="F1698" s="51"/>
      <c r="H1698"/>
    </row>
    <row r="1699" spans="1:8" hidden="1" x14ac:dyDescent="0.2">
      <c r="A1699" s="78"/>
      <c r="C1699" s="78"/>
      <c r="F1699" s="51"/>
      <c r="H1699"/>
    </row>
    <row r="1700" spans="1:8" hidden="1" x14ac:dyDescent="0.2">
      <c r="A1700" s="78"/>
      <c r="C1700" s="78"/>
      <c r="F1700" s="51"/>
      <c r="H1700"/>
    </row>
    <row r="1701" spans="1:8" hidden="1" x14ac:dyDescent="0.2">
      <c r="A1701" s="78"/>
      <c r="C1701" s="78"/>
      <c r="F1701" s="51"/>
      <c r="H1701"/>
    </row>
    <row r="1702" spans="1:8" hidden="1" x14ac:dyDescent="0.2">
      <c r="A1702" s="78"/>
      <c r="C1702" s="78"/>
      <c r="F1702" s="51"/>
      <c r="H1702"/>
    </row>
    <row r="1703" spans="1:8" hidden="1" x14ac:dyDescent="0.2">
      <c r="A1703" s="78"/>
      <c r="C1703" s="78"/>
      <c r="F1703" s="51"/>
      <c r="H1703"/>
    </row>
    <row r="1704" spans="1:8" hidden="1" x14ac:dyDescent="0.2">
      <c r="A1704" s="78"/>
      <c r="C1704" s="78"/>
    </row>
    <row r="1705" spans="1:8" hidden="1" x14ac:dyDescent="0.2">
      <c r="A1705" s="78"/>
      <c r="C1705" s="78"/>
    </row>
    <row r="1706" spans="1:8" hidden="1" x14ac:dyDescent="0.2">
      <c r="A1706" s="78"/>
      <c r="C1706" s="78"/>
    </row>
    <row r="1707" spans="1:8" hidden="1" x14ac:dyDescent="0.2">
      <c r="A1707" s="78"/>
      <c r="C1707" s="78"/>
    </row>
    <row r="1708" spans="1:8" hidden="1" x14ac:dyDescent="0.2">
      <c r="A1708" s="78"/>
      <c r="C1708" s="78"/>
    </row>
    <row r="1709" spans="1:8" hidden="1" x14ac:dyDescent="0.2">
      <c r="A1709" s="78"/>
      <c r="C1709" s="78"/>
    </row>
    <row r="1710" spans="1:8" hidden="1" x14ac:dyDescent="0.2">
      <c r="A1710" s="78"/>
      <c r="C1710" s="78"/>
    </row>
    <row r="1711" spans="1:8" hidden="1" x14ac:dyDescent="0.2">
      <c r="A1711" s="78"/>
      <c r="C1711" s="78"/>
    </row>
    <row r="1712" spans="1:8" hidden="1" x14ac:dyDescent="0.2">
      <c r="A1712" s="78"/>
      <c r="C1712" s="78"/>
    </row>
    <row r="1713" spans="1:3" hidden="1" x14ac:dyDescent="0.2">
      <c r="A1713" s="66"/>
      <c r="C1713" s="66"/>
    </row>
    <row r="1714" spans="1:3" hidden="1" x14ac:dyDescent="0.2">
      <c r="A1714" s="66"/>
      <c r="C1714" s="66"/>
    </row>
    <row r="1715" spans="1:3" hidden="1" x14ac:dyDescent="0.2">
      <c r="A1715" s="66"/>
      <c r="C1715" s="66"/>
    </row>
    <row r="1716" spans="1:3" hidden="1" x14ac:dyDescent="0.2">
      <c r="A1716" s="66"/>
      <c r="C1716" s="66"/>
    </row>
    <row r="1717" spans="1:3" hidden="1" x14ac:dyDescent="0.2">
      <c r="A1717" s="66"/>
      <c r="C1717" s="66"/>
    </row>
    <row r="1718" spans="1:3" hidden="1" x14ac:dyDescent="0.2">
      <c r="A1718" s="66"/>
      <c r="C1718" s="66"/>
    </row>
    <row r="1719" spans="1:3" hidden="1" x14ac:dyDescent="0.2">
      <c r="A1719" s="66"/>
      <c r="C1719" s="66"/>
    </row>
    <row r="1720" spans="1:3" hidden="1" x14ac:dyDescent="0.2">
      <c r="A1720" s="66"/>
      <c r="C1720" s="66"/>
    </row>
    <row r="1721" spans="1:3" hidden="1" x14ac:dyDescent="0.2">
      <c r="A1721" s="66"/>
      <c r="C1721" s="66"/>
    </row>
    <row r="1722" spans="1:3" hidden="1" x14ac:dyDescent="0.2">
      <c r="A1722" s="66"/>
      <c r="C1722" s="66"/>
    </row>
    <row r="1723" spans="1:3" hidden="1" x14ac:dyDescent="0.2">
      <c r="A1723" s="66"/>
      <c r="C1723" s="66"/>
    </row>
    <row r="1724" spans="1:3" hidden="1" x14ac:dyDescent="0.2">
      <c r="A1724" s="66"/>
      <c r="C1724" s="66"/>
    </row>
    <row r="1725" spans="1:3" hidden="1" x14ac:dyDescent="0.2">
      <c r="A1725" s="66"/>
      <c r="C1725" s="66"/>
    </row>
    <row r="1726" spans="1:3" hidden="1" x14ac:dyDescent="0.2">
      <c r="A1726" s="66"/>
      <c r="C1726" s="66"/>
    </row>
    <row r="1727" spans="1:3" hidden="1" x14ac:dyDescent="0.2">
      <c r="A1727" s="66"/>
      <c r="C1727" s="66"/>
    </row>
    <row r="1728" spans="1:3" hidden="1" x14ac:dyDescent="0.2">
      <c r="A1728" s="66"/>
      <c r="C1728" s="66"/>
    </row>
    <row r="1729" spans="1:3" hidden="1" x14ac:dyDescent="0.2">
      <c r="A1729" s="66"/>
      <c r="C1729" s="66"/>
    </row>
    <row r="1730" spans="1:3" hidden="1" x14ac:dyDescent="0.2">
      <c r="A1730" s="66"/>
      <c r="C1730" s="66"/>
    </row>
    <row r="1731" spans="1:3" hidden="1" x14ac:dyDescent="0.2">
      <c r="A1731" s="66"/>
      <c r="C1731" s="66"/>
    </row>
    <row r="1732" spans="1:3" hidden="1" x14ac:dyDescent="0.2">
      <c r="A1732" s="66"/>
      <c r="C1732" s="66"/>
    </row>
    <row r="1733" spans="1:3" hidden="1" x14ac:dyDescent="0.2">
      <c r="A1733" s="66"/>
      <c r="C1733" s="66"/>
    </row>
    <row r="1734" spans="1:3" hidden="1" x14ac:dyDescent="0.2">
      <c r="A1734" s="66"/>
      <c r="C1734" s="66"/>
    </row>
    <row r="1735" spans="1:3" hidden="1" x14ac:dyDescent="0.2">
      <c r="A1735" s="66"/>
      <c r="C1735" s="66"/>
    </row>
    <row r="1736" spans="1:3" hidden="1" x14ac:dyDescent="0.2">
      <c r="A1736" s="66"/>
      <c r="C1736" s="66"/>
    </row>
    <row r="1737" spans="1:3" hidden="1" x14ac:dyDescent="0.2">
      <c r="A1737" s="66"/>
      <c r="C1737" s="66"/>
    </row>
    <row r="1738" spans="1:3" hidden="1" x14ac:dyDescent="0.2">
      <c r="A1738" s="66"/>
      <c r="C1738" s="66"/>
    </row>
    <row r="1739" spans="1:3" hidden="1" x14ac:dyDescent="0.2">
      <c r="A1739" s="66"/>
      <c r="C1739" s="66"/>
    </row>
    <row r="1740" spans="1:3" hidden="1" x14ac:dyDescent="0.2">
      <c r="A1740" s="66"/>
      <c r="C1740" s="66"/>
    </row>
    <row r="1741" spans="1:3" hidden="1" x14ac:dyDescent="0.2">
      <c r="A1741" s="66"/>
      <c r="C1741" s="66"/>
    </row>
    <row r="1742" spans="1:3" hidden="1" x14ac:dyDescent="0.2">
      <c r="A1742" s="66"/>
      <c r="C1742" s="66"/>
    </row>
    <row r="1743" spans="1:3" hidden="1" x14ac:dyDescent="0.2">
      <c r="A1743" s="66"/>
      <c r="C1743" s="66"/>
    </row>
    <row r="1744" spans="1:3" hidden="1" x14ac:dyDescent="0.2">
      <c r="A1744" s="66"/>
      <c r="C1744" s="66"/>
    </row>
    <row r="1745" spans="1:3" hidden="1" x14ac:dyDescent="0.2">
      <c r="A1745" s="66"/>
      <c r="C1745" s="66"/>
    </row>
    <row r="1746" spans="1:3" hidden="1" x14ac:dyDescent="0.2">
      <c r="A1746" s="66"/>
      <c r="C1746" s="66"/>
    </row>
    <row r="1747" spans="1:3" hidden="1" x14ac:dyDescent="0.2">
      <c r="A1747" s="66"/>
      <c r="C1747" s="66"/>
    </row>
    <row r="1748" spans="1:3" hidden="1" x14ac:dyDescent="0.2">
      <c r="A1748" s="66"/>
      <c r="C1748" s="66"/>
    </row>
    <row r="1749" spans="1:3" hidden="1" x14ac:dyDescent="0.2">
      <c r="A1749" s="66"/>
      <c r="C1749" s="66"/>
    </row>
    <row r="1750" spans="1:3" hidden="1" x14ac:dyDescent="0.2">
      <c r="A1750" s="66"/>
      <c r="C1750" s="66"/>
    </row>
    <row r="1751" spans="1:3" hidden="1" x14ac:dyDescent="0.2">
      <c r="A1751" s="66"/>
      <c r="C1751" s="66"/>
    </row>
    <row r="1752" spans="1:3" hidden="1" x14ac:dyDescent="0.2">
      <c r="A1752" s="66"/>
      <c r="C1752" s="66"/>
    </row>
    <row r="1753" spans="1:3" hidden="1" x14ac:dyDescent="0.2">
      <c r="A1753" s="66"/>
      <c r="C1753" s="66"/>
    </row>
    <row r="1754" spans="1:3" hidden="1" x14ac:dyDescent="0.2">
      <c r="A1754" s="66"/>
      <c r="C1754" s="66"/>
    </row>
    <row r="1755" spans="1:3" hidden="1" x14ac:dyDescent="0.2">
      <c r="A1755" s="66"/>
      <c r="C1755" s="66"/>
    </row>
    <row r="1756" spans="1:3" hidden="1" x14ac:dyDescent="0.2">
      <c r="A1756" s="66"/>
      <c r="C1756" s="66"/>
    </row>
    <row r="1757" spans="1:3" hidden="1" x14ac:dyDescent="0.2">
      <c r="A1757" s="66"/>
      <c r="C1757" s="66"/>
    </row>
    <row r="1758" spans="1:3" hidden="1" x14ac:dyDescent="0.2">
      <c r="A1758" s="66"/>
      <c r="C1758" s="66"/>
    </row>
    <row r="1759" spans="1:3" hidden="1" x14ac:dyDescent="0.2">
      <c r="A1759" s="66"/>
      <c r="C1759" s="66"/>
    </row>
    <row r="1760" spans="1:3" hidden="1" x14ac:dyDescent="0.2">
      <c r="A1760" s="66"/>
      <c r="C1760" s="66"/>
    </row>
    <row r="1761" spans="1:6" hidden="1" x14ac:dyDescent="0.2">
      <c r="A1761" s="66"/>
      <c r="C1761" s="66"/>
      <c r="F1761" s="51"/>
    </row>
    <row r="1762" spans="1:6" hidden="1" x14ac:dyDescent="0.2">
      <c r="A1762" s="66"/>
      <c r="C1762" s="66"/>
    </row>
    <row r="1763" spans="1:6" hidden="1" x14ac:dyDescent="0.2">
      <c r="A1763" s="66"/>
      <c r="C1763" s="66"/>
    </row>
    <row r="1764" spans="1:6" hidden="1" x14ac:dyDescent="0.2">
      <c r="A1764" s="66"/>
      <c r="C1764" s="66"/>
    </row>
    <row r="1765" spans="1:6" hidden="1" x14ac:dyDescent="0.2">
      <c r="A1765" s="66"/>
      <c r="C1765" s="66"/>
    </row>
    <row r="1766" spans="1:6" hidden="1" x14ac:dyDescent="0.2">
      <c r="A1766" s="78"/>
      <c r="C1766" s="78"/>
    </row>
    <row r="1767" spans="1:6" hidden="1" x14ac:dyDescent="0.2">
      <c r="A1767" s="78"/>
      <c r="C1767" s="78"/>
    </row>
    <row r="1768" spans="1:6" hidden="1" x14ac:dyDescent="0.2">
      <c r="A1768" s="78"/>
      <c r="C1768" s="78"/>
    </row>
    <row r="1769" spans="1:6" hidden="1" x14ac:dyDescent="0.2">
      <c r="A1769" s="78"/>
      <c r="C1769" s="78"/>
    </row>
    <row r="1770" spans="1:6" hidden="1" x14ac:dyDescent="0.2">
      <c r="A1770" s="78"/>
      <c r="C1770" s="78"/>
    </row>
    <row r="1771" spans="1:6" hidden="1" x14ac:dyDescent="0.2">
      <c r="A1771" s="78"/>
      <c r="C1771" s="78"/>
    </row>
    <row r="1772" spans="1:6" hidden="1" x14ac:dyDescent="0.2">
      <c r="A1772" s="78"/>
      <c r="C1772" s="78"/>
    </row>
    <row r="1773" spans="1:6" hidden="1" x14ac:dyDescent="0.2">
      <c r="A1773" s="78"/>
      <c r="C1773" s="78"/>
    </row>
    <row r="1774" spans="1:6" hidden="1" x14ac:dyDescent="0.2">
      <c r="A1774" s="78"/>
      <c r="C1774" s="78"/>
    </row>
    <row r="1775" spans="1:6" hidden="1" x14ac:dyDescent="0.2">
      <c r="A1775" s="78"/>
      <c r="C1775" s="78"/>
    </row>
    <row r="1776" spans="1:6" hidden="1" x14ac:dyDescent="0.2">
      <c r="A1776" s="78"/>
      <c r="C1776" s="78"/>
    </row>
    <row r="1777" spans="1:6" hidden="1" x14ac:dyDescent="0.2">
      <c r="A1777" s="78"/>
      <c r="C1777" s="78"/>
    </row>
    <row r="1778" spans="1:6" hidden="1" x14ac:dyDescent="0.2">
      <c r="A1778" s="78"/>
      <c r="C1778" s="78"/>
    </row>
    <row r="1779" spans="1:6" hidden="1" x14ac:dyDescent="0.2">
      <c r="A1779" s="78"/>
      <c r="C1779" s="78"/>
    </row>
    <row r="1780" spans="1:6" hidden="1" x14ac:dyDescent="0.2">
      <c r="A1780" s="78"/>
      <c r="C1780" s="78"/>
    </row>
    <row r="1781" spans="1:6" hidden="1" x14ac:dyDescent="0.2">
      <c r="A1781" s="78"/>
      <c r="C1781" s="78"/>
    </row>
    <row r="1782" spans="1:6" hidden="1" x14ac:dyDescent="0.2">
      <c r="A1782" s="78"/>
      <c r="C1782" s="78"/>
    </row>
    <row r="1783" spans="1:6" hidden="1" x14ac:dyDescent="0.2">
      <c r="A1783" s="78"/>
      <c r="C1783" s="78"/>
    </row>
    <row r="1784" spans="1:6" hidden="1" x14ac:dyDescent="0.2">
      <c r="A1784" s="78"/>
      <c r="C1784" s="78"/>
    </row>
    <row r="1785" spans="1:6" hidden="1" x14ac:dyDescent="0.2">
      <c r="A1785" s="78"/>
      <c r="C1785" s="78"/>
    </row>
    <row r="1786" spans="1:6" hidden="1" x14ac:dyDescent="0.2">
      <c r="A1786" s="78"/>
      <c r="C1786" s="78"/>
    </row>
    <row r="1787" spans="1:6" hidden="1" x14ac:dyDescent="0.2">
      <c r="A1787" s="78"/>
      <c r="C1787" s="78"/>
    </row>
    <row r="1788" spans="1:6" hidden="1" x14ac:dyDescent="0.2">
      <c r="A1788" s="78"/>
      <c r="C1788" s="78"/>
    </row>
    <row r="1791" spans="1:6" hidden="1" x14ac:dyDescent="0.2">
      <c r="F1791" s="50"/>
    </row>
    <row r="1792" spans="1:6" hidden="1" x14ac:dyDescent="0.2">
      <c r="F1792" s="50"/>
    </row>
    <row r="1793" spans="1:6" hidden="1" x14ac:dyDescent="0.2">
      <c r="F1793" s="50"/>
    </row>
    <row r="1794" spans="1:6" hidden="1" x14ac:dyDescent="0.2">
      <c r="F1794" s="50"/>
    </row>
    <row r="1795" spans="1:6" hidden="1" x14ac:dyDescent="0.2">
      <c r="F1795" s="50"/>
    </row>
    <row r="1796" spans="1:6" hidden="1" x14ac:dyDescent="0.2">
      <c r="F1796" s="50"/>
    </row>
    <row r="1797" spans="1:6" hidden="1" x14ac:dyDescent="0.2">
      <c r="F1797" s="50"/>
    </row>
    <row r="1798" spans="1:6" hidden="1" x14ac:dyDescent="0.2">
      <c r="A1798" s="66"/>
      <c r="C1798" s="66"/>
    </row>
    <row r="1799" spans="1:6" hidden="1" x14ac:dyDescent="0.2">
      <c r="A1799" s="66"/>
      <c r="C1799" s="66"/>
    </row>
    <row r="1800" spans="1:6" hidden="1" x14ac:dyDescent="0.2">
      <c r="F1800" s="50"/>
    </row>
    <row r="1801" spans="1:6" hidden="1" x14ac:dyDescent="0.2">
      <c r="F1801" s="50"/>
    </row>
    <row r="1802" spans="1:6" hidden="1" x14ac:dyDescent="0.2">
      <c r="F1802" s="50"/>
    </row>
    <row r="1803" spans="1:6" hidden="1" x14ac:dyDescent="0.2">
      <c r="F1803" s="50"/>
    </row>
    <row r="1804" spans="1:6" hidden="1" x14ac:dyDescent="0.2">
      <c r="F1804" s="50"/>
    </row>
    <row r="1805" spans="1:6" hidden="1" x14ac:dyDescent="0.2">
      <c r="F1805" s="50"/>
    </row>
    <row r="1806" spans="1:6" hidden="1" x14ac:dyDescent="0.2">
      <c r="F1806" s="50"/>
    </row>
    <row r="1807" spans="1:6" hidden="1" x14ac:dyDescent="0.2">
      <c r="F1807" s="50"/>
    </row>
    <row r="1808" spans="1:6" hidden="1" x14ac:dyDescent="0.2">
      <c r="F1808" s="50"/>
    </row>
    <row r="1809" spans="6:8" hidden="1" x14ac:dyDescent="0.2">
      <c r="F1809" s="50"/>
    </row>
    <row r="1810" spans="6:8" hidden="1" x14ac:dyDescent="0.2">
      <c r="F1810" s="50"/>
    </row>
    <row r="1811" spans="6:8" hidden="1" x14ac:dyDescent="0.2">
      <c r="F1811" s="50"/>
    </row>
    <row r="1812" spans="6:8" hidden="1" x14ac:dyDescent="0.2">
      <c r="F1812" s="50"/>
    </row>
    <row r="1813" spans="6:8" hidden="1" x14ac:dyDescent="0.2">
      <c r="F1813" s="50"/>
    </row>
    <row r="1814" spans="6:8" hidden="1" x14ac:dyDescent="0.2">
      <c r="F1814" s="50"/>
    </row>
    <row r="1815" spans="6:8" hidden="1" x14ac:dyDescent="0.2">
      <c r="F1815" s="50"/>
    </row>
    <row r="1816" spans="6:8" hidden="1" x14ac:dyDescent="0.2">
      <c r="F1816" s="50"/>
    </row>
    <row r="1817" spans="6:8" hidden="1" x14ac:dyDescent="0.2">
      <c r="F1817" s="50"/>
    </row>
    <row r="1818" spans="6:8" hidden="1" x14ac:dyDescent="0.2">
      <c r="F1818" s="50"/>
    </row>
    <row r="1819" spans="6:8" hidden="1" x14ac:dyDescent="0.2">
      <c r="F1819" s="50"/>
      <c r="H1819"/>
    </row>
    <row r="1820" spans="6:8" hidden="1" x14ac:dyDescent="0.2">
      <c r="F1820" s="50"/>
    </row>
    <row r="1821" spans="6:8" hidden="1" x14ac:dyDescent="0.2">
      <c r="F1821" s="50"/>
    </row>
    <row r="1822" spans="6:8" hidden="1" x14ac:dyDescent="0.2">
      <c r="F1822" s="50"/>
    </row>
    <row r="1823" spans="6:8" hidden="1" x14ac:dyDescent="0.2">
      <c r="F1823" s="50"/>
    </row>
    <row r="1824" spans="6:8" hidden="1" x14ac:dyDescent="0.2">
      <c r="F1824" s="50"/>
    </row>
    <row r="1825" spans="6:6" hidden="1" x14ac:dyDescent="0.2">
      <c r="F1825" s="50"/>
    </row>
    <row r="1826" spans="6:6" hidden="1" x14ac:dyDescent="0.2">
      <c r="F1826" s="50"/>
    </row>
    <row r="1827" spans="6:6" hidden="1" x14ac:dyDescent="0.2">
      <c r="F1827" s="50"/>
    </row>
    <row r="1828" spans="6:6" hidden="1" x14ac:dyDescent="0.2">
      <c r="F1828" s="50"/>
    </row>
    <row r="1829" spans="6:6" hidden="1" x14ac:dyDescent="0.2">
      <c r="F1829" s="50"/>
    </row>
    <row r="1830" spans="6:6" hidden="1" x14ac:dyDescent="0.2">
      <c r="F1830" s="50"/>
    </row>
    <row r="1831" spans="6:6" hidden="1" x14ac:dyDescent="0.2">
      <c r="F1831" s="50"/>
    </row>
    <row r="1832" spans="6:6" hidden="1" x14ac:dyDescent="0.2">
      <c r="F1832" s="50"/>
    </row>
    <row r="1833" spans="6:6" hidden="1" x14ac:dyDescent="0.2">
      <c r="F1833" s="50"/>
    </row>
    <row r="1834" spans="6:6" hidden="1" x14ac:dyDescent="0.2">
      <c r="F1834" s="50"/>
    </row>
    <row r="1835" spans="6:6" hidden="1" x14ac:dyDescent="0.2">
      <c r="F1835" s="50"/>
    </row>
    <row r="1838" spans="6:6" hidden="1" x14ac:dyDescent="0.2">
      <c r="F1838" s="50"/>
    </row>
    <row r="1839" spans="6:6" hidden="1" x14ac:dyDescent="0.2">
      <c r="F1839" s="50"/>
    </row>
    <row r="1840" spans="6:6" hidden="1" x14ac:dyDescent="0.2">
      <c r="F1840" s="50"/>
    </row>
    <row r="1841" spans="6:6" hidden="1" x14ac:dyDescent="0.2">
      <c r="F1841" s="50"/>
    </row>
    <row r="1842" spans="6:6" hidden="1" x14ac:dyDescent="0.2">
      <c r="F1842" s="50"/>
    </row>
    <row r="1843" spans="6:6" hidden="1" x14ac:dyDescent="0.2">
      <c r="F1843" s="50"/>
    </row>
    <row r="1844" spans="6:6" hidden="1" x14ac:dyDescent="0.2">
      <c r="F1844" s="50"/>
    </row>
    <row r="1845" spans="6:6" hidden="1" x14ac:dyDescent="0.2">
      <c r="F1845" s="50"/>
    </row>
    <row r="1846" spans="6:6" hidden="1" x14ac:dyDescent="0.2">
      <c r="F1846" s="50"/>
    </row>
    <row r="1847" spans="6:6" hidden="1" x14ac:dyDescent="0.2">
      <c r="F1847" s="50"/>
    </row>
    <row r="1848" spans="6:6" hidden="1" x14ac:dyDescent="0.2">
      <c r="F1848" s="50"/>
    </row>
    <row r="1849" spans="6:6" hidden="1" x14ac:dyDescent="0.2">
      <c r="F1849" s="50"/>
    </row>
    <row r="1850" spans="6:6" hidden="1" x14ac:dyDescent="0.2">
      <c r="F1850" s="50"/>
    </row>
    <row r="1851" spans="6:6" hidden="1" x14ac:dyDescent="0.2">
      <c r="F1851" s="50"/>
    </row>
    <row r="1852" spans="6:6" hidden="1" x14ac:dyDescent="0.2">
      <c r="F1852" s="50"/>
    </row>
    <row r="1853" spans="6:6" hidden="1" x14ac:dyDescent="0.2">
      <c r="F1853" s="50"/>
    </row>
    <row r="1854" spans="6:6" hidden="1" x14ac:dyDescent="0.2">
      <c r="F1854" s="50"/>
    </row>
    <row r="1855" spans="6:6" hidden="1" x14ac:dyDescent="0.2">
      <c r="F1855" s="50"/>
    </row>
    <row r="1856" spans="6:6" hidden="1" x14ac:dyDescent="0.2">
      <c r="F1856" s="50"/>
    </row>
    <row r="1857" spans="6:6" hidden="1" x14ac:dyDescent="0.2">
      <c r="F1857" s="50"/>
    </row>
    <row r="1858" spans="6:6" hidden="1" x14ac:dyDescent="0.2">
      <c r="F1858" s="50"/>
    </row>
    <row r="1859" spans="6:6" hidden="1" x14ac:dyDescent="0.2">
      <c r="F1859" s="50"/>
    </row>
    <row r="1860" spans="6:6" hidden="1" x14ac:dyDescent="0.2">
      <c r="F1860" s="50"/>
    </row>
    <row r="1861" spans="6:6" hidden="1" x14ac:dyDescent="0.2">
      <c r="F1861" s="50"/>
    </row>
    <row r="1862" spans="6:6" hidden="1" x14ac:dyDescent="0.2">
      <c r="F1862" s="50"/>
    </row>
    <row r="1863" spans="6:6" hidden="1" x14ac:dyDescent="0.2">
      <c r="F1863" s="50"/>
    </row>
    <row r="1864" spans="6:6" hidden="1" x14ac:dyDescent="0.2">
      <c r="F1864" s="50"/>
    </row>
    <row r="1865" spans="6:6" hidden="1" x14ac:dyDescent="0.2">
      <c r="F1865" s="50"/>
    </row>
    <row r="1866" spans="6:6" hidden="1" x14ac:dyDescent="0.2">
      <c r="F1866" s="50"/>
    </row>
    <row r="1867" spans="6:6" hidden="1" x14ac:dyDescent="0.2">
      <c r="F1867" s="50"/>
    </row>
    <row r="1868" spans="6:6" hidden="1" x14ac:dyDescent="0.2">
      <c r="F1868" s="50"/>
    </row>
    <row r="1869" spans="6:6" hidden="1" x14ac:dyDescent="0.2">
      <c r="F1869" s="50"/>
    </row>
    <row r="1870" spans="6:6" hidden="1" x14ac:dyDescent="0.2">
      <c r="F1870" s="50"/>
    </row>
    <row r="1871" spans="6:6" hidden="1" x14ac:dyDescent="0.2">
      <c r="F1871" s="50"/>
    </row>
    <row r="1872" spans="6:6" hidden="1" x14ac:dyDescent="0.2">
      <c r="F1872" s="50"/>
    </row>
    <row r="1873" spans="6:6" hidden="1" x14ac:dyDescent="0.2">
      <c r="F1873" s="50"/>
    </row>
    <row r="1874" spans="6:6" hidden="1" x14ac:dyDescent="0.2">
      <c r="F1874" s="50"/>
    </row>
    <row r="1875" spans="6:6" hidden="1" x14ac:dyDescent="0.2">
      <c r="F1875" s="50"/>
    </row>
    <row r="1876" spans="6:6" hidden="1" x14ac:dyDescent="0.2">
      <c r="F1876" s="50"/>
    </row>
    <row r="1877" spans="6:6" hidden="1" x14ac:dyDescent="0.2">
      <c r="F1877" s="50"/>
    </row>
    <row r="1878" spans="6:6" hidden="1" x14ac:dyDescent="0.2">
      <c r="F1878" s="50"/>
    </row>
    <row r="1879" spans="6:6" hidden="1" x14ac:dyDescent="0.2">
      <c r="F1879" s="50"/>
    </row>
    <row r="1880" spans="6:6" hidden="1" x14ac:dyDescent="0.2">
      <c r="F1880" s="50"/>
    </row>
    <row r="1881" spans="6:6" hidden="1" x14ac:dyDescent="0.2">
      <c r="F1881" s="50"/>
    </row>
    <row r="1882" spans="6:6" hidden="1" x14ac:dyDescent="0.2">
      <c r="F1882" s="50"/>
    </row>
    <row r="1883" spans="6:6" hidden="1" x14ac:dyDescent="0.2">
      <c r="F1883" s="50"/>
    </row>
    <row r="1884" spans="6:6" hidden="1" x14ac:dyDescent="0.2">
      <c r="F1884" s="50"/>
    </row>
    <row r="1885" spans="6:6" hidden="1" x14ac:dyDescent="0.2">
      <c r="F1885" s="50"/>
    </row>
    <row r="1886" spans="6:6" hidden="1" x14ac:dyDescent="0.2">
      <c r="F1886" s="50"/>
    </row>
    <row r="1887" spans="6:6" hidden="1" x14ac:dyDescent="0.2">
      <c r="F1887" s="50"/>
    </row>
    <row r="1888" spans="6:6" hidden="1" x14ac:dyDescent="0.2">
      <c r="F1888" s="50"/>
    </row>
    <row r="1889" spans="6:6" hidden="1" x14ac:dyDescent="0.2">
      <c r="F1889" s="50"/>
    </row>
    <row r="1890" spans="6:6" hidden="1" x14ac:dyDescent="0.2">
      <c r="F1890" s="50"/>
    </row>
    <row r="1891" spans="6:6" hidden="1" x14ac:dyDescent="0.2">
      <c r="F1891" s="50"/>
    </row>
    <row r="1892" spans="6:6" hidden="1" x14ac:dyDescent="0.2">
      <c r="F1892" s="50"/>
    </row>
    <row r="1893" spans="6:6" hidden="1" x14ac:dyDescent="0.2">
      <c r="F1893" s="50"/>
    </row>
    <row r="1894" spans="6:6" hidden="1" x14ac:dyDescent="0.2">
      <c r="F1894" s="50"/>
    </row>
    <row r="1895" spans="6:6" hidden="1" x14ac:dyDescent="0.2">
      <c r="F1895" s="50"/>
    </row>
    <row r="1896" spans="6:6" hidden="1" x14ac:dyDescent="0.2">
      <c r="F1896" s="50"/>
    </row>
    <row r="1897" spans="6:6" hidden="1" x14ac:dyDescent="0.2">
      <c r="F1897" s="50"/>
    </row>
    <row r="1898" spans="6:6" hidden="1" x14ac:dyDescent="0.2">
      <c r="F1898" s="50"/>
    </row>
    <row r="1899" spans="6:6" hidden="1" x14ac:dyDescent="0.2">
      <c r="F1899" s="50"/>
    </row>
    <row r="1900" spans="6:6" hidden="1" x14ac:dyDescent="0.2">
      <c r="F1900" s="50"/>
    </row>
    <row r="1901" spans="6:6" hidden="1" x14ac:dyDescent="0.2">
      <c r="F1901" s="50"/>
    </row>
    <row r="1902" spans="6:6" hidden="1" x14ac:dyDescent="0.2">
      <c r="F1902" s="50"/>
    </row>
    <row r="1903" spans="6:6" hidden="1" x14ac:dyDescent="0.2">
      <c r="F1903" s="50"/>
    </row>
    <row r="1904" spans="6:6" hidden="1" x14ac:dyDescent="0.2">
      <c r="F1904" s="50"/>
    </row>
    <row r="1905" spans="6:6" hidden="1" x14ac:dyDescent="0.2">
      <c r="F1905" s="50"/>
    </row>
    <row r="1906" spans="6:6" hidden="1" x14ac:dyDescent="0.2">
      <c r="F1906" s="50"/>
    </row>
    <row r="1907" spans="6:6" hidden="1" x14ac:dyDescent="0.2">
      <c r="F1907" s="50"/>
    </row>
    <row r="1908" spans="6:6" hidden="1" x14ac:dyDescent="0.2">
      <c r="F1908" s="50"/>
    </row>
    <row r="1909" spans="6:6" hidden="1" x14ac:dyDescent="0.2">
      <c r="F1909" s="50"/>
    </row>
    <row r="1910" spans="6:6" hidden="1" x14ac:dyDescent="0.2">
      <c r="F1910" s="50"/>
    </row>
    <row r="1911" spans="6:6" hidden="1" x14ac:dyDescent="0.2">
      <c r="F1911" s="50"/>
    </row>
    <row r="1912" spans="6:6" hidden="1" x14ac:dyDescent="0.2">
      <c r="F1912" s="50"/>
    </row>
    <row r="1913" spans="6:6" hidden="1" x14ac:dyDescent="0.2">
      <c r="F1913" s="50"/>
    </row>
    <row r="1914" spans="6:6" hidden="1" x14ac:dyDescent="0.2">
      <c r="F1914" s="50"/>
    </row>
    <row r="1915" spans="6:6" hidden="1" x14ac:dyDescent="0.2">
      <c r="F1915" s="50"/>
    </row>
    <row r="1916" spans="6:6" hidden="1" x14ac:dyDescent="0.2">
      <c r="F1916" s="50"/>
    </row>
    <row r="1917" spans="6:6" hidden="1" x14ac:dyDescent="0.2">
      <c r="F1917" s="50"/>
    </row>
    <row r="1918" spans="6:6" hidden="1" x14ac:dyDescent="0.2">
      <c r="F1918" s="50"/>
    </row>
    <row r="1919" spans="6:6" hidden="1" x14ac:dyDescent="0.2">
      <c r="F1919" s="50"/>
    </row>
    <row r="1920" spans="6:6" hidden="1" x14ac:dyDescent="0.2">
      <c r="F1920" s="50"/>
    </row>
    <row r="1921" spans="6:8" hidden="1" x14ac:dyDescent="0.2">
      <c r="F1921" s="50"/>
    </row>
    <row r="1922" spans="6:8" hidden="1" x14ac:dyDescent="0.2">
      <c r="F1922" s="50"/>
    </row>
    <row r="1923" spans="6:8" hidden="1" x14ac:dyDescent="0.2">
      <c r="F1923" s="50"/>
    </row>
    <row r="1924" spans="6:8" hidden="1" x14ac:dyDescent="0.2">
      <c r="F1924" s="50"/>
    </row>
    <row r="1925" spans="6:8" hidden="1" x14ac:dyDescent="0.2">
      <c r="F1925" s="50"/>
    </row>
    <row r="1926" spans="6:8" hidden="1" x14ac:dyDescent="0.2">
      <c r="F1926" s="50"/>
    </row>
    <row r="1927" spans="6:8" hidden="1" x14ac:dyDescent="0.2">
      <c r="F1927" s="50"/>
    </row>
    <row r="1928" spans="6:8" hidden="1" x14ac:dyDescent="0.2">
      <c r="F1928" s="50"/>
    </row>
    <row r="1929" spans="6:8" hidden="1" x14ac:dyDescent="0.2">
      <c r="F1929" s="50"/>
    </row>
    <row r="1930" spans="6:8" hidden="1" x14ac:dyDescent="0.2">
      <c r="F1930" s="50"/>
    </row>
    <row r="1931" spans="6:8" hidden="1" x14ac:dyDescent="0.2">
      <c r="F1931" s="50"/>
    </row>
    <row r="1932" spans="6:8" hidden="1" x14ac:dyDescent="0.2">
      <c r="F1932" s="50"/>
    </row>
    <row r="1933" spans="6:8" ht="15" hidden="1" x14ac:dyDescent="0.25">
      <c r="F1933" s="50"/>
      <c r="H1933" s="62"/>
    </row>
    <row r="1934" spans="6:8" hidden="1" x14ac:dyDescent="0.2">
      <c r="F1934" s="50"/>
    </row>
    <row r="1935" spans="6:8" hidden="1" x14ac:dyDescent="0.2">
      <c r="F1935" s="50"/>
    </row>
    <row r="1936" spans="6:8" hidden="1" x14ac:dyDescent="0.2">
      <c r="F1936" s="50"/>
    </row>
    <row r="1937" spans="6:8" hidden="1" x14ac:dyDescent="0.2">
      <c r="F1937" s="50"/>
    </row>
    <row r="1938" spans="6:8" hidden="1" x14ac:dyDescent="0.2">
      <c r="F1938" s="50"/>
    </row>
    <row r="1939" spans="6:8" hidden="1" x14ac:dyDescent="0.2">
      <c r="F1939" s="50"/>
    </row>
    <row r="1940" spans="6:8" hidden="1" x14ac:dyDescent="0.2">
      <c r="F1940" s="50"/>
    </row>
    <row r="1941" spans="6:8" hidden="1" x14ac:dyDescent="0.2">
      <c r="F1941" s="50"/>
    </row>
    <row r="1942" spans="6:8" hidden="1" x14ac:dyDescent="0.2">
      <c r="F1942" s="50"/>
    </row>
    <row r="1943" spans="6:8" hidden="1" x14ac:dyDescent="0.2">
      <c r="F1943" s="50"/>
    </row>
    <row r="1944" spans="6:8" hidden="1" x14ac:dyDescent="0.2">
      <c r="F1944" s="50"/>
    </row>
    <row r="1945" spans="6:8" hidden="1" x14ac:dyDescent="0.2">
      <c r="F1945" s="50"/>
    </row>
    <row r="1946" spans="6:8" hidden="1" x14ac:dyDescent="0.2">
      <c r="F1946" s="50"/>
    </row>
    <row r="1947" spans="6:8" hidden="1" x14ac:dyDescent="0.2">
      <c r="F1947" s="50"/>
    </row>
    <row r="1948" spans="6:8" hidden="1" x14ac:dyDescent="0.2">
      <c r="F1948" s="50"/>
    </row>
    <row r="1949" spans="6:8" hidden="1" x14ac:dyDescent="0.2">
      <c r="F1949" s="50"/>
    </row>
    <row r="1950" spans="6:8" ht="15" hidden="1" x14ac:dyDescent="0.25">
      <c r="F1950" s="50"/>
      <c r="H1950" s="69"/>
    </row>
    <row r="1951" spans="6:8" hidden="1" x14ac:dyDescent="0.2">
      <c r="F1951" s="50"/>
    </row>
    <row r="1952" spans="6:8" hidden="1" x14ac:dyDescent="0.2">
      <c r="F1952" s="50"/>
    </row>
    <row r="1953" spans="1:6" hidden="1" x14ac:dyDescent="0.2">
      <c r="F1953" s="50"/>
    </row>
    <row r="1954" spans="1:6" hidden="1" x14ac:dyDescent="0.2">
      <c r="F1954" s="50"/>
    </row>
    <row r="1955" spans="1:6" hidden="1" x14ac:dyDescent="0.2">
      <c r="F1955" s="50"/>
    </row>
    <row r="1956" spans="1:6" hidden="1" x14ac:dyDescent="0.2">
      <c r="F1956" s="50"/>
    </row>
    <row r="1957" spans="1:6" hidden="1" x14ac:dyDescent="0.2">
      <c r="F1957" s="50"/>
    </row>
    <row r="1958" spans="1:6" hidden="1" x14ac:dyDescent="0.2">
      <c r="F1958" s="50"/>
    </row>
    <row r="1959" spans="1:6" hidden="1" x14ac:dyDescent="0.2">
      <c r="F1959" s="50"/>
    </row>
    <row r="1960" spans="1:6" hidden="1" x14ac:dyDescent="0.2">
      <c r="F1960" s="50"/>
    </row>
    <row r="1961" spans="1:6" hidden="1" x14ac:dyDescent="0.2">
      <c r="F1961" s="50"/>
    </row>
    <row r="1962" spans="1:6" hidden="1" x14ac:dyDescent="0.2">
      <c r="F1962" s="50"/>
    </row>
    <row r="1963" spans="1:6" hidden="1" x14ac:dyDescent="0.2">
      <c r="F1963" s="50"/>
    </row>
    <row r="1964" spans="1:6" hidden="1" x14ac:dyDescent="0.2">
      <c r="F1964" s="50"/>
    </row>
    <row r="1965" spans="1:6" hidden="1" x14ac:dyDescent="0.2">
      <c r="A1965" s="55"/>
      <c r="C1965" s="55"/>
    </row>
    <row r="1966" spans="1:6" hidden="1" x14ac:dyDescent="0.2">
      <c r="F1966" s="50"/>
    </row>
    <row r="1967" spans="1:6" hidden="1" x14ac:dyDescent="0.2">
      <c r="F1967" s="50"/>
    </row>
    <row r="1968" spans="1:6" hidden="1" x14ac:dyDescent="0.2">
      <c r="F1968" s="50"/>
    </row>
    <row r="1969" spans="6:8" hidden="1" x14ac:dyDescent="0.2">
      <c r="F1969" s="50"/>
    </row>
    <row r="1970" spans="6:8" hidden="1" x14ac:dyDescent="0.2">
      <c r="F1970" s="50"/>
      <c r="H1970"/>
    </row>
    <row r="1971" spans="6:8" hidden="1" x14ac:dyDescent="0.2">
      <c r="F1971" s="50"/>
    </row>
    <row r="1972" spans="6:8" hidden="1" x14ac:dyDescent="0.2">
      <c r="F1972" s="50"/>
    </row>
    <row r="1973" spans="6:8" hidden="1" x14ac:dyDescent="0.2">
      <c r="F1973" s="50"/>
    </row>
    <row r="1974" spans="6:8" hidden="1" x14ac:dyDescent="0.2">
      <c r="F1974" s="50"/>
    </row>
    <row r="1975" spans="6:8" hidden="1" x14ac:dyDescent="0.2">
      <c r="F1975" s="50"/>
    </row>
    <row r="1976" spans="6:8" hidden="1" x14ac:dyDescent="0.2">
      <c r="F1976" s="50"/>
    </row>
    <row r="1977" spans="6:8" hidden="1" x14ac:dyDescent="0.2">
      <c r="F1977" s="50"/>
    </row>
    <row r="1978" spans="6:8" hidden="1" x14ac:dyDescent="0.2">
      <c r="F1978" s="50"/>
    </row>
    <row r="1979" spans="6:8" hidden="1" x14ac:dyDescent="0.2">
      <c r="F1979" s="50"/>
    </row>
    <row r="1980" spans="6:8" hidden="1" x14ac:dyDescent="0.2">
      <c r="F1980" s="50"/>
    </row>
    <row r="1981" spans="6:8" hidden="1" x14ac:dyDescent="0.2">
      <c r="F1981" s="50"/>
    </row>
    <row r="1982" spans="6:8" hidden="1" x14ac:dyDescent="0.2">
      <c r="F1982" s="50"/>
    </row>
    <row r="1983" spans="6:8" hidden="1" x14ac:dyDescent="0.2">
      <c r="F1983" s="50"/>
    </row>
    <row r="1984" spans="6:8" hidden="1" x14ac:dyDescent="0.2">
      <c r="F1984" s="50"/>
    </row>
    <row r="1985" spans="6:9" hidden="1" x14ac:dyDescent="0.2">
      <c r="I1985" s="97"/>
    </row>
    <row r="1989" spans="6:9" hidden="1" x14ac:dyDescent="0.2">
      <c r="F1989" s="50"/>
    </row>
    <row r="2002" spans="6:6" hidden="1" x14ac:dyDescent="0.2">
      <c r="F2002" s="50"/>
    </row>
    <row r="2003" spans="6:6" hidden="1" x14ac:dyDescent="0.2">
      <c r="F2003" s="50"/>
    </row>
    <row r="2004" spans="6:6" hidden="1" x14ac:dyDescent="0.2">
      <c r="F2004" s="50"/>
    </row>
    <row r="2005" spans="6:6" hidden="1" x14ac:dyDescent="0.2">
      <c r="F2005" s="50"/>
    </row>
    <row r="2006" spans="6:6" hidden="1" x14ac:dyDescent="0.2">
      <c r="F2006" s="50"/>
    </row>
    <row r="2007" spans="6:6" hidden="1" x14ac:dyDescent="0.2">
      <c r="F2007" s="50"/>
    </row>
    <row r="2008" spans="6:6" hidden="1" x14ac:dyDescent="0.2">
      <c r="F2008" s="50"/>
    </row>
    <row r="2009" spans="6:6" hidden="1" x14ac:dyDescent="0.2">
      <c r="F2009" s="50"/>
    </row>
    <row r="2010" spans="6:6" hidden="1" x14ac:dyDescent="0.2">
      <c r="F2010" s="50"/>
    </row>
    <row r="2011" spans="6:6" hidden="1" x14ac:dyDescent="0.2">
      <c r="F2011" s="50"/>
    </row>
    <row r="2012" spans="6:6" hidden="1" x14ac:dyDescent="0.2">
      <c r="F2012" s="50"/>
    </row>
    <row r="2013" spans="6:6" hidden="1" x14ac:dyDescent="0.2">
      <c r="F2013" s="50"/>
    </row>
    <row r="2014" spans="6:6" hidden="1" x14ac:dyDescent="0.2">
      <c r="F2014" s="50"/>
    </row>
    <row r="2015" spans="6:6" hidden="1" x14ac:dyDescent="0.2">
      <c r="F2015" s="50"/>
    </row>
    <row r="2016" spans="6:6" hidden="1" x14ac:dyDescent="0.2">
      <c r="F2016" s="50"/>
    </row>
    <row r="2017" spans="6:6" hidden="1" x14ac:dyDescent="0.2">
      <c r="F2017" s="50"/>
    </row>
    <row r="2018" spans="6:6" hidden="1" x14ac:dyDescent="0.2">
      <c r="F2018" s="50"/>
    </row>
    <row r="2022" spans="6:6" hidden="1" x14ac:dyDescent="0.2">
      <c r="F2022" s="50"/>
    </row>
    <row r="2023" spans="6:6" hidden="1" x14ac:dyDescent="0.2">
      <c r="F2023" s="50"/>
    </row>
    <row r="2024" spans="6:6" hidden="1" x14ac:dyDescent="0.2">
      <c r="F2024" s="50"/>
    </row>
    <row r="2025" spans="6:6" hidden="1" x14ac:dyDescent="0.2">
      <c r="F2025" s="50"/>
    </row>
    <row r="2026" spans="6:6" hidden="1" x14ac:dyDescent="0.2">
      <c r="F2026" s="50"/>
    </row>
    <row r="2027" spans="6:6" hidden="1" x14ac:dyDescent="0.2">
      <c r="F2027" s="50"/>
    </row>
    <row r="2028" spans="6:6" hidden="1" x14ac:dyDescent="0.2">
      <c r="F2028" s="50"/>
    </row>
    <row r="2029" spans="6:6" hidden="1" x14ac:dyDescent="0.2">
      <c r="F2029" s="50"/>
    </row>
    <row r="2030" spans="6:6" hidden="1" x14ac:dyDescent="0.2">
      <c r="F2030" s="50"/>
    </row>
    <row r="2032" spans="6:6" hidden="1" x14ac:dyDescent="0.2">
      <c r="F2032" s="50"/>
    </row>
    <row r="2033" spans="6:6" hidden="1" x14ac:dyDescent="0.2">
      <c r="F2033" s="50"/>
    </row>
    <row r="2034" spans="6:6" hidden="1" x14ac:dyDescent="0.2">
      <c r="F2034" s="50"/>
    </row>
    <row r="2035" spans="6:6" hidden="1" x14ac:dyDescent="0.2">
      <c r="F2035" s="50"/>
    </row>
    <row r="2036" spans="6:6" hidden="1" x14ac:dyDescent="0.2">
      <c r="F2036" s="50"/>
    </row>
    <row r="2037" spans="6:6" hidden="1" x14ac:dyDescent="0.2">
      <c r="F2037" s="50"/>
    </row>
    <row r="2038" spans="6:6" hidden="1" x14ac:dyDescent="0.2">
      <c r="F2038" s="50"/>
    </row>
    <row r="2039" spans="6:6" hidden="1" x14ac:dyDescent="0.2">
      <c r="F2039" s="50"/>
    </row>
    <row r="2040" spans="6:6" hidden="1" x14ac:dyDescent="0.2">
      <c r="F2040" s="50"/>
    </row>
    <row r="2041" spans="6:6" hidden="1" x14ac:dyDescent="0.2">
      <c r="F2041" s="50"/>
    </row>
    <row r="2042" spans="6:6" hidden="1" x14ac:dyDescent="0.2">
      <c r="F2042" s="50"/>
    </row>
    <row r="2043" spans="6:6" hidden="1" x14ac:dyDescent="0.2">
      <c r="F2043" s="50"/>
    </row>
    <row r="2044" spans="6:6" hidden="1" x14ac:dyDescent="0.2">
      <c r="F2044" s="50"/>
    </row>
    <row r="2045" spans="6:6" hidden="1" x14ac:dyDescent="0.2">
      <c r="F2045" s="50"/>
    </row>
    <row r="2046" spans="6:6" hidden="1" x14ac:dyDescent="0.2">
      <c r="F2046" s="50"/>
    </row>
    <row r="2047" spans="6:6" hidden="1" x14ac:dyDescent="0.2">
      <c r="F2047" s="50"/>
    </row>
    <row r="2048" spans="6:6" hidden="1" x14ac:dyDescent="0.2">
      <c r="F2048" s="50"/>
    </row>
    <row r="2049" spans="6:6" hidden="1" x14ac:dyDescent="0.2">
      <c r="F2049" s="50"/>
    </row>
    <row r="2050" spans="6:6" hidden="1" x14ac:dyDescent="0.2">
      <c r="F2050" s="50"/>
    </row>
    <row r="2051" spans="6:6" hidden="1" x14ac:dyDescent="0.2">
      <c r="F2051" s="50"/>
    </row>
    <row r="2052" spans="6:6" hidden="1" x14ac:dyDescent="0.2">
      <c r="F2052" s="50"/>
    </row>
    <row r="2053" spans="6:6" hidden="1" x14ac:dyDescent="0.2">
      <c r="F2053" s="50"/>
    </row>
    <row r="2054" spans="6:6" hidden="1" x14ac:dyDescent="0.2">
      <c r="F2054" s="50"/>
    </row>
    <row r="2055" spans="6:6" hidden="1" x14ac:dyDescent="0.2">
      <c r="F2055" s="50"/>
    </row>
    <row r="2056" spans="6:6" hidden="1" x14ac:dyDescent="0.2">
      <c r="F2056" s="50"/>
    </row>
    <row r="2057" spans="6:6" hidden="1" x14ac:dyDescent="0.2">
      <c r="F2057" s="50"/>
    </row>
    <row r="2058" spans="6:6" hidden="1" x14ac:dyDescent="0.2">
      <c r="F2058" s="50"/>
    </row>
    <row r="2059" spans="6:6" hidden="1" x14ac:dyDescent="0.2">
      <c r="F2059" s="50"/>
    </row>
    <row r="2060" spans="6:6" hidden="1" x14ac:dyDescent="0.2">
      <c r="F2060" s="50"/>
    </row>
    <row r="2061" spans="6:6" hidden="1" x14ac:dyDescent="0.2">
      <c r="F2061" s="50"/>
    </row>
    <row r="2062" spans="6:6" hidden="1" x14ac:dyDescent="0.2">
      <c r="F2062" s="50"/>
    </row>
    <row r="2063" spans="6:6" hidden="1" x14ac:dyDescent="0.2">
      <c r="F2063" s="50"/>
    </row>
    <row r="2064" spans="6:6" hidden="1" x14ac:dyDescent="0.2">
      <c r="F2064" s="50"/>
    </row>
    <row r="2065" spans="6:6" hidden="1" x14ac:dyDescent="0.2">
      <c r="F2065" s="50"/>
    </row>
    <row r="2066" spans="6:6" hidden="1" x14ac:dyDescent="0.2">
      <c r="F2066" s="50"/>
    </row>
    <row r="2067" spans="6:6" hidden="1" x14ac:dyDescent="0.2">
      <c r="F2067" s="50"/>
    </row>
    <row r="2068" spans="6:6" hidden="1" x14ac:dyDescent="0.2">
      <c r="F2068" s="50"/>
    </row>
    <row r="2069" spans="6:6" hidden="1" x14ac:dyDescent="0.2">
      <c r="F2069" s="50"/>
    </row>
    <row r="2070" spans="6:6" hidden="1" x14ac:dyDescent="0.2">
      <c r="F2070" s="50"/>
    </row>
    <row r="2071" spans="6:6" hidden="1" x14ac:dyDescent="0.2">
      <c r="F2071" s="50"/>
    </row>
    <row r="2072" spans="6:6" hidden="1" x14ac:dyDescent="0.2">
      <c r="F2072" s="50"/>
    </row>
    <row r="2075" spans="6:6" hidden="1" x14ac:dyDescent="0.2">
      <c r="F2075" s="50"/>
    </row>
    <row r="2076" spans="6:6" hidden="1" x14ac:dyDescent="0.2">
      <c r="F2076" s="50"/>
    </row>
    <row r="2077" spans="6:6" hidden="1" x14ac:dyDescent="0.2">
      <c r="F2077" s="50"/>
    </row>
    <row r="2078" spans="6:6" hidden="1" x14ac:dyDescent="0.2">
      <c r="F2078" s="50"/>
    </row>
    <row r="2079" spans="6:6" hidden="1" x14ac:dyDescent="0.2">
      <c r="F2079" s="50"/>
    </row>
    <row r="2080" spans="6:6" hidden="1" x14ac:dyDescent="0.2">
      <c r="F2080" s="50"/>
    </row>
    <row r="2081" spans="6:6" hidden="1" x14ac:dyDescent="0.2">
      <c r="F2081" s="50"/>
    </row>
    <row r="2082" spans="6:6" hidden="1" x14ac:dyDescent="0.2">
      <c r="F2082" s="50"/>
    </row>
    <row r="2083" spans="6:6" hidden="1" x14ac:dyDescent="0.2">
      <c r="F2083" s="50"/>
    </row>
    <row r="2084" spans="6:6" hidden="1" x14ac:dyDescent="0.2">
      <c r="F2084" s="50"/>
    </row>
    <row r="2085" spans="6:6" hidden="1" x14ac:dyDescent="0.2">
      <c r="F2085" s="50"/>
    </row>
    <row r="2086" spans="6:6" hidden="1" x14ac:dyDescent="0.2">
      <c r="F2086" s="50"/>
    </row>
    <row r="2087" spans="6:6" hidden="1" x14ac:dyDescent="0.2">
      <c r="F2087" s="50"/>
    </row>
    <row r="2088" spans="6:6" hidden="1" x14ac:dyDescent="0.2">
      <c r="F2088" s="50"/>
    </row>
    <row r="2089" spans="6:6" hidden="1" x14ac:dyDescent="0.2">
      <c r="F2089" s="50"/>
    </row>
    <row r="2090" spans="6:6" hidden="1" x14ac:dyDescent="0.2">
      <c r="F2090" s="50"/>
    </row>
    <row r="2091" spans="6:6" hidden="1" x14ac:dyDescent="0.2">
      <c r="F2091" s="50"/>
    </row>
    <row r="2092" spans="6:6" hidden="1" x14ac:dyDescent="0.2">
      <c r="F2092" s="50"/>
    </row>
    <row r="2093" spans="6:6" hidden="1" x14ac:dyDescent="0.2">
      <c r="F2093" s="50"/>
    </row>
    <row r="2094" spans="6:6" hidden="1" x14ac:dyDescent="0.2">
      <c r="F2094" s="50"/>
    </row>
    <row r="2095" spans="6:6" hidden="1" x14ac:dyDescent="0.2">
      <c r="F2095" s="50"/>
    </row>
    <row r="2096" spans="6:6" hidden="1" x14ac:dyDescent="0.2">
      <c r="F2096" s="50"/>
    </row>
    <row r="2097" spans="6:6" hidden="1" x14ac:dyDescent="0.2">
      <c r="F2097" s="50"/>
    </row>
    <row r="2098" spans="6:6" hidden="1" x14ac:dyDescent="0.2">
      <c r="F2098" s="50"/>
    </row>
    <row r="2099" spans="6:6" hidden="1" x14ac:dyDescent="0.2">
      <c r="F2099" s="50"/>
    </row>
    <row r="2100" spans="6:6" hidden="1" x14ac:dyDescent="0.2">
      <c r="F2100" s="50"/>
    </row>
    <row r="2101" spans="6:6" hidden="1" x14ac:dyDescent="0.2">
      <c r="F2101" s="50"/>
    </row>
    <row r="2102" spans="6:6" hidden="1" x14ac:dyDescent="0.2">
      <c r="F2102" s="50"/>
    </row>
    <row r="2103" spans="6:6" hidden="1" x14ac:dyDescent="0.2">
      <c r="F2103" s="50"/>
    </row>
    <row r="2104" spans="6:6" hidden="1" x14ac:dyDescent="0.2">
      <c r="F2104" s="50"/>
    </row>
    <row r="2105" spans="6:6" hidden="1" x14ac:dyDescent="0.2">
      <c r="F2105" s="50"/>
    </row>
    <row r="2106" spans="6:6" hidden="1" x14ac:dyDescent="0.2">
      <c r="F2106" s="50"/>
    </row>
    <row r="2107" spans="6:6" hidden="1" x14ac:dyDescent="0.2">
      <c r="F2107" s="50"/>
    </row>
    <row r="2108" spans="6:6" hidden="1" x14ac:dyDescent="0.2">
      <c r="F2108" s="50"/>
    </row>
    <row r="2109" spans="6:6" hidden="1" x14ac:dyDescent="0.2">
      <c r="F2109" s="50"/>
    </row>
    <row r="2110" spans="6:6" hidden="1" x14ac:dyDescent="0.2">
      <c r="F2110" s="50"/>
    </row>
    <row r="2111" spans="6:6" hidden="1" x14ac:dyDescent="0.2">
      <c r="F2111" s="50"/>
    </row>
    <row r="2112" spans="6:6" hidden="1" x14ac:dyDescent="0.2">
      <c r="F2112" s="50"/>
    </row>
    <row r="2113" spans="6:6" hidden="1" x14ac:dyDescent="0.2">
      <c r="F2113" s="50"/>
    </row>
    <row r="2114" spans="6:6" hidden="1" x14ac:dyDescent="0.2">
      <c r="F2114" s="50"/>
    </row>
    <row r="2115" spans="6:6" hidden="1" x14ac:dyDescent="0.2">
      <c r="F2115" s="50"/>
    </row>
    <row r="2116" spans="6:6" hidden="1" x14ac:dyDescent="0.2">
      <c r="F2116" s="50"/>
    </row>
    <row r="2118" spans="6:6" hidden="1" x14ac:dyDescent="0.2">
      <c r="F2118" s="50"/>
    </row>
    <row r="2119" spans="6:6" hidden="1" x14ac:dyDescent="0.2">
      <c r="F2119" s="50"/>
    </row>
    <row r="2120" spans="6:6" hidden="1" x14ac:dyDescent="0.2">
      <c r="F2120" s="50"/>
    </row>
    <row r="2121" spans="6:6" hidden="1" x14ac:dyDescent="0.2">
      <c r="F2121" s="50"/>
    </row>
    <row r="2122" spans="6:6" hidden="1" x14ac:dyDescent="0.2">
      <c r="F2122" s="50"/>
    </row>
    <row r="2123" spans="6:6" hidden="1" x14ac:dyDescent="0.2">
      <c r="F2123" s="50"/>
    </row>
    <row r="2124" spans="6:6" hidden="1" x14ac:dyDescent="0.2">
      <c r="F2124" s="50"/>
    </row>
    <row r="2125" spans="6:6" hidden="1" x14ac:dyDescent="0.2">
      <c r="F2125" s="50"/>
    </row>
    <row r="2126" spans="6:6" hidden="1" x14ac:dyDescent="0.2">
      <c r="F2126" s="50"/>
    </row>
    <row r="2127" spans="6:6" hidden="1" x14ac:dyDescent="0.2">
      <c r="F2127" s="50"/>
    </row>
    <row r="2128" spans="6:6" hidden="1" x14ac:dyDescent="0.2">
      <c r="F2128" s="50"/>
    </row>
    <row r="2129" spans="6:6" hidden="1" x14ac:dyDescent="0.2">
      <c r="F2129" s="50"/>
    </row>
    <row r="2130" spans="6:6" hidden="1" x14ac:dyDescent="0.2">
      <c r="F2130" s="50"/>
    </row>
    <row r="2131" spans="6:6" hidden="1" x14ac:dyDescent="0.2">
      <c r="F2131" s="50"/>
    </row>
    <row r="2132" spans="6:6" hidden="1" x14ac:dyDescent="0.2">
      <c r="F2132" s="50"/>
    </row>
    <row r="2133" spans="6:6" hidden="1" x14ac:dyDescent="0.2">
      <c r="F2133" s="50"/>
    </row>
    <row r="2134" spans="6:6" hidden="1" x14ac:dyDescent="0.2">
      <c r="F2134" s="50"/>
    </row>
    <row r="2135" spans="6:6" hidden="1" x14ac:dyDescent="0.2">
      <c r="F2135" s="50"/>
    </row>
    <row r="2136" spans="6:6" hidden="1" x14ac:dyDescent="0.2">
      <c r="F2136" s="50"/>
    </row>
    <row r="2137" spans="6:6" hidden="1" x14ac:dyDescent="0.2">
      <c r="F2137" s="50"/>
    </row>
    <row r="2138" spans="6:6" hidden="1" x14ac:dyDescent="0.2">
      <c r="F2138" s="50"/>
    </row>
    <row r="2139" spans="6:6" hidden="1" x14ac:dyDescent="0.2">
      <c r="F2139" s="50"/>
    </row>
    <row r="2140" spans="6:6" hidden="1" x14ac:dyDescent="0.2">
      <c r="F2140" s="50"/>
    </row>
    <row r="2141" spans="6:6" hidden="1" x14ac:dyDescent="0.2">
      <c r="F2141" s="50"/>
    </row>
    <row r="2142" spans="6:6" hidden="1" x14ac:dyDescent="0.2">
      <c r="F2142" s="50"/>
    </row>
    <row r="2143" spans="6:6" hidden="1" x14ac:dyDescent="0.2">
      <c r="F2143" s="50"/>
    </row>
    <row r="2144" spans="6:6" hidden="1" x14ac:dyDescent="0.2">
      <c r="F2144" s="50"/>
    </row>
    <row r="2145" spans="6:6" hidden="1" x14ac:dyDescent="0.2">
      <c r="F2145" s="50"/>
    </row>
    <row r="2146" spans="6:6" hidden="1" x14ac:dyDescent="0.2">
      <c r="F2146" s="50"/>
    </row>
    <row r="2147" spans="6:6" hidden="1" x14ac:dyDescent="0.2">
      <c r="F2147" s="50"/>
    </row>
    <row r="2148" spans="6:6" hidden="1" x14ac:dyDescent="0.2">
      <c r="F2148" s="50"/>
    </row>
    <row r="2149" spans="6:6" hidden="1" x14ac:dyDescent="0.2">
      <c r="F2149" s="50"/>
    </row>
    <row r="2150" spans="6:6" hidden="1" x14ac:dyDescent="0.2">
      <c r="F2150" s="50"/>
    </row>
    <row r="2151" spans="6:6" hidden="1" x14ac:dyDescent="0.2">
      <c r="F2151" s="50"/>
    </row>
    <row r="2152" spans="6:6" hidden="1" x14ac:dyDescent="0.2">
      <c r="F2152" s="50"/>
    </row>
    <row r="2153" spans="6:6" hidden="1" x14ac:dyDescent="0.2">
      <c r="F2153" s="50"/>
    </row>
    <row r="2154" spans="6:6" hidden="1" x14ac:dyDescent="0.2">
      <c r="F2154" s="50"/>
    </row>
    <row r="2155" spans="6:6" hidden="1" x14ac:dyDescent="0.2">
      <c r="F2155" s="50"/>
    </row>
    <row r="2156" spans="6:6" hidden="1" x14ac:dyDescent="0.2">
      <c r="F2156" s="50"/>
    </row>
    <row r="2157" spans="6:6" hidden="1" x14ac:dyDescent="0.2">
      <c r="F2157" s="50"/>
    </row>
    <row r="2158" spans="6:6" hidden="1" x14ac:dyDescent="0.2">
      <c r="F2158" s="50"/>
    </row>
    <row r="2159" spans="6:6" hidden="1" x14ac:dyDescent="0.2">
      <c r="F2159" s="50"/>
    </row>
    <row r="2160" spans="6:6" hidden="1" x14ac:dyDescent="0.2">
      <c r="F2160" s="50"/>
    </row>
    <row r="2161" spans="6:6" hidden="1" x14ac:dyDescent="0.2">
      <c r="F2161" s="50"/>
    </row>
    <row r="2162" spans="6:6" hidden="1" x14ac:dyDescent="0.2">
      <c r="F2162" s="50"/>
    </row>
    <row r="2163" spans="6:6" hidden="1" x14ac:dyDescent="0.2">
      <c r="F2163" s="50"/>
    </row>
    <row r="2164" spans="6:6" hidden="1" x14ac:dyDescent="0.2">
      <c r="F2164" s="50"/>
    </row>
    <row r="2165" spans="6:6" hidden="1" x14ac:dyDescent="0.2">
      <c r="F2165" s="50"/>
    </row>
    <row r="2166" spans="6:6" hidden="1" x14ac:dyDescent="0.2">
      <c r="F2166" s="50"/>
    </row>
    <row r="2167" spans="6:6" hidden="1" x14ac:dyDescent="0.2">
      <c r="F2167" s="50"/>
    </row>
    <row r="2168" spans="6:6" hidden="1" x14ac:dyDescent="0.2">
      <c r="F2168" s="50"/>
    </row>
    <row r="2169" spans="6:6" hidden="1" x14ac:dyDescent="0.2">
      <c r="F2169" s="50"/>
    </row>
    <row r="2170" spans="6:6" hidden="1" x14ac:dyDescent="0.2">
      <c r="F2170" s="50"/>
    </row>
    <row r="2171" spans="6:6" hidden="1" x14ac:dyDescent="0.2">
      <c r="F2171" s="50"/>
    </row>
    <row r="2172" spans="6:6" hidden="1" x14ac:dyDescent="0.2">
      <c r="F2172" s="50"/>
    </row>
    <row r="2173" spans="6:6" hidden="1" x14ac:dyDescent="0.2">
      <c r="F2173" s="50"/>
    </row>
    <row r="2174" spans="6:6" hidden="1" x14ac:dyDescent="0.2">
      <c r="F2174" s="50"/>
    </row>
    <row r="2175" spans="6:6" hidden="1" x14ac:dyDescent="0.2">
      <c r="F2175" s="50"/>
    </row>
    <row r="2176" spans="6:6" hidden="1" x14ac:dyDescent="0.2">
      <c r="F2176" s="50"/>
    </row>
    <row r="2177" spans="6:6" hidden="1" x14ac:dyDescent="0.2">
      <c r="F2177" s="50"/>
    </row>
    <row r="2178" spans="6:6" hidden="1" x14ac:dyDescent="0.2">
      <c r="F2178" s="50"/>
    </row>
    <row r="2179" spans="6:6" hidden="1" x14ac:dyDescent="0.2">
      <c r="F2179" s="50"/>
    </row>
    <row r="2180" spans="6:6" hidden="1" x14ac:dyDescent="0.2">
      <c r="F2180" s="50"/>
    </row>
    <row r="2181" spans="6:6" hidden="1" x14ac:dyDescent="0.2">
      <c r="F2181" s="50"/>
    </row>
    <row r="2182" spans="6:6" hidden="1" x14ac:dyDescent="0.2">
      <c r="F2182" s="50"/>
    </row>
    <row r="2183" spans="6:6" hidden="1" x14ac:dyDescent="0.2">
      <c r="F2183" s="50"/>
    </row>
    <row r="2184" spans="6:6" hidden="1" x14ac:dyDescent="0.2">
      <c r="F2184" s="50"/>
    </row>
    <row r="2185" spans="6:6" hidden="1" x14ac:dyDescent="0.2">
      <c r="F2185" s="50"/>
    </row>
    <row r="2186" spans="6:6" hidden="1" x14ac:dyDescent="0.2">
      <c r="F2186" s="50"/>
    </row>
    <row r="2187" spans="6:6" hidden="1" x14ac:dyDescent="0.2">
      <c r="F2187" s="50"/>
    </row>
    <row r="2188" spans="6:6" hidden="1" x14ac:dyDescent="0.2">
      <c r="F2188" s="50"/>
    </row>
    <row r="2189" spans="6:6" hidden="1" x14ac:dyDescent="0.2">
      <c r="F2189" s="50"/>
    </row>
    <row r="2190" spans="6:6" hidden="1" x14ac:dyDescent="0.2">
      <c r="F2190" s="50"/>
    </row>
    <row r="2191" spans="6:6" hidden="1" x14ac:dyDescent="0.2">
      <c r="F2191" s="50"/>
    </row>
    <row r="2192" spans="6:6" hidden="1" x14ac:dyDescent="0.2">
      <c r="F2192" s="50"/>
    </row>
    <row r="2193" spans="6:6" hidden="1" x14ac:dyDescent="0.2">
      <c r="F2193" s="50"/>
    </row>
    <row r="2194" spans="6:6" hidden="1" x14ac:dyDescent="0.2">
      <c r="F2194" s="50"/>
    </row>
    <row r="2195" spans="6:6" hidden="1" x14ac:dyDescent="0.2">
      <c r="F2195" s="50"/>
    </row>
    <row r="2196" spans="6:6" hidden="1" x14ac:dyDescent="0.2">
      <c r="F2196" s="50"/>
    </row>
    <row r="2197" spans="6:6" hidden="1" x14ac:dyDescent="0.2">
      <c r="F2197" s="50"/>
    </row>
    <row r="2198" spans="6:6" hidden="1" x14ac:dyDescent="0.2">
      <c r="F2198" s="50"/>
    </row>
    <row r="2199" spans="6:6" hidden="1" x14ac:dyDescent="0.2">
      <c r="F2199" s="50"/>
    </row>
    <row r="2200" spans="6:6" hidden="1" x14ac:dyDescent="0.2">
      <c r="F2200" s="50"/>
    </row>
    <row r="2201" spans="6:6" hidden="1" x14ac:dyDescent="0.2">
      <c r="F2201" s="50"/>
    </row>
    <row r="2202" spans="6:6" hidden="1" x14ac:dyDescent="0.2">
      <c r="F2202" s="50"/>
    </row>
    <row r="2203" spans="6:6" hidden="1" x14ac:dyDescent="0.2">
      <c r="F2203" s="50"/>
    </row>
    <row r="2204" spans="6:6" hidden="1" x14ac:dyDescent="0.2">
      <c r="F2204" s="50"/>
    </row>
    <row r="2205" spans="6:6" hidden="1" x14ac:dyDescent="0.2">
      <c r="F2205" s="50"/>
    </row>
    <row r="2206" spans="6:6" hidden="1" x14ac:dyDescent="0.2">
      <c r="F2206" s="50"/>
    </row>
    <row r="2207" spans="6:6" hidden="1" x14ac:dyDescent="0.2">
      <c r="F2207" s="50"/>
    </row>
    <row r="2208" spans="6:6" hidden="1" x14ac:dyDescent="0.2">
      <c r="F2208" s="50"/>
    </row>
    <row r="2209" spans="6:6" hidden="1" x14ac:dyDescent="0.2">
      <c r="F2209" s="50"/>
    </row>
    <row r="2210" spans="6:6" hidden="1" x14ac:dyDescent="0.2">
      <c r="F2210" s="50"/>
    </row>
    <row r="2211" spans="6:6" hidden="1" x14ac:dyDescent="0.2">
      <c r="F2211" s="50"/>
    </row>
    <row r="2212" spans="6:6" hidden="1" x14ac:dyDescent="0.2">
      <c r="F2212" s="50"/>
    </row>
    <row r="2213" spans="6:6" hidden="1" x14ac:dyDescent="0.2">
      <c r="F2213" s="50"/>
    </row>
    <row r="2214" spans="6:6" hidden="1" x14ac:dyDescent="0.2">
      <c r="F2214" s="50"/>
    </row>
    <row r="2215" spans="6:6" hidden="1" x14ac:dyDescent="0.2">
      <c r="F2215" s="50"/>
    </row>
    <row r="2216" spans="6:6" hidden="1" x14ac:dyDescent="0.2">
      <c r="F2216" s="50"/>
    </row>
    <row r="2217" spans="6:6" hidden="1" x14ac:dyDescent="0.2">
      <c r="F2217" s="50"/>
    </row>
    <row r="2218" spans="6:6" hidden="1" x14ac:dyDescent="0.2">
      <c r="F2218" s="50"/>
    </row>
    <row r="2219" spans="6:6" hidden="1" x14ac:dyDescent="0.2">
      <c r="F2219" s="50"/>
    </row>
    <row r="2220" spans="6:6" hidden="1" x14ac:dyDescent="0.2">
      <c r="F2220" s="50"/>
    </row>
    <row r="2221" spans="6:6" hidden="1" x14ac:dyDescent="0.2">
      <c r="F2221" s="50"/>
    </row>
    <row r="2222" spans="6:6" hidden="1" x14ac:dyDescent="0.2">
      <c r="F2222" s="50"/>
    </row>
    <row r="2223" spans="6:6" hidden="1" x14ac:dyDescent="0.2">
      <c r="F2223" s="50"/>
    </row>
    <row r="2224" spans="6:6" hidden="1" x14ac:dyDescent="0.2">
      <c r="F2224" s="50"/>
    </row>
    <row r="2225" spans="6:8" hidden="1" x14ac:dyDescent="0.2">
      <c r="F2225" s="50"/>
    </row>
    <row r="2226" spans="6:8" hidden="1" x14ac:dyDescent="0.2">
      <c r="F2226" s="50"/>
    </row>
    <row r="2227" spans="6:8" hidden="1" x14ac:dyDescent="0.2">
      <c r="F2227" s="50"/>
    </row>
    <row r="2228" spans="6:8" hidden="1" x14ac:dyDescent="0.2">
      <c r="F2228" s="50"/>
    </row>
    <row r="2232" spans="6:8" hidden="1" x14ac:dyDescent="0.2">
      <c r="F2232" s="50"/>
    </row>
    <row r="2233" spans="6:8" hidden="1" x14ac:dyDescent="0.2">
      <c r="F2233" s="50"/>
    </row>
    <row r="2234" spans="6:8" hidden="1" x14ac:dyDescent="0.2">
      <c r="F2234" s="50"/>
    </row>
    <row r="2235" spans="6:8" hidden="1" x14ac:dyDescent="0.2">
      <c r="F2235" s="50"/>
    </row>
    <row r="2236" spans="6:8" ht="15" hidden="1" x14ac:dyDescent="0.25">
      <c r="F2236" s="50"/>
      <c r="H2236" s="62"/>
    </row>
    <row r="2237" spans="6:8" hidden="1" x14ac:dyDescent="0.2">
      <c r="F2237" s="50"/>
    </row>
    <row r="2238" spans="6:8" hidden="1" x14ac:dyDescent="0.2">
      <c r="F2238" s="50"/>
    </row>
    <row r="2239" spans="6:8" hidden="1" x14ac:dyDescent="0.2">
      <c r="F2239" s="50"/>
    </row>
    <row r="2240" spans="6:8" hidden="1" x14ac:dyDescent="0.2">
      <c r="F2240" s="50"/>
    </row>
    <row r="2241" spans="6:6" hidden="1" x14ac:dyDescent="0.2">
      <c r="F2241" s="50"/>
    </row>
    <row r="2242" spans="6:6" hidden="1" x14ac:dyDescent="0.2">
      <c r="F2242" s="50"/>
    </row>
    <row r="2243" spans="6:6" hidden="1" x14ac:dyDescent="0.2">
      <c r="F2243" s="50"/>
    </row>
    <row r="2244" spans="6:6" hidden="1" x14ac:dyDescent="0.2">
      <c r="F2244" s="50"/>
    </row>
    <row r="2246" spans="6:6" hidden="1" x14ac:dyDescent="0.2">
      <c r="F2246" s="50"/>
    </row>
    <row r="2247" spans="6:6" hidden="1" x14ac:dyDescent="0.2">
      <c r="F2247" s="50"/>
    </row>
    <row r="2248" spans="6:6" hidden="1" x14ac:dyDescent="0.2">
      <c r="F2248" s="50"/>
    </row>
    <row r="2249" spans="6:6" hidden="1" x14ac:dyDescent="0.2">
      <c r="F2249" s="50"/>
    </row>
    <row r="2250" spans="6:6" hidden="1" x14ac:dyDescent="0.2">
      <c r="F2250" s="50"/>
    </row>
    <row r="2251" spans="6:6" hidden="1" x14ac:dyDescent="0.2">
      <c r="F2251" s="50"/>
    </row>
    <row r="2252" spans="6:6" hidden="1" x14ac:dyDescent="0.2">
      <c r="F2252" s="50"/>
    </row>
    <row r="2253" spans="6:6" hidden="1" x14ac:dyDescent="0.2">
      <c r="F2253" s="50"/>
    </row>
    <row r="2254" spans="6:6" hidden="1" x14ac:dyDescent="0.2">
      <c r="F2254" s="50"/>
    </row>
    <row r="2255" spans="6:6" hidden="1" x14ac:dyDescent="0.2">
      <c r="F2255" s="50"/>
    </row>
    <row r="2256" spans="6:6" hidden="1" x14ac:dyDescent="0.2">
      <c r="F2256" s="50"/>
    </row>
    <row r="2257" spans="6:6" hidden="1" x14ac:dyDescent="0.2">
      <c r="F2257" s="50"/>
    </row>
    <row r="2258" spans="6:6" hidden="1" x14ac:dyDescent="0.2">
      <c r="F2258" s="50"/>
    </row>
    <row r="2259" spans="6:6" hidden="1" x14ac:dyDescent="0.2">
      <c r="F2259" s="50"/>
    </row>
    <row r="2260" spans="6:6" hidden="1" x14ac:dyDescent="0.2">
      <c r="F2260" s="50"/>
    </row>
    <row r="2261" spans="6:6" hidden="1" x14ac:dyDescent="0.2">
      <c r="F2261" s="50"/>
    </row>
    <row r="2262" spans="6:6" hidden="1" x14ac:dyDescent="0.2">
      <c r="F2262" s="50"/>
    </row>
    <row r="2263" spans="6:6" hidden="1" x14ac:dyDescent="0.2">
      <c r="F2263" s="50"/>
    </row>
    <row r="2264" spans="6:6" hidden="1" x14ac:dyDescent="0.2">
      <c r="F2264" s="50"/>
    </row>
    <row r="2265" spans="6:6" hidden="1" x14ac:dyDescent="0.2">
      <c r="F2265" s="50"/>
    </row>
    <row r="2266" spans="6:6" hidden="1" x14ac:dyDescent="0.2">
      <c r="F2266" s="50"/>
    </row>
    <row r="2267" spans="6:6" hidden="1" x14ac:dyDescent="0.2">
      <c r="F2267" s="50"/>
    </row>
    <row r="2268" spans="6:6" hidden="1" x14ac:dyDescent="0.2">
      <c r="F2268" s="50"/>
    </row>
    <row r="2269" spans="6:6" hidden="1" x14ac:dyDescent="0.2">
      <c r="F2269" s="50"/>
    </row>
    <row r="2270" spans="6:6" hidden="1" x14ac:dyDescent="0.2">
      <c r="F2270" s="50"/>
    </row>
    <row r="2271" spans="6:6" hidden="1" x14ac:dyDescent="0.2">
      <c r="F2271" s="50"/>
    </row>
    <row r="2272" spans="6:6" hidden="1" x14ac:dyDescent="0.2">
      <c r="F2272" s="50"/>
    </row>
    <row r="2273" spans="6:8" hidden="1" x14ac:dyDescent="0.2">
      <c r="F2273" s="50"/>
    </row>
    <row r="2274" spans="6:8" hidden="1" x14ac:dyDescent="0.2">
      <c r="F2274" s="50"/>
    </row>
    <row r="2275" spans="6:8" hidden="1" x14ac:dyDescent="0.2">
      <c r="F2275" s="50"/>
    </row>
    <row r="2276" spans="6:8" ht="15" hidden="1" x14ac:dyDescent="0.25">
      <c r="F2276" s="50"/>
      <c r="H2276" s="62"/>
    </row>
    <row r="2277" spans="6:8" hidden="1" x14ac:dyDescent="0.2">
      <c r="F2277" s="50"/>
    </row>
    <row r="2278" spans="6:8" hidden="1" x14ac:dyDescent="0.2">
      <c r="F2278" s="50"/>
    </row>
    <row r="2279" spans="6:8" hidden="1" x14ac:dyDescent="0.2">
      <c r="F2279" s="50"/>
    </row>
    <row r="2280" spans="6:8" hidden="1" x14ac:dyDescent="0.2">
      <c r="F2280" s="50"/>
    </row>
    <row r="2281" spans="6:8" hidden="1" x14ac:dyDescent="0.2">
      <c r="F2281" s="50"/>
    </row>
    <row r="2282" spans="6:8" hidden="1" x14ac:dyDescent="0.2">
      <c r="F2282" s="50"/>
    </row>
    <row r="2283" spans="6:8" hidden="1" x14ac:dyDescent="0.2">
      <c r="F2283" s="50"/>
    </row>
    <row r="2284" spans="6:8" hidden="1" x14ac:dyDescent="0.2">
      <c r="F2284" s="50"/>
    </row>
    <row r="2285" spans="6:8" hidden="1" x14ac:dyDescent="0.2">
      <c r="F2285" s="50"/>
    </row>
    <row r="2286" spans="6:8" hidden="1" x14ac:dyDescent="0.2">
      <c r="F2286" s="50"/>
    </row>
    <row r="2287" spans="6:8" hidden="1" x14ac:dyDescent="0.2">
      <c r="F2287" s="50"/>
    </row>
    <row r="2288" spans="6:8" hidden="1" x14ac:dyDescent="0.2">
      <c r="F2288" s="50"/>
    </row>
    <row r="2289" spans="6:6" hidden="1" x14ac:dyDescent="0.2">
      <c r="F2289" s="50"/>
    </row>
    <row r="2290" spans="6:6" hidden="1" x14ac:dyDescent="0.2">
      <c r="F2290" s="50"/>
    </row>
    <row r="2291" spans="6:6" hidden="1" x14ac:dyDescent="0.2">
      <c r="F2291" s="50"/>
    </row>
    <row r="2292" spans="6:6" hidden="1" x14ac:dyDescent="0.2">
      <c r="F2292" s="50"/>
    </row>
    <row r="2293" spans="6:6" hidden="1" x14ac:dyDescent="0.2">
      <c r="F2293" s="50"/>
    </row>
    <row r="2294" spans="6:6" hidden="1" x14ac:dyDescent="0.2">
      <c r="F2294" s="50"/>
    </row>
    <row r="2295" spans="6:6" hidden="1" x14ac:dyDescent="0.2">
      <c r="F2295" s="50"/>
    </row>
    <row r="2296" spans="6:6" hidden="1" x14ac:dyDescent="0.2">
      <c r="F2296" s="50"/>
    </row>
    <row r="2297" spans="6:6" hidden="1" x14ac:dyDescent="0.2">
      <c r="F2297" s="50"/>
    </row>
    <row r="2298" spans="6:6" hidden="1" x14ac:dyDescent="0.2">
      <c r="F2298" s="50"/>
    </row>
    <row r="2299" spans="6:6" hidden="1" x14ac:dyDescent="0.2">
      <c r="F2299" s="50"/>
    </row>
    <row r="2300" spans="6:6" hidden="1" x14ac:dyDescent="0.2">
      <c r="F2300" s="50"/>
    </row>
    <row r="2301" spans="6:6" hidden="1" x14ac:dyDescent="0.2">
      <c r="F2301" s="50"/>
    </row>
    <row r="2302" spans="6:6" hidden="1" x14ac:dyDescent="0.2">
      <c r="F2302" s="50"/>
    </row>
    <row r="2303" spans="6:6" hidden="1" x14ac:dyDescent="0.2">
      <c r="F2303" s="50"/>
    </row>
    <row r="2304" spans="6:6" hidden="1" x14ac:dyDescent="0.2">
      <c r="F2304" s="50"/>
    </row>
    <row r="2305" spans="6:6" hidden="1" x14ac:dyDescent="0.2">
      <c r="F2305" s="50"/>
    </row>
    <row r="2306" spans="6:6" hidden="1" x14ac:dyDescent="0.2">
      <c r="F2306" s="50"/>
    </row>
    <row r="2307" spans="6:6" hidden="1" x14ac:dyDescent="0.2">
      <c r="F2307" s="50"/>
    </row>
    <row r="2308" spans="6:6" hidden="1" x14ac:dyDescent="0.2">
      <c r="F2308" s="50"/>
    </row>
    <row r="2309" spans="6:6" hidden="1" x14ac:dyDescent="0.2">
      <c r="F2309" s="50"/>
    </row>
    <row r="2310" spans="6:6" hidden="1" x14ac:dyDescent="0.2">
      <c r="F2310" s="50"/>
    </row>
    <row r="2311" spans="6:6" hidden="1" x14ac:dyDescent="0.2">
      <c r="F2311" s="50"/>
    </row>
    <row r="2312" spans="6:6" hidden="1" x14ac:dyDescent="0.2">
      <c r="F2312" s="50"/>
    </row>
    <row r="2313" spans="6:6" hidden="1" x14ac:dyDescent="0.2">
      <c r="F2313" s="50"/>
    </row>
    <row r="2314" spans="6:6" hidden="1" x14ac:dyDescent="0.2">
      <c r="F2314" s="50"/>
    </row>
    <row r="2315" spans="6:6" hidden="1" x14ac:dyDescent="0.2">
      <c r="F2315" s="50"/>
    </row>
    <row r="2316" spans="6:6" hidden="1" x14ac:dyDescent="0.2">
      <c r="F2316" s="50"/>
    </row>
    <row r="2317" spans="6:6" hidden="1" x14ac:dyDescent="0.2">
      <c r="F2317" s="50"/>
    </row>
    <row r="2318" spans="6:6" hidden="1" x14ac:dyDescent="0.2">
      <c r="F2318" s="50"/>
    </row>
    <row r="2319" spans="6:6" hidden="1" x14ac:dyDescent="0.2">
      <c r="F2319" s="50"/>
    </row>
    <row r="2320" spans="6:6" hidden="1" x14ac:dyDescent="0.2">
      <c r="F2320" s="50"/>
    </row>
    <row r="2321" spans="6:6" hidden="1" x14ac:dyDescent="0.2">
      <c r="F2321" s="50"/>
    </row>
    <row r="2322" spans="6:6" hidden="1" x14ac:dyDescent="0.2">
      <c r="F2322" s="50"/>
    </row>
    <row r="2323" spans="6:6" hidden="1" x14ac:dyDescent="0.2">
      <c r="F2323" s="50"/>
    </row>
    <row r="2324" spans="6:6" hidden="1" x14ac:dyDescent="0.2">
      <c r="F2324" s="50"/>
    </row>
    <row r="2325" spans="6:6" hidden="1" x14ac:dyDescent="0.2">
      <c r="F2325" s="50"/>
    </row>
    <row r="2326" spans="6:6" hidden="1" x14ac:dyDescent="0.2">
      <c r="F2326" s="50"/>
    </row>
    <row r="2327" spans="6:6" hidden="1" x14ac:dyDescent="0.2">
      <c r="F2327" s="50"/>
    </row>
    <row r="2328" spans="6:6" hidden="1" x14ac:dyDescent="0.2">
      <c r="F2328" s="50"/>
    </row>
    <row r="2329" spans="6:6" hidden="1" x14ac:dyDescent="0.2">
      <c r="F2329" s="50"/>
    </row>
    <row r="2330" spans="6:6" hidden="1" x14ac:dyDescent="0.2">
      <c r="F2330" s="50"/>
    </row>
    <row r="2331" spans="6:6" hidden="1" x14ac:dyDescent="0.2">
      <c r="F2331" s="50"/>
    </row>
    <row r="2332" spans="6:6" hidden="1" x14ac:dyDescent="0.2">
      <c r="F2332" s="50"/>
    </row>
    <row r="2333" spans="6:6" hidden="1" x14ac:dyDescent="0.2">
      <c r="F2333" s="50"/>
    </row>
    <row r="2334" spans="6:6" hidden="1" x14ac:dyDescent="0.2">
      <c r="F2334" s="50"/>
    </row>
    <row r="2335" spans="6:6" hidden="1" x14ac:dyDescent="0.2">
      <c r="F2335" s="50"/>
    </row>
    <row r="2336" spans="6:6" hidden="1" x14ac:dyDescent="0.2">
      <c r="F2336" s="50"/>
    </row>
    <row r="2337" spans="1:8" hidden="1" x14ac:dyDescent="0.2">
      <c r="F2337" s="50"/>
    </row>
    <row r="2338" spans="1:8" hidden="1" x14ac:dyDescent="0.2">
      <c r="F2338" s="50"/>
    </row>
    <row r="2339" spans="1:8" hidden="1" x14ac:dyDescent="0.2">
      <c r="F2339" s="50"/>
    </row>
    <row r="2340" spans="1:8" hidden="1" x14ac:dyDescent="0.2">
      <c r="F2340" s="50"/>
    </row>
    <row r="2341" spans="1:8" hidden="1" x14ac:dyDescent="0.2">
      <c r="F2341" s="50"/>
    </row>
    <row r="2342" spans="1:8" hidden="1" x14ac:dyDescent="0.2">
      <c r="F2342" s="50"/>
    </row>
    <row r="2343" spans="1:8" hidden="1" x14ac:dyDescent="0.2">
      <c r="F2343" s="50"/>
    </row>
    <row r="2344" spans="1:8" hidden="1" x14ac:dyDescent="0.2">
      <c r="F2344" s="50"/>
    </row>
    <row r="2345" spans="1:8" hidden="1" x14ac:dyDescent="0.2">
      <c r="F2345" s="50"/>
    </row>
    <row r="2346" spans="1:8" hidden="1" x14ac:dyDescent="0.2">
      <c r="A2346" s="55"/>
      <c r="C2346" s="55"/>
    </row>
    <row r="2347" spans="1:8" hidden="1" x14ac:dyDescent="0.2">
      <c r="F2347" s="50"/>
    </row>
    <row r="2348" spans="1:8" hidden="1" x14ac:dyDescent="0.2">
      <c r="F2348" s="50"/>
    </row>
    <row r="2349" spans="1:8" hidden="1" x14ac:dyDescent="0.2">
      <c r="F2349" s="50"/>
    </row>
    <row r="2350" spans="1:8" hidden="1" x14ac:dyDescent="0.2">
      <c r="F2350" s="50"/>
    </row>
    <row r="2351" spans="1:8" hidden="1" x14ac:dyDescent="0.2">
      <c r="F2351" s="50"/>
    </row>
    <row r="2352" spans="1:8" ht="15" hidden="1" x14ac:dyDescent="0.25">
      <c r="F2352" s="50"/>
      <c r="H2352" s="62"/>
    </row>
    <row r="2353" spans="6:6" hidden="1" x14ac:dyDescent="0.2">
      <c r="F2353" s="50"/>
    </row>
    <row r="2354" spans="6:6" hidden="1" x14ac:dyDescent="0.2">
      <c r="F2354" s="50"/>
    </row>
    <row r="2355" spans="6:6" hidden="1" x14ac:dyDescent="0.2">
      <c r="F2355" s="50"/>
    </row>
    <row r="2356" spans="6:6" hidden="1" x14ac:dyDescent="0.2">
      <c r="F2356" s="50"/>
    </row>
    <row r="2357" spans="6:6" hidden="1" x14ac:dyDescent="0.2">
      <c r="F2357" s="50"/>
    </row>
    <row r="2358" spans="6:6" hidden="1" x14ac:dyDescent="0.2">
      <c r="F2358" s="50"/>
    </row>
    <row r="2359" spans="6:6" hidden="1" x14ac:dyDescent="0.2">
      <c r="F2359" s="50"/>
    </row>
    <row r="2360" spans="6:6" hidden="1" x14ac:dyDescent="0.2">
      <c r="F2360" s="50"/>
    </row>
    <row r="2361" spans="6:6" hidden="1" x14ac:dyDescent="0.2">
      <c r="F2361" s="50"/>
    </row>
    <row r="2362" spans="6:6" hidden="1" x14ac:dyDescent="0.2">
      <c r="F2362" s="50"/>
    </row>
    <row r="2363" spans="6:6" hidden="1" x14ac:dyDescent="0.2">
      <c r="F2363" s="50"/>
    </row>
    <row r="2364" spans="6:6" hidden="1" x14ac:dyDescent="0.2">
      <c r="F2364" s="50"/>
    </row>
    <row r="2365" spans="6:6" hidden="1" x14ac:dyDescent="0.2">
      <c r="F2365" s="50"/>
    </row>
    <row r="2366" spans="6:6" hidden="1" x14ac:dyDescent="0.2">
      <c r="F2366" s="50"/>
    </row>
    <row r="2367" spans="6:6" hidden="1" x14ac:dyDescent="0.2">
      <c r="F2367" s="50"/>
    </row>
    <row r="2368" spans="6:6" hidden="1" x14ac:dyDescent="0.2">
      <c r="F2368" s="50"/>
    </row>
    <row r="2371" spans="2:6" hidden="1" x14ac:dyDescent="0.2">
      <c r="F2371" s="50"/>
    </row>
    <row r="2373" spans="2:6" hidden="1" x14ac:dyDescent="0.2">
      <c r="F2373" s="50"/>
    </row>
    <row r="2374" spans="2:6" ht="12" hidden="1" customHeight="1" x14ac:dyDescent="0.2">
      <c r="B2374" s="74"/>
    </row>
    <row r="2375" spans="2:6" hidden="1" x14ac:dyDescent="0.2">
      <c r="F2375" s="50"/>
    </row>
    <row r="2376" spans="2:6" hidden="1" x14ac:dyDescent="0.2">
      <c r="F2376" s="50"/>
    </row>
    <row r="2383" spans="2:6" hidden="1" x14ac:dyDescent="0.2">
      <c r="F2383" s="50"/>
    </row>
    <row r="2384" spans="2:6" hidden="1" x14ac:dyDescent="0.2">
      <c r="F2384" s="50"/>
    </row>
    <row r="2389" spans="6:8" hidden="1" x14ac:dyDescent="0.2">
      <c r="F2389" s="50"/>
    </row>
    <row r="2390" spans="6:8" hidden="1" x14ac:dyDescent="0.2">
      <c r="F2390" s="50"/>
    </row>
    <row r="2391" spans="6:8" hidden="1" x14ac:dyDescent="0.2">
      <c r="F2391" s="50"/>
    </row>
    <row r="2392" spans="6:8" hidden="1" x14ac:dyDescent="0.2">
      <c r="F2392" s="50"/>
    </row>
    <row r="2393" spans="6:8" ht="15" hidden="1" x14ac:dyDescent="0.25">
      <c r="F2393" s="50"/>
      <c r="H2393" s="62"/>
    </row>
    <row r="2394" spans="6:8" hidden="1" x14ac:dyDescent="0.2">
      <c r="F2394" s="50"/>
    </row>
    <row r="2395" spans="6:8" hidden="1" x14ac:dyDescent="0.2">
      <c r="F2395" s="50"/>
    </row>
    <row r="2396" spans="6:8" hidden="1" x14ac:dyDescent="0.2">
      <c r="F2396" s="50"/>
    </row>
    <row r="2397" spans="6:8" hidden="1" x14ac:dyDescent="0.2">
      <c r="F2397" s="50"/>
    </row>
    <row r="2398" spans="6:8" hidden="1" x14ac:dyDescent="0.2">
      <c r="F2398" s="50"/>
    </row>
    <row r="2399" spans="6:8" hidden="1" x14ac:dyDescent="0.2">
      <c r="F2399" s="50"/>
    </row>
    <row r="2400" spans="6:8" hidden="1" x14ac:dyDescent="0.2">
      <c r="F2400" s="50"/>
    </row>
    <row r="2401" spans="6:6" hidden="1" x14ac:dyDescent="0.2">
      <c r="F2401" s="50"/>
    </row>
    <row r="2402" spans="6:6" hidden="1" x14ac:dyDescent="0.2">
      <c r="F2402" s="50"/>
    </row>
    <row r="2403" spans="6:6" hidden="1" x14ac:dyDescent="0.2">
      <c r="F2403" s="50"/>
    </row>
    <row r="2404" spans="6:6" hidden="1" x14ac:dyDescent="0.2">
      <c r="F2404" s="50"/>
    </row>
    <row r="2405" spans="6:6" hidden="1" x14ac:dyDescent="0.2">
      <c r="F2405" s="50"/>
    </row>
    <row r="2406" spans="6:6" hidden="1" x14ac:dyDescent="0.2">
      <c r="F2406" s="50"/>
    </row>
    <row r="2407" spans="6:6" hidden="1" x14ac:dyDescent="0.2">
      <c r="F2407" s="50"/>
    </row>
    <row r="2408" spans="6:6" hidden="1" x14ac:dyDescent="0.2">
      <c r="F2408" s="50"/>
    </row>
    <row r="2409" spans="6:6" hidden="1" x14ac:dyDescent="0.2">
      <c r="F2409" s="50"/>
    </row>
    <row r="2410" spans="6:6" hidden="1" x14ac:dyDescent="0.2">
      <c r="F2410" s="50"/>
    </row>
    <row r="2411" spans="6:6" hidden="1" x14ac:dyDescent="0.2">
      <c r="F2411" s="50"/>
    </row>
    <row r="2412" spans="6:6" hidden="1" x14ac:dyDescent="0.2">
      <c r="F2412" s="50"/>
    </row>
    <row r="2413" spans="6:6" hidden="1" x14ac:dyDescent="0.2">
      <c r="F2413" s="50"/>
    </row>
    <row r="2414" spans="6:6" hidden="1" x14ac:dyDescent="0.2">
      <c r="F2414" s="50"/>
    </row>
    <row r="2415" spans="6:6" hidden="1" x14ac:dyDescent="0.2">
      <c r="F2415" s="50"/>
    </row>
    <row r="2416" spans="6:6" hidden="1" x14ac:dyDescent="0.2">
      <c r="F2416" s="50"/>
    </row>
    <row r="2417" spans="6:6" hidden="1" x14ac:dyDescent="0.2">
      <c r="F2417" s="50"/>
    </row>
    <row r="2418" spans="6:6" hidden="1" x14ac:dyDescent="0.2">
      <c r="F2418" s="50"/>
    </row>
    <row r="2419" spans="6:6" hidden="1" x14ac:dyDescent="0.2">
      <c r="F2419" s="50"/>
    </row>
    <row r="2420" spans="6:6" hidden="1" x14ac:dyDescent="0.2">
      <c r="F2420" s="50"/>
    </row>
    <row r="2421" spans="6:6" hidden="1" x14ac:dyDescent="0.2">
      <c r="F2421" s="50"/>
    </row>
    <row r="2422" spans="6:6" hidden="1" x14ac:dyDescent="0.2">
      <c r="F2422" s="50"/>
    </row>
    <row r="2424" spans="6:6" hidden="1" x14ac:dyDescent="0.2">
      <c r="F2424" s="50"/>
    </row>
    <row r="2425" spans="6:6" hidden="1" x14ac:dyDescent="0.2">
      <c r="F2425" s="50"/>
    </row>
    <row r="2426" spans="6:6" hidden="1" x14ac:dyDescent="0.2">
      <c r="F2426" s="50"/>
    </row>
    <row r="2427" spans="6:6" hidden="1" x14ac:dyDescent="0.2">
      <c r="F2427" s="50"/>
    </row>
    <row r="2428" spans="6:6" hidden="1" x14ac:dyDescent="0.2">
      <c r="F2428" s="50"/>
    </row>
    <row r="2429" spans="6:6" hidden="1" x14ac:dyDescent="0.2">
      <c r="F2429" s="50"/>
    </row>
    <row r="2430" spans="6:6" hidden="1" x14ac:dyDescent="0.2">
      <c r="F2430" s="50"/>
    </row>
    <row r="2431" spans="6:6" hidden="1" x14ac:dyDescent="0.2">
      <c r="F2431" s="50"/>
    </row>
    <row r="2432" spans="6:6" hidden="1" x14ac:dyDescent="0.2">
      <c r="F2432" s="50"/>
    </row>
    <row r="2433" spans="6:6" hidden="1" x14ac:dyDescent="0.2">
      <c r="F2433" s="50"/>
    </row>
    <row r="2434" spans="6:6" hidden="1" x14ac:dyDescent="0.2">
      <c r="F2434" s="50"/>
    </row>
    <row r="2435" spans="6:6" hidden="1" x14ac:dyDescent="0.2">
      <c r="F2435" s="50"/>
    </row>
    <row r="2436" spans="6:6" hidden="1" x14ac:dyDescent="0.2">
      <c r="F2436" s="50"/>
    </row>
    <row r="2437" spans="6:6" hidden="1" x14ac:dyDescent="0.2">
      <c r="F2437" s="50"/>
    </row>
    <row r="2438" spans="6:6" hidden="1" x14ac:dyDescent="0.2">
      <c r="F2438" s="50"/>
    </row>
    <row r="2439" spans="6:6" hidden="1" x14ac:dyDescent="0.2">
      <c r="F2439" s="50"/>
    </row>
    <row r="2440" spans="6:6" hidden="1" x14ac:dyDescent="0.2">
      <c r="F2440" s="50"/>
    </row>
    <row r="2441" spans="6:6" hidden="1" x14ac:dyDescent="0.2">
      <c r="F2441" s="50"/>
    </row>
    <row r="2442" spans="6:6" hidden="1" x14ac:dyDescent="0.2">
      <c r="F2442" s="50"/>
    </row>
    <row r="2443" spans="6:6" hidden="1" x14ac:dyDescent="0.2">
      <c r="F2443" s="50"/>
    </row>
    <row r="2444" spans="6:6" hidden="1" x14ac:dyDescent="0.2">
      <c r="F2444" s="50"/>
    </row>
    <row r="2445" spans="6:6" hidden="1" x14ac:dyDescent="0.2">
      <c r="F2445" s="50"/>
    </row>
    <row r="2446" spans="6:6" hidden="1" x14ac:dyDescent="0.2">
      <c r="F2446" s="50"/>
    </row>
    <row r="2447" spans="6:6" hidden="1" x14ac:dyDescent="0.2">
      <c r="F2447" s="50"/>
    </row>
    <row r="2448" spans="6:6" hidden="1" x14ac:dyDescent="0.2">
      <c r="F2448" s="50"/>
    </row>
    <row r="2449" spans="6:6" hidden="1" x14ac:dyDescent="0.2">
      <c r="F2449" s="50"/>
    </row>
    <row r="2450" spans="6:6" hidden="1" x14ac:dyDescent="0.2">
      <c r="F2450" s="50"/>
    </row>
    <row r="2451" spans="6:6" hidden="1" x14ac:dyDescent="0.2">
      <c r="F2451" s="50"/>
    </row>
    <row r="2452" spans="6:6" hidden="1" x14ac:dyDescent="0.2">
      <c r="F2452" s="50"/>
    </row>
    <row r="2453" spans="6:6" hidden="1" x14ac:dyDescent="0.2">
      <c r="F2453" s="50"/>
    </row>
    <row r="2454" spans="6:6" hidden="1" x14ac:dyDescent="0.2">
      <c r="F2454" s="50"/>
    </row>
    <row r="2456" spans="6:6" hidden="1" x14ac:dyDescent="0.2">
      <c r="F2456" s="50"/>
    </row>
    <row r="2457" spans="6:6" hidden="1" x14ac:dyDescent="0.2">
      <c r="F2457" s="50"/>
    </row>
    <row r="2458" spans="6:6" hidden="1" x14ac:dyDescent="0.2">
      <c r="F2458" s="50"/>
    </row>
    <row r="2459" spans="6:6" hidden="1" x14ac:dyDescent="0.2">
      <c r="F2459" s="50"/>
    </row>
    <row r="2460" spans="6:6" hidden="1" x14ac:dyDescent="0.2">
      <c r="F2460" s="50"/>
    </row>
    <row r="2461" spans="6:6" hidden="1" x14ac:dyDescent="0.2">
      <c r="F2461" s="50"/>
    </row>
    <row r="2462" spans="6:6" hidden="1" x14ac:dyDescent="0.2">
      <c r="F2462" s="50"/>
    </row>
    <row r="2463" spans="6:6" hidden="1" x14ac:dyDescent="0.2">
      <c r="F2463" s="50"/>
    </row>
    <row r="2464" spans="6:6" hidden="1" x14ac:dyDescent="0.2">
      <c r="F2464" s="50"/>
    </row>
    <row r="2465" spans="6:6" hidden="1" x14ac:dyDescent="0.2">
      <c r="F2465" s="50"/>
    </row>
    <row r="2466" spans="6:6" hidden="1" x14ac:dyDescent="0.2">
      <c r="F2466" s="50"/>
    </row>
    <row r="2467" spans="6:6" hidden="1" x14ac:dyDescent="0.2">
      <c r="F2467" s="50"/>
    </row>
    <row r="2468" spans="6:6" hidden="1" x14ac:dyDescent="0.2">
      <c r="F2468" s="50"/>
    </row>
    <row r="2469" spans="6:6" hidden="1" x14ac:dyDescent="0.2">
      <c r="F2469" s="50"/>
    </row>
    <row r="2470" spans="6:6" hidden="1" x14ac:dyDescent="0.2">
      <c r="F2470" s="50"/>
    </row>
    <row r="2471" spans="6:6" hidden="1" x14ac:dyDescent="0.2">
      <c r="F2471" s="50"/>
    </row>
    <row r="2472" spans="6:6" hidden="1" x14ac:dyDescent="0.2">
      <c r="F2472" s="50"/>
    </row>
    <row r="2473" spans="6:6" hidden="1" x14ac:dyDescent="0.2">
      <c r="F2473" s="50"/>
    </row>
    <row r="2474" spans="6:6" hidden="1" x14ac:dyDescent="0.2">
      <c r="F2474" s="50"/>
    </row>
    <row r="2475" spans="6:6" hidden="1" x14ac:dyDescent="0.2">
      <c r="F2475" s="50"/>
    </row>
    <row r="2476" spans="6:6" hidden="1" x14ac:dyDescent="0.2">
      <c r="F2476" s="50"/>
    </row>
    <row r="2477" spans="6:6" hidden="1" x14ac:dyDescent="0.2">
      <c r="F2477" s="50"/>
    </row>
    <row r="2478" spans="6:6" hidden="1" x14ac:dyDescent="0.2">
      <c r="F2478" s="50"/>
    </row>
    <row r="2479" spans="6:6" hidden="1" x14ac:dyDescent="0.2">
      <c r="F2479" s="50"/>
    </row>
    <row r="2480" spans="6:6" hidden="1" x14ac:dyDescent="0.2">
      <c r="F2480" s="50"/>
    </row>
    <row r="2481" spans="6:6" hidden="1" x14ac:dyDescent="0.2">
      <c r="F2481" s="50"/>
    </row>
    <row r="2482" spans="6:6" hidden="1" x14ac:dyDescent="0.2">
      <c r="F2482" s="50"/>
    </row>
    <row r="2483" spans="6:6" hidden="1" x14ac:dyDescent="0.2">
      <c r="F2483" s="50"/>
    </row>
    <row r="2484" spans="6:6" hidden="1" x14ac:dyDescent="0.2">
      <c r="F2484" s="50"/>
    </row>
    <row r="2485" spans="6:6" hidden="1" x14ac:dyDescent="0.2">
      <c r="F2485" s="50"/>
    </row>
    <row r="2486" spans="6:6" hidden="1" x14ac:dyDescent="0.2">
      <c r="F2486" s="50"/>
    </row>
    <row r="2487" spans="6:6" hidden="1" x14ac:dyDescent="0.2">
      <c r="F2487" s="50"/>
    </row>
    <row r="2488" spans="6:6" hidden="1" x14ac:dyDescent="0.2">
      <c r="F2488" s="50"/>
    </row>
    <row r="2489" spans="6:6" hidden="1" x14ac:dyDescent="0.2">
      <c r="F2489" s="50"/>
    </row>
    <row r="2490" spans="6:6" hidden="1" x14ac:dyDescent="0.2">
      <c r="F2490" s="50"/>
    </row>
    <row r="2491" spans="6:6" hidden="1" x14ac:dyDescent="0.2">
      <c r="F2491" s="50"/>
    </row>
    <row r="2492" spans="6:6" hidden="1" x14ac:dyDescent="0.2">
      <c r="F2492" s="50"/>
    </row>
    <row r="2493" spans="6:6" hidden="1" x14ac:dyDescent="0.2">
      <c r="F2493" s="50"/>
    </row>
    <row r="2494" spans="6:6" hidden="1" x14ac:dyDescent="0.2">
      <c r="F2494" s="50"/>
    </row>
    <row r="2495" spans="6:6" hidden="1" x14ac:dyDescent="0.2">
      <c r="F2495" s="50"/>
    </row>
    <row r="2496" spans="6:6" hidden="1" x14ac:dyDescent="0.2">
      <c r="F2496" s="50"/>
    </row>
    <row r="2497" spans="6:6" hidden="1" x14ac:dyDescent="0.2">
      <c r="F2497" s="50"/>
    </row>
    <row r="2498" spans="6:6" hidden="1" x14ac:dyDescent="0.2">
      <c r="F2498" s="50"/>
    </row>
    <row r="2499" spans="6:6" hidden="1" x14ac:dyDescent="0.2">
      <c r="F2499" s="50"/>
    </row>
    <row r="2500" spans="6:6" hidden="1" x14ac:dyDescent="0.2">
      <c r="F2500" s="50"/>
    </row>
    <row r="2501" spans="6:6" hidden="1" x14ac:dyDescent="0.2">
      <c r="F2501" s="50"/>
    </row>
    <row r="2502" spans="6:6" hidden="1" x14ac:dyDescent="0.2">
      <c r="F2502" s="50"/>
    </row>
    <row r="2503" spans="6:6" hidden="1" x14ac:dyDescent="0.2">
      <c r="F2503" s="50"/>
    </row>
    <row r="2504" spans="6:6" hidden="1" x14ac:dyDescent="0.2">
      <c r="F2504" s="50"/>
    </row>
    <row r="2505" spans="6:6" hidden="1" x14ac:dyDescent="0.2">
      <c r="F2505" s="50"/>
    </row>
    <row r="2506" spans="6:6" hidden="1" x14ac:dyDescent="0.2">
      <c r="F2506" s="50"/>
    </row>
    <row r="2507" spans="6:6" hidden="1" x14ac:dyDescent="0.2">
      <c r="F2507" s="50"/>
    </row>
    <row r="2508" spans="6:6" hidden="1" x14ac:dyDescent="0.2">
      <c r="F2508" s="50"/>
    </row>
    <row r="2509" spans="6:6" hidden="1" x14ac:dyDescent="0.2">
      <c r="F2509" s="50"/>
    </row>
    <row r="2510" spans="6:6" hidden="1" x14ac:dyDescent="0.2">
      <c r="F2510" s="50"/>
    </row>
    <row r="2511" spans="6:6" hidden="1" x14ac:dyDescent="0.2">
      <c r="F2511" s="50"/>
    </row>
    <row r="2512" spans="6:6" hidden="1" x14ac:dyDescent="0.2">
      <c r="F2512" s="50"/>
    </row>
    <row r="2513" spans="1:6" hidden="1" x14ac:dyDescent="0.2">
      <c r="F2513" s="50"/>
    </row>
    <row r="2514" spans="1:6" hidden="1" x14ac:dyDescent="0.2">
      <c r="F2514" s="50"/>
    </row>
    <row r="2515" spans="1:6" hidden="1" x14ac:dyDescent="0.2">
      <c r="F2515" s="50"/>
    </row>
    <row r="2516" spans="1:6" hidden="1" x14ac:dyDescent="0.2">
      <c r="F2516" s="50"/>
    </row>
    <row r="2517" spans="1:6" hidden="1" x14ac:dyDescent="0.2">
      <c r="F2517" s="50"/>
    </row>
    <row r="2518" spans="1:6" hidden="1" x14ac:dyDescent="0.2">
      <c r="F2518" s="50"/>
    </row>
    <row r="2519" spans="1:6" hidden="1" x14ac:dyDescent="0.2">
      <c r="A2519" s="66"/>
      <c r="C2519" s="66"/>
    </row>
    <row r="2520" spans="1:6" hidden="1" x14ac:dyDescent="0.2">
      <c r="A2520" s="66"/>
      <c r="C2520" s="66"/>
    </row>
    <row r="2521" spans="1:6" hidden="1" x14ac:dyDescent="0.2">
      <c r="A2521" s="66"/>
      <c r="C2521" s="66"/>
    </row>
    <row r="2522" spans="1:6" hidden="1" x14ac:dyDescent="0.2">
      <c r="A2522" s="66"/>
      <c r="C2522" s="66"/>
    </row>
    <row r="2523" spans="1:6" hidden="1" x14ac:dyDescent="0.2">
      <c r="A2523" s="66"/>
      <c r="C2523" s="66"/>
    </row>
    <row r="2524" spans="1:6" hidden="1" x14ac:dyDescent="0.2">
      <c r="A2524" s="66"/>
      <c r="C2524" s="66"/>
    </row>
    <row r="2525" spans="1:6" hidden="1" x14ac:dyDescent="0.2">
      <c r="A2525" s="66"/>
      <c r="C2525" s="66"/>
    </row>
    <row r="2526" spans="1:6" hidden="1" x14ac:dyDescent="0.2">
      <c r="A2526" s="66"/>
      <c r="C2526" s="66"/>
    </row>
    <row r="2527" spans="1:6" hidden="1" x14ac:dyDescent="0.2">
      <c r="A2527" s="66"/>
      <c r="C2527" s="66"/>
    </row>
    <row r="2528" spans="1:6" hidden="1" x14ac:dyDescent="0.2">
      <c r="A2528" s="66"/>
      <c r="C2528" s="66"/>
    </row>
    <row r="2529" spans="1:7" hidden="1" x14ac:dyDescent="0.2">
      <c r="A2529" s="66"/>
      <c r="C2529" s="66"/>
    </row>
    <row r="2530" spans="1:7" hidden="1" x14ac:dyDescent="0.2">
      <c r="A2530" s="66"/>
      <c r="C2530" s="66"/>
    </row>
    <row r="2531" spans="1:7" hidden="1" x14ac:dyDescent="0.2">
      <c r="A2531" s="66"/>
      <c r="C2531" s="66"/>
    </row>
    <row r="2532" spans="1:7" hidden="1" x14ac:dyDescent="0.2">
      <c r="A2532" s="66"/>
      <c r="C2532" s="66"/>
      <c r="F2532" s="50"/>
      <c r="G2532" s="50"/>
    </row>
    <row r="2533" spans="1:7" hidden="1" x14ac:dyDescent="0.2">
      <c r="A2533" s="66"/>
      <c r="C2533" s="66"/>
      <c r="F2533" s="50"/>
      <c r="G2533" s="50"/>
    </row>
    <row r="2534" spans="1:7" hidden="1" x14ac:dyDescent="0.2">
      <c r="A2534" s="66"/>
      <c r="C2534" s="66"/>
    </row>
    <row r="2535" spans="1:7" hidden="1" x14ac:dyDescent="0.2">
      <c r="A2535" s="66"/>
      <c r="C2535" s="66"/>
    </row>
    <row r="2536" spans="1:7" hidden="1" x14ac:dyDescent="0.2">
      <c r="A2536" s="66"/>
      <c r="C2536" s="66"/>
    </row>
    <row r="2537" spans="1:7" hidden="1" x14ac:dyDescent="0.2">
      <c r="A2537" s="66"/>
      <c r="C2537" s="66"/>
    </row>
    <row r="2538" spans="1:7" hidden="1" x14ac:dyDescent="0.2">
      <c r="A2538" s="66"/>
      <c r="C2538" s="66"/>
    </row>
    <row r="2539" spans="1:7" hidden="1" x14ac:dyDescent="0.2">
      <c r="A2539" s="66"/>
      <c r="C2539" s="66"/>
    </row>
    <row r="2540" spans="1:7" hidden="1" x14ac:dyDescent="0.2">
      <c r="A2540" s="66"/>
      <c r="C2540" s="66"/>
    </row>
    <row r="2541" spans="1:7" hidden="1" x14ac:dyDescent="0.2">
      <c r="A2541" s="66"/>
      <c r="C2541" s="66"/>
    </row>
    <row r="2542" spans="1:7" hidden="1" x14ac:dyDescent="0.2">
      <c r="A2542" s="66"/>
      <c r="C2542" s="66"/>
    </row>
    <row r="2543" spans="1:7" hidden="1" x14ac:dyDescent="0.2">
      <c r="A2543" s="66"/>
      <c r="C2543" s="66"/>
    </row>
    <row r="2544" spans="1:7" hidden="1" x14ac:dyDescent="0.2">
      <c r="A2544" s="66"/>
      <c r="C2544" s="66"/>
    </row>
    <row r="2545" spans="1:3" hidden="1" x14ac:dyDescent="0.2">
      <c r="A2545" s="66"/>
      <c r="C2545" s="66"/>
    </row>
    <row r="2546" spans="1:3" hidden="1" x14ac:dyDescent="0.2">
      <c r="A2546" s="66"/>
      <c r="C2546" s="66"/>
    </row>
    <row r="2547" spans="1:3" hidden="1" x14ac:dyDescent="0.2">
      <c r="A2547" s="66"/>
      <c r="C2547" s="66"/>
    </row>
    <row r="2548" spans="1:3" hidden="1" x14ac:dyDescent="0.2">
      <c r="A2548" s="66"/>
      <c r="C2548" s="66"/>
    </row>
    <row r="2549" spans="1:3" hidden="1" x14ac:dyDescent="0.2">
      <c r="A2549" s="66"/>
      <c r="C2549" s="66"/>
    </row>
    <row r="2550" spans="1:3" hidden="1" x14ac:dyDescent="0.2">
      <c r="A2550" s="66"/>
      <c r="C2550" s="66"/>
    </row>
    <row r="2551" spans="1:3" hidden="1" x14ac:dyDescent="0.2">
      <c r="A2551" s="66"/>
      <c r="C2551" s="66"/>
    </row>
    <row r="2552" spans="1:3" hidden="1" x14ac:dyDescent="0.2">
      <c r="A2552" s="66"/>
      <c r="C2552" s="66"/>
    </row>
    <row r="2553" spans="1:3" hidden="1" x14ac:dyDescent="0.2">
      <c r="A2553" s="66"/>
      <c r="C2553" s="66"/>
    </row>
    <row r="2554" spans="1:3" hidden="1" x14ac:dyDescent="0.2">
      <c r="A2554" s="66"/>
      <c r="C2554" s="66"/>
    </row>
    <row r="2555" spans="1:3" hidden="1" x14ac:dyDescent="0.2">
      <c r="A2555" s="66"/>
      <c r="C2555" s="66"/>
    </row>
    <row r="2556" spans="1:3" hidden="1" x14ac:dyDescent="0.2">
      <c r="A2556" s="66"/>
      <c r="C2556" s="66"/>
    </row>
    <row r="2557" spans="1:3" hidden="1" x14ac:dyDescent="0.2">
      <c r="A2557" s="66"/>
      <c r="C2557" s="66"/>
    </row>
    <row r="2558" spans="1:3" hidden="1" x14ac:dyDescent="0.2">
      <c r="A2558" s="66"/>
      <c r="C2558" s="66"/>
    </row>
    <row r="2559" spans="1:3" hidden="1" x14ac:dyDescent="0.2">
      <c r="A2559" s="66"/>
      <c r="C2559" s="66"/>
    </row>
    <row r="2560" spans="1:3" hidden="1" x14ac:dyDescent="0.2">
      <c r="A2560" s="66"/>
      <c r="C2560" s="66"/>
    </row>
    <row r="2561" spans="1:6" hidden="1" x14ac:dyDescent="0.2">
      <c r="A2561" s="66"/>
      <c r="C2561" s="66"/>
    </row>
    <row r="2562" spans="1:6" hidden="1" x14ac:dyDescent="0.2">
      <c r="F2562" s="50"/>
    </row>
    <row r="2563" spans="1:6" hidden="1" x14ac:dyDescent="0.2">
      <c r="F2563" s="50"/>
    </row>
    <row r="2564" spans="1:6" hidden="1" x14ac:dyDescent="0.2">
      <c r="F2564" s="50"/>
    </row>
    <row r="2565" spans="1:6" hidden="1" x14ac:dyDescent="0.2">
      <c r="F2565" s="50"/>
    </row>
    <row r="2566" spans="1:6" hidden="1" x14ac:dyDescent="0.2">
      <c r="F2566" s="50"/>
    </row>
    <row r="2567" spans="1:6" hidden="1" x14ac:dyDescent="0.2">
      <c r="F2567" s="50"/>
    </row>
    <row r="2568" spans="1:6" hidden="1" x14ac:dyDescent="0.2">
      <c r="F2568" s="50"/>
    </row>
    <row r="2569" spans="1:6" hidden="1" x14ac:dyDescent="0.2">
      <c r="F2569" s="50"/>
    </row>
    <row r="2570" spans="1:6" hidden="1" x14ac:dyDescent="0.2">
      <c r="F2570" s="50"/>
    </row>
    <row r="2571" spans="1:6" hidden="1" x14ac:dyDescent="0.2">
      <c r="F2571" s="50"/>
    </row>
    <row r="2572" spans="1:6" hidden="1" x14ac:dyDescent="0.2">
      <c r="F2572" s="50"/>
    </row>
    <row r="2573" spans="1:6" hidden="1" x14ac:dyDescent="0.2">
      <c r="F2573" s="50"/>
    </row>
    <row r="2574" spans="1:6" hidden="1" x14ac:dyDescent="0.2">
      <c r="F2574" s="50"/>
    </row>
    <row r="2575" spans="1:6" hidden="1" x14ac:dyDescent="0.2">
      <c r="F2575" s="50"/>
    </row>
    <row r="2576" spans="1:6" hidden="1" x14ac:dyDescent="0.2">
      <c r="F2576" s="50"/>
    </row>
    <row r="2577" spans="1:6" hidden="1" x14ac:dyDescent="0.2">
      <c r="F2577" s="50"/>
    </row>
    <row r="2578" spans="1:6" hidden="1" x14ac:dyDescent="0.2">
      <c r="F2578" s="50"/>
    </row>
    <row r="2579" spans="1:6" hidden="1" x14ac:dyDescent="0.2">
      <c r="F2579" s="50"/>
    </row>
    <row r="2580" spans="1:6" hidden="1" x14ac:dyDescent="0.2">
      <c r="F2580" s="50"/>
    </row>
    <row r="2581" spans="1:6" hidden="1" x14ac:dyDescent="0.2">
      <c r="F2581" s="50"/>
    </row>
    <row r="2582" spans="1:6" hidden="1" x14ac:dyDescent="0.2">
      <c r="F2582" s="50"/>
    </row>
    <row r="2583" spans="1:6" hidden="1" x14ac:dyDescent="0.2">
      <c r="F2583" s="50"/>
    </row>
    <row r="2584" spans="1:6" hidden="1" x14ac:dyDescent="0.2">
      <c r="F2584" s="50"/>
    </row>
    <row r="2585" spans="1:6" hidden="1" x14ac:dyDescent="0.2">
      <c r="F2585" s="50"/>
    </row>
    <row r="2586" spans="1:6" hidden="1" x14ac:dyDescent="0.2">
      <c r="F2586" s="50"/>
    </row>
    <row r="2587" spans="1:6" hidden="1" x14ac:dyDescent="0.2">
      <c r="F2587" s="50"/>
    </row>
    <row r="2588" spans="1:6" hidden="1" x14ac:dyDescent="0.2">
      <c r="F2588" s="50"/>
    </row>
    <row r="2589" spans="1:6" hidden="1" x14ac:dyDescent="0.2">
      <c r="F2589" s="50"/>
    </row>
    <row r="2590" spans="1:6" hidden="1" x14ac:dyDescent="0.2">
      <c r="F2590" s="50"/>
    </row>
    <row r="2591" spans="1:6" hidden="1" x14ac:dyDescent="0.2">
      <c r="F2591" s="50"/>
    </row>
    <row r="2592" spans="1:6" hidden="1" x14ac:dyDescent="0.2">
      <c r="A2592" s="66"/>
      <c r="C2592" s="66"/>
    </row>
    <row r="2593" spans="6:6" hidden="1" x14ac:dyDescent="0.2">
      <c r="F2593" s="50"/>
    </row>
    <row r="2594" spans="6:6" hidden="1" x14ac:dyDescent="0.2">
      <c r="F2594" s="50"/>
    </row>
    <row r="2595" spans="6:6" hidden="1" x14ac:dyDescent="0.2">
      <c r="F2595" s="50"/>
    </row>
    <row r="2596" spans="6:6" hidden="1" x14ac:dyDescent="0.2">
      <c r="F2596" s="50"/>
    </row>
    <row r="2597" spans="6:6" hidden="1" x14ac:dyDescent="0.2">
      <c r="F2597" s="50"/>
    </row>
    <row r="2598" spans="6:6" hidden="1" x14ac:dyDescent="0.2">
      <c r="F2598" s="50"/>
    </row>
    <row r="2599" spans="6:6" hidden="1" x14ac:dyDescent="0.2">
      <c r="F2599" s="50"/>
    </row>
    <row r="2600" spans="6:6" hidden="1" x14ac:dyDescent="0.2">
      <c r="F2600" s="50"/>
    </row>
    <row r="2601" spans="6:6" hidden="1" x14ac:dyDescent="0.2">
      <c r="F2601" s="50"/>
    </row>
    <row r="2602" spans="6:6" hidden="1" x14ac:dyDescent="0.2">
      <c r="F2602" s="50"/>
    </row>
    <row r="2603" spans="6:6" hidden="1" x14ac:dyDescent="0.2">
      <c r="F2603" s="50"/>
    </row>
    <row r="2604" spans="6:6" hidden="1" x14ac:dyDescent="0.2">
      <c r="F2604" s="50"/>
    </row>
    <row r="2605" spans="6:6" hidden="1" x14ac:dyDescent="0.2">
      <c r="F2605" s="50"/>
    </row>
    <row r="2606" spans="6:6" hidden="1" x14ac:dyDescent="0.2">
      <c r="F2606" s="50"/>
    </row>
    <row r="2607" spans="6:6" hidden="1" x14ac:dyDescent="0.2">
      <c r="F2607" s="50"/>
    </row>
    <row r="2608" spans="6:6" hidden="1" x14ac:dyDescent="0.2">
      <c r="F2608" s="50"/>
    </row>
    <row r="2609" spans="6:8" hidden="1" x14ac:dyDescent="0.2">
      <c r="F2609" s="50"/>
    </row>
    <row r="2610" spans="6:8" hidden="1" x14ac:dyDescent="0.2">
      <c r="F2610" s="50"/>
    </row>
    <row r="2611" spans="6:8" hidden="1" x14ac:dyDescent="0.2">
      <c r="F2611" s="50"/>
    </row>
    <row r="2612" spans="6:8" ht="15" hidden="1" x14ac:dyDescent="0.25">
      <c r="F2612" s="50"/>
      <c r="H2612" s="62"/>
    </row>
    <row r="2613" spans="6:8" hidden="1" x14ac:dyDescent="0.2">
      <c r="F2613" s="50"/>
    </row>
    <row r="2614" spans="6:8" hidden="1" x14ac:dyDescent="0.2">
      <c r="F2614" s="50"/>
    </row>
    <row r="2615" spans="6:8" hidden="1" x14ac:dyDescent="0.2">
      <c r="F2615" s="50"/>
    </row>
    <row r="2616" spans="6:8" hidden="1" x14ac:dyDescent="0.2">
      <c r="F2616" s="50"/>
    </row>
    <row r="2617" spans="6:8" hidden="1" x14ac:dyDescent="0.2">
      <c r="F2617" s="50"/>
    </row>
    <row r="2618" spans="6:8" hidden="1" x14ac:dyDescent="0.2">
      <c r="F2618" s="50"/>
    </row>
    <row r="2619" spans="6:8" hidden="1" x14ac:dyDescent="0.2">
      <c r="F2619" s="50"/>
    </row>
    <row r="2620" spans="6:8" hidden="1" x14ac:dyDescent="0.2">
      <c r="F2620" s="50"/>
    </row>
    <row r="2621" spans="6:8" hidden="1" x14ac:dyDescent="0.2">
      <c r="F2621" s="50"/>
    </row>
    <row r="2622" spans="6:8" hidden="1" x14ac:dyDescent="0.2">
      <c r="F2622" s="50"/>
    </row>
    <row r="2623" spans="6:8" hidden="1" x14ac:dyDescent="0.2">
      <c r="F2623" s="50"/>
    </row>
    <row r="2625" spans="6:6" hidden="1" x14ac:dyDescent="0.2">
      <c r="F2625" s="50"/>
    </row>
    <row r="2626" spans="6:6" hidden="1" x14ac:dyDescent="0.2">
      <c r="F2626" s="50"/>
    </row>
    <row r="2627" spans="6:6" hidden="1" x14ac:dyDescent="0.2">
      <c r="F2627" s="50"/>
    </row>
    <row r="2628" spans="6:6" hidden="1" x14ac:dyDescent="0.2">
      <c r="F2628" s="50"/>
    </row>
    <row r="2629" spans="6:6" hidden="1" x14ac:dyDescent="0.2">
      <c r="F2629" s="50"/>
    </row>
    <row r="2630" spans="6:6" hidden="1" x14ac:dyDescent="0.2">
      <c r="F2630" s="50"/>
    </row>
    <row r="2631" spans="6:6" hidden="1" x14ac:dyDescent="0.2">
      <c r="F2631" s="50"/>
    </row>
    <row r="2632" spans="6:6" hidden="1" x14ac:dyDescent="0.2">
      <c r="F2632" s="50"/>
    </row>
    <row r="2633" spans="6:6" hidden="1" x14ac:dyDescent="0.2">
      <c r="F2633" s="50"/>
    </row>
    <row r="2634" spans="6:6" hidden="1" x14ac:dyDescent="0.2">
      <c r="F2634" s="50"/>
    </row>
    <row r="2635" spans="6:6" hidden="1" x14ac:dyDescent="0.2">
      <c r="F2635" s="50"/>
    </row>
    <row r="2636" spans="6:6" hidden="1" x14ac:dyDescent="0.2">
      <c r="F2636" s="50"/>
    </row>
    <row r="2637" spans="6:6" hidden="1" x14ac:dyDescent="0.2">
      <c r="F2637" s="50"/>
    </row>
    <row r="2638" spans="6:6" hidden="1" x14ac:dyDescent="0.2">
      <c r="F2638" s="50"/>
    </row>
    <row r="2639" spans="6:6" hidden="1" x14ac:dyDescent="0.2">
      <c r="F2639" s="50"/>
    </row>
    <row r="2640" spans="6:6" hidden="1" x14ac:dyDescent="0.2">
      <c r="F2640" s="50"/>
    </row>
    <row r="2641" spans="6:6" hidden="1" x14ac:dyDescent="0.2">
      <c r="F2641" s="50"/>
    </row>
    <row r="2642" spans="6:6" hidden="1" x14ac:dyDescent="0.2">
      <c r="F2642" s="50"/>
    </row>
    <row r="2643" spans="6:6" hidden="1" x14ac:dyDescent="0.2">
      <c r="F2643" s="50"/>
    </row>
    <row r="2644" spans="6:6" hidden="1" x14ac:dyDescent="0.2">
      <c r="F2644" s="50"/>
    </row>
    <row r="2645" spans="6:6" hidden="1" x14ac:dyDescent="0.2">
      <c r="F2645" s="50"/>
    </row>
    <row r="2646" spans="6:6" hidden="1" x14ac:dyDescent="0.2">
      <c r="F2646" s="50"/>
    </row>
    <row r="2647" spans="6:6" hidden="1" x14ac:dyDescent="0.2">
      <c r="F2647" s="50"/>
    </row>
    <row r="2648" spans="6:6" hidden="1" x14ac:dyDescent="0.2">
      <c r="F2648" s="50"/>
    </row>
    <row r="2649" spans="6:6" hidden="1" x14ac:dyDescent="0.2">
      <c r="F2649" s="50"/>
    </row>
    <row r="2650" spans="6:6" hidden="1" x14ac:dyDescent="0.2">
      <c r="F2650" s="50"/>
    </row>
    <row r="2651" spans="6:6" hidden="1" x14ac:dyDescent="0.2">
      <c r="F2651" s="50"/>
    </row>
    <row r="2652" spans="6:6" hidden="1" x14ac:dyDescent="0.2">
      <c r="F2652" s="50"/>
    </row>
    <row r="2653" spans="6:6" hidden="1" x14ac:dyDescent="0.2">
      <c r="F2653" s="50"/>
    </row>
    <row r="2654" spans="6:6" hidden="1" x14ac:dyDescent="0.2">
      <c r="F2654" s="50"/>
    </row>
    <row r="2655" spans="6:6" hidden="1" x14ac:dyDescent="0.2">
      <c r="F2655" s="50"/>
    </row>
    <row r="2656" spans="6:6" hidden="1" x14ac:dyDescent="0.2">
      <c r="F2656" s="50"/>
    </row>
    <row r="2657" spans="1:6" hidden="1" x14ac:dyDescent="0.2">
      <c r="F2657" s="50"/>
    </row>
    <row r="2658" spans="1:6" hidden="1" x14ac:dyDescent="0.2">
      <c r="F2658" s="50"/>
    </row>
    <row r="2659" spans="1:6" hidden="1" x14ac:dyDescent="0.2">
      <c r="F2659" s="50"/>
    </row>
    <row r="2660" spans="1:6" hidden="1" x14ac:dyDescent="0.2">
      <c r="F2660" s="50"/>
    </row>
    <row r="2661" spans="1:6" hidden="1" x14ac:dyDescent="0.2">
      <c r="F2661" s="50"/>
    </row>
    <row r="2662" spans="1:6" hidden="1" x14ac:dyDescent="0.2">
      <c r="F2662" s="50"/>
    </row>
    <row r="2663" spans="1:6" hidden="1" x14ac:dyDescent="0.2">
      <c r="F2663" s="50"/>
    </row>
    <row r="2664" spans="1:6" hidden="1" x14ac:dyDescent="0.2">
      <c r="F2664" s="50"/>
    </row>
    <row r="2665" spans="1:6" hidden="1" x14ac:dyDescent="0.2">
      <c r="A2665" s="60"/>
      <c r="C2665" s="60"/>
    </row>
    <row r="2666" spans="1:6" hidden="1" x14ac:dyDescent="0.2">
      <c r="A2666" s="60"/>
      <c r="C2666" s="60"/>
    </row>
    <row r="2667" spans="1:6" hidden="1" x14ac:dyDescent="0.2">
      <c r="F2667" s="50"/>
    </row>
    <row r="2668" spans="1:6" hidden="1" x14ac:dyDescent="0.2">
      <c r="F2668" s="50"/>
    </row>
    <row r="2669" spans="1:6" hidden="1" x14ac:dyDescent="0.2">
      <c r="F2669" s="50"/>
    </row>
    <row r="2670" spans="1:6" hidden="1" x14ac:dyDescent="0.2">
      <c r="F2670" s="50"/>
    </row>
    <row r="2671" spans="1:6" hidden="1" x14ac:dyDescent="0.2">
      <c r="F2671" s="50"/>
    </row>
    <row r="2672" spans="1:6" hidden="1" x14ac:dyDescent="0.2">
      <c r="F2672" s="50"/>
    </row>
    <row r="2673" spans="6:6" hidden="1" x14ac:dyDescent="0.2">
      <c r="F2673" s="50"/>
    </row>
    <row r="2674" spans="6:6" hidden="1" x14ac:dyDescent="0.2">
      <c r="F2674" s="50"/>
    </row>
    <row r="2675" spans="6:6" hidden="1" x14ac:dyDescent="0.2">
      <c r="F2675" s="50"/>
    </row>
    <row r="2676" spans="6:6" hidden="1" x14ac:dyDescent="0.2">
      <c r="F2676" s="50"/>
    </row>
    <row r="2677" spans="6:6" hidden="1" x14ac:dyDescent="0.2">
      <c r="F2677" s="50"/>
    </row>
    <row r="2678" spans="6:6" hidden="1" x14ac:dyDescent="0.2">
      <c r="F2678" s="50"/>
    </row>
    <row r="2679" spans="6:6" hidden="1" x14ac:dyDescent="0.2">
      <c r="F2679" s="50"/>
    </row>
    <row r="2680" spans="6:6" hidden="1" x14ac:dyDescent="0.2">
      <c r="F2680" s="50"/>
    </row>
    <row r="2681" spans="6:6" hidden="1" x14ac:dyDescent="0.2">
      <c r="F2681" s="50"/>
    </row>
    <row r="2682" spans="6:6" hidden="1" x14ac:dyDescent="0.2">
      <c r="F2682" s="50"/>
    </row>
    <row r="2683" spans="6:6" hidden="1" x14ac:dyDescent="0.2">
      <c r="F2683" s="50"/>
    </row>
    <row r="2684" spans="6:6" hidden="1" x14ac:dyDescent="0.2">
      <c r="F2684" s="50"/>
    </row>
    <row r="2685" spans="6:6" hidden="1" x14ac:dyDescent="0.2">
      <c r="F2685" s="50"/>
    </row>
    <row r="2687" spans="6:6" hidden="1" x14ac:dyDescent="0.2">
      <c r="F2687" s="50"/>
    </row>
    <row r="2688" spans="6:6" hidden="1" x14ac:dyDescent="0.2">
      <c r="F2688" s="50"/>
    </row>
    <row r="2689" spans="6:6" hidden="1" x14ac:dyDescent="0.2">
      <c r="F2689" s="50"/>
    </row>
    <row r="2690" spans="6:6" hidden="1" x14ac:dyDescent="0.2">
      <c r="F2690" s="50"/>
    </row>
    <row r="2691" spans="6:6" hidden="1" x14ac:dyDescent="0.2">
      <c r="F2691" s="50"/>
    </row>
    <row r="2692" spans="6:6" hidden="1" x14ac:dyDescent="0.2">
      <c r="F2692" s="50"/>
    </row>
    <row r="2693" spans="6:6" hidden="1" x14ac:dyDescent="0.2">
      <c r="F2693" s="50"/>
    </row>
    <row r="2694" spans="6:6" hidden="1" x14ac:dyDescent="0.2">
      <c r="F2694" s="50"/>
    </row>
    <row r="2695" spans="6:6" hidden="1" x14ac:dyDescent="0.2">
      <c r="F2695" s="50"/>
    </row>
    <row r="2696" spans="6:6" hidden="1" x14ac:dyDescent="0.2">
      <c r="F2696" s="50"/>
    </row>
    <row r="2697" spans="6:6" hidden="1" x14ac:dyDescent="0.2">
      <c r="F2697" s="50"/>
    </row>
    <row r="2698" spans="6:6" hidden="1" x14ac:dyDescent="0.2">
      <c r="F2698" s="50"/>
    </row>
    <row r="2699" spans="6:6" hidden="1" x14ac:dyDescent="0.2">
      <c r="F2699" s="50"/>
    </row>
    <row r="2700" spans="6:6" hidden="1" x14ac:dyDescent="0.2">
      <c r="F2700" s="50"/>
    </row>
    <row r="2701" spans="6:6" hidden="1" x14ac:dyDescent="0.2">
      <c r="F2701" s="50"/>
    </row>
    <row r="2702" spans="6:6" hidden="1" x14ac:dyDescent="0.2">
      <c r="F2702" s="50"/>
    </row>
    <row r="2703" spans="6:6" hidden="1" x14ac:dyDescent="0.2">
      <c r="F2703" s="50"/>
    </row>
    <row r="2704" spans="6:6" hidden="1" x14ac:dyDescent="0.2">
      <c r="F2704" s="50"/>
    </row>
    <row r="2705" spans="6:6" hidden="1" x14ac:dyDescent="0.2">
      <c r="F2705" s="50"/>
    </row>
    <row r="2706" spans="6:6" hidden="1" x14ac:dyDescent="0.2">
      <c r="F2706" s="50"/>
    </row>
    <row r="2707" spans="6:6" hidden="1" x14ac:dyDescent="0.2">
      <c r="F2707" s="50"/>
    </row>
    <row r="2708" spans="6:6" hidden="1" x14ac:dyDescent="0.2">
      <c r="F2708" s="50"/>
    </row>
    <row r="2709" spans="6:6" hidden="1" x14ac:dyDescent="0.2">
      <c r="F2709" s="50"/>
    </row>
    <row r="2710" spans="6:6" hidden="1" x14ac:dyDescent="0.2">
      <c r="F2710" s="50"/>
    </row>
    <row r="2711" spans="6:6" hidden="1" x14ac:dyDescent="0.2">
      <c r="F2711" s="50"/>
    </row>
    <row r="2712" spans="6:6" hidden="1" x14ac:dyDescent="0.2">
      <c r="F2712" s="50"/>
    </row>
    <row r="2713" spans="6:6" hidden="1" x14ac:dyDescent="0.2">
      <c r="F2713" s="50"/>
    </row>
    <row r="2714" spans="6:6" hidden="1" x14ac:dyDescent="0.2">
      <c r="F2714" s="50"/>
    </row>
    <row r="2715" spans="6:6" hidden="1" x14ac:dyDescent="0.2">
      <c r="F2715" s="50"/>
    </row>
    <row r="2716" spans="6:6" hidden="1" x14ac:dyDescent="0.2">
      <c r="F2716" s="50"/>
    </row>
    <row r="2717" spans="6:6" hidden="1" x14ac:dyDescent="0.2">
      <c r="F2717" s="50"/>
    </row>
    <row r="2718" spans="6:6" hidden="1" x14ac:dyDescent="0.2">
      <c r="F2718" s="50"/>
    </row>
    <row r="2719" spans="6:6" hidden="1" x14ac:dyDescent="0.2">
      <c r="F2719" s="50"/>
    </row>
    <row r="2720" spans="6:6" hidden="1" x14ac:dyDescent="0.2">
      <c r="F2720" s="50"/>
    </row>
    <row r="2721" spans="6:6" hidden="1" x14ac:dyDescent="0.2">
      <c r="F2721" s="50"/>
    </row>
    <row r="2722" spans="6:6" hidden="1" x14ac:dyDescent="0.2">
      <c r="F2722" s="50"/>
    </row>
    <row r="2723" spans="6:6" hidden="1" x14ac:dyDescent="0.2">
      <c r="F2723" s="50"/>
    </row>
    <row r="2724" spans="6:6" hidden="1" x14ac:dyDescent="0.2">
      <c r="F2724" s="50"/>
    </row>
    <row r="2725" spans="6:6" hidden="1" x14ac:dyDescent="0.2">
      <c r="F2725" s="50"/>
    </row>
    <row r="2726" spans="6:6" hidden="1" x14ac:dyDescent="0.2">
      <c r="F2726" s="50"/>
    </row>
    <row r="2727" spans="6:6" hidden="1" x14ac:dyDescent="0.2">
      <c r="F2727" s="50"/>
    </row>
    <row r="2728" spans="6:6" hidden="1" x14ac:dyDescent="0.2">
      <c r="F2728" s="50"/>
    </row>
    <row r="2729" spans="6:6" hidden="1" x14ac:dyDescent="0.2">
      <c r="F2729" s="50"/>
    </row>
    <row r="2730" spans="6:6" hidden="1" x14ac:dyDescent="0.2">
      <c r="F2730" s="50"/>
    </row>
    <row r="2731" spans="6:6" hidden="1" x14ac:dyDescent="0.2">
      <c r="F2731" s="50"/>
    </row>
    <row r="2732" spans="6:6" hidden="1" x14ac:dyDescent="0.2">
      <c r="F2732" s="50"/>
    </row>
    <row r="2734" spans="6:6" hidden="1" x14ac:dyDescent="0.2">
      <c r="F2734" s="50"/>
    </row>
    <row r="2735" spans="6:6" hidden="1" x14ac:dyDescent="0.2">
      <c r="F2735" s="50"/>
    </row>
    <row r="2736" spans="6:6" hidden="1" x14ac:dyDescent="0.2">
      <c r="F2736" s="50"/>
    </row>
    <row r="2737" spans="6:6" hidden="1" x14ac:dyDescent="0.2">
      <c r="F2737" s="50"/>
    </row>
    <row r="2738" spans="6:6" hidden="1" x14ac:dyDescent="0.2">
      <c r="F2738" s="50"/>
    </row>
    <row r="2739" spans="6:6" hidden="1" x14ac:dyDescent="0.2">
      <c r="F2739" s="50"/>
    </row>
    <row r="2740" spans="6:6" hidden="1" x14ac:dyDescent="0.2">
      <c r="F2740" s="50"/>
    </row>
    <row r="2741" spans="6:6" hidden="1" x14ac:dyDescent="0.2">
      <c r="F2741" s="50"/>
    </row>
    <row r="2742" spans="6:6" hidden="1" x14ac:dyDescent="0.2">
      <c r="F2742" s="50"/>
    </row>
    <row r="2743" spans="6:6" hidden="1" x14ac:dyDescent="0.2">
      <c r="F2743" s="50"/>
    </row>
    <row r="2744" spans="6:6" hidden="1" x14ac:dyDescent="0.2">
      <c r="F2744" s="50"/>
    </row>
    <row r="2745" spans="6:6" hidden="1" x14ac:dyDescent="0.2">
      <c r="F2745" s="50"/>
    </row>
    <row r="2746" spans="6:6" hidden="1" x14ac:dyDescent="0.2">
      <c r="F2746" s="50"/>
    </row>
    <row r="2747" spans="6:6" hidden="1" x14ac:dyDescent="0.2">
      <c r="F2747" s="50"/>
    </row>
    <row r="2748" spans="6:6" hidden="1" x14ac:dyDescent="0.2">
      <c r="F2748" s="50"/>
    </row>
    <row r="2749" spans="6:6" hidden="1" x14ac:dyDescent="0.2">
      <c r="F2749" s="50"/>
    </row>
    <row r="2750" spans="6:6" hidden="1" x14ac:dyDescent="0.2">
      <c r="F2750" s="50"/>
    </row>
    <row r="2751" spans="6:6" hidden="1" x14ac:dyDescent="0.2">
      <c r="F2751" s="50"/>
    </row>
    <row r="2752" spans="6:6" hidden="1" x14ac:dyDescent="0.2">
      <c r="F2752" s="50"/>
    </row>
    <row r="2753" spans="6:6" hidden="1" x14ac:dyDescent="0.2">
      <c r="F2753" s="50"/>
    </row>
    <row r="2754" spans="6:6" hidden="1" x14ac:dyDescent="0.2">
      <c r="F2754" s="50"/>
    </row>
    <row r="2755" spans="6:6" hidden="1" x14ac:dyDescent="0.2">
      <c r="F2755" s="50"/>
    </row>
    <row r="2756" spans="6:6" hidden="1" x14ac:dyDescent="0.2">
      <c r="F2756" s="50"/>
    </row>
    <row r="2757" spans="6:6" hidden="1" x14ac:dyDescent="0.2">
      <c r="F2757" s="50"/>
    </row>
    <row r="2758" spans="6:6" hidden="1" x14ac:dyDescent="0.2">
      <c r="F2758" s="50"/>
    </row>
    <row r="2759" spans="6:6" hidden="1" x14ac:dyDescent="0.2">
      <c r="F2759" s="50"/>
    </row>
    <row r="2760" spans="6:6" hidden="1" x14ac:dyDescent="0.2">
      <c r="F2760" s="50"/>
    </row>
    <row r="2761" spans="6:6" hidden="1" x14ac:dyDescent="0.2">
      <c r="F2761" s="50"/>
    </row>
    <row r="2762" spans="6:6" hidden="1" x14ac:dyDescent="0.2">
      <c r="F2762" s="50"/>
    </row>
    <row r="2763" spans="6:6" hidden="1" x14ac:dyDescent="0.2">
      <c r="F2763" s="50"/>
    </row>
    <row r="2764" spans="6:6" hidden="1" x14ac:dyDescent="0.2">
      <c r="F2764" s="50"/>
    </row>
    <row r="2765" spans="6:6" hidden="1" x14ac:dyDescent="0.2">
      <c r="F2765" s="50"/>
    </row>
    <row r="2766" spans="6:6" hidden="1" x14ac:dyDescent="0.2">
      <c r="F2766" s="50"/>
    </row>
    <row r="2767" spans="6:6" hidden="1" x14ac:dyDescent="0.2">
      <c r="F2767" s="50"/>
    </row>
    <row r="2768" spans="6:6" hidden="1" x14ac:dyDescent="0.2">
      <c r="F2768" s="50"/>
    </row>
    <row r="2769" spans="6:6" hidden="1" x14ac:dyDescent="0.2">
      <c r="F2769" s="50"/>
    </row>
    <row r="2770" spans="6:6" hidden="1" x14ac:dyDescent="0.2">
      <c r="F2770" s="50"/>
    </row>
    <row r="2771" spans="6:6" hidden="1" x14ac:dyDescent="0.2">
      <c r="F2771" s="50"/>
    </row>
    <row r="2774" spans="6:6" hidden="1" x14ac:dyDescent="0.2">
      <c r="F2774" s="50"/>
    </row>
    <row r="2775" spans="6:6" hidden="1" x14ac:dyDescent="0.2">
      <c r="F2775" s="50"/>
    </row>
    <row r="2776" spans="6:6" hidden="1" x14ac:dyDescent="0.2">
      <c r="F2776" s="50"/>
    </row>
    <row r="2777" spans="6:6" hidden="1" x14ac:dyDescent="0.2">
      <c r="F2777" s="50"/>
    </row>
    <row r="2778" spans="6:6" hidden="1" x14ac:dyDescent="0.2">
      <c r="F2778" s="50"/>
    </row>
    <row r="2779" spans="6:6" hidden="1" x14ac:dyDescent="0.2">
      <c r="F2779" s="50"/>
    </row>
    <row r="2780" spans="6:6" hidden="1" x14ac:dyDescent="0.2">
      <c r="F2780" s="50"/>
    </row>
    <row r="2781" spans="6:6" hidden="1" x14ac:dyDescent="0.2">
      <c r="F2781" s="50"/>
    </row>
    <row r="2782" spans="6:6" hidden="1" x14ac:dyDescent="0.2">
      <c r="F2782" s="50"/>
    </row>
    <row r="2783" spans="6:6" hidden="1" x14ac:dyDescent="0.2">
      <c r="F2783" s="50"/>
    </row>
    <row r="2784" spans="6:6" hidden="1" x14ac:dyDescent="0.2">
      <c r="F2784" s="50"/>
    </row>
    <row r="2785" spans="6:6" hidden="1" x14ac:dyDescent="0.2">
      <c r="F2785" s="50"/>
    </row>
    <row r="2786" spans="6:6" hidden="1" x14ac:dyDescent="0.2">
      <c r="F2786" s="50"/>
    </row>
    <row r="2787" spans="6:6" hidden="1" x14ac:dyDescent="0.2">
      <c r="F2787" s="50"/>
    </row>
    <row r="2788" spans="6:6" hidden="1" x14ac:dyDescent="0.2">
      <c r="F2788" s="50"/>
    </row>
    <row r="2789" spans="6:6" hidden="1" x14ac:dyDescent="0.2">
      <c r="F2789" s="50"/>
    </row>
    <row r="2790" spans="6:6" hidden="1" x14ac:dyDescent="0.2">
      <c r="F2790" s="50"/>
    </row>
    <row r="2791" spans="6:6" hidden="1" x14ac:dyDescent="0.2">
      <c r="F2791" s="50"/>
    </row>
    <row r="2792" spans="6:6" hidden="1" x14ac:dyDescent="0.2">
      <c r="F2792" s="50"/>
    </row>
    <row r="2793" spans="6:6" hidden="1" x14ac:dyDescent="0.2">
      <c r="F2793" s="50"/>
    </row>
    <row r="2794" spans="6:6" hidden="1" x14ac:dyDescent="0.2">
      <c r="F2794" s="50"/>
    </row>
    <row r="2795" spans="6:6" hidden="1" x14ac:dyDescent="0.2">
      <c r="F2795" s="50"/>
    </row>
    <row r="2796" spans="6:6" hidden="1" x14ac:dyDescent="0.2">
      <c r="F2796" s="50"/>
    </row>
    <row r="2797" spans="6:6" hidden="1" x14ac:dyDescent="0.2">
      <c r="F2797" s="50"/>
    </row>
    <row r="2798" spans="6:6" hidden="1" x14ac:dyDescent="0.2">
      <c r="F2798" s="50"/>
    </row>
    <row r="2799" spans="6:6" hidden="1" x14ac:dyDescent="0.2">
      <c r="F2799" s="50"/>
    </row>
    <row r="2800" spans="6:6" hidden="1" x14ac:dyDescent="0.2">
      <c r="F2800" s="50"/>
    </row>
    <row r="2801" spans="6:6" hidden="1" x14ac:dyDescent="0.2">
      <c r="F2801" s="50"/>
    </row>
    <row r="2802" spans="6:6" hidden="1" x14ac:dyDescent="0.2">
      <c r="F2802" s="50"/>
    </row>
    <row r="2803" spans="6:6" hidden="1" x14ac:dyDescent="0.2">
      <c r="F2803" s="50"/>
    </row>
    <row r="2804" spans="6:6" hidden="1" x14ac:dyDescent="0.2">
      <c r="F2804" s="50"/>
    </row>
    <row r="2805" spans="6:6" hidden="1" x14ac:dyDescent="0.2">
      <c r="F2805" s="50"/>
    </row>
    <row r="2806" spans="6:6" hidden="1" x14ac:dyDescent="0.2">
      <c r="F2806" s="50"/>
    </row>
    <row r="2807" spans="6:6" hidden="1" x14ac:dyDescent="0.2">
      <c r="F2807" s="50"/>
    </row>
    <row r="2808" spans="6:6" hidden="1" x14ac:dyDescent="0.2">
      <c r="F2808" s="50"/>
    </row>
    <row r="2809" spans="6:6" hidden="1" x14ac:dyDescent="0.2">
      <c r="F2809" s="50"/>
    </row>
    <row r="2810" spans="6:6" hidden="1" x14ac:dyDescent="0.2">
      <c r="F2810" s="50"/>
    </row>
    <row r="2811" spans="6:6" hidden="1" x14ac:dyDescent="0.2">
      <c r="F2811" s="50"/>
    </row>
    <row r="2812" spans="6:6" hidden="1" x14ac:dyDescent="0.2">
      <c r="F2812" s="50"/>
    </row>
    <row r="2813" spans="6:6" hidden="1" x14ac:dyDescent="0.2">
      <c r="F2813" s="50"/>
    </row>
    <row r="2814" spans="6:6" hidden="1" x14ac:dyDescent="0.2">
      <c r="F2814" s="50"/>
    </row>
    <row r="2815" spans="6:6" hidden="1" x14ac:dyDescent="0.2">
      <c r="F2815" s="50"/>
    </row>
    <row r="2816" spans="6:6" hidden="1" x14ac:dyDescent="0.2">
      <c r="F2816" s="50"/>
    </row>
    <row r="2817" spans="6:6" hidden="1" x14ac:dyDescent="0.2">
      <c r="F2817" s="50"/>
    </row>
    <row r="2818" spans="6:6" hidden="1" x14ac:dyDescent="0.2">
      <c r="F2818" s="50"/>
    </row>
    <row r="2819" spans="6:6" hidden="1" x14ac:dyDescent="0.2">
      <c r="F2819" s="50"/>
    </row>
    <row r="2820" spans="6:6" hidden="1" x14ac:dyDescent="0.2">
      <c r="F2820" s="50"/>
    </row>
    <row r="2821" spans="6:6" hidden="1" x14ac:dyDescent="0.2">
      <c r="F2821" s="50"/>
    </row>
    <row r="2822" spans="6:6" hidden="1" x14ac:dyDescent="0.2">
      <c r="F2822" s="50"/>
    </row>
    <row r="2823" spans="6:6" hidden="1" x14ac:dyDescent="0.2">
      <c r="F2823" s="50"/>
    </row>
    <row r="2824" spans="6:6" hidden="1" x14ac:dyDescent="0.2">
      <c r="F2824" s="50"/>
    </row>
    <row r="2825" spans="6:6" hidden="1" x14ac:dyDescent="0.2">
      <c r="F2825" s="50"/>
    </row>
    <row r="2826" spans="6:6" hidden="1" x14ac:dyDescent="0.2">
      <c r="F2826" s="50"/>
    </row>
    <row r="2827" spans="6:6" hidden="1" x14ac:dyDescent="0.2">
      <c r="F2827" s="50"/>
    </row>
    <row r="2828" spans="6:6" hidden="1" x14ac:dyDescent="0.2">
      <c r="F2828" s="50"/>
    </row>
    <row r="2829" spans="6:6" hidden="1" x14ac:dyDescent="0.2">
      <c r="F2829" s="50"/>
    </row>
    <row r="2830" spans="6:6" hidden="1" x14ac:dyDescent="0.2">
      <c r="F2830" s="50"/>
    </row>
    <row r="2831" spans="6:6" hidden="1" x14ac:dyDescent="0.2">
      <c r="F2831" s="50"/>
    </row>
    <row r="2832" spans="6:6" hidden="1" x14ac:dyDescent="0.2">
      <c r="F2832" s="50"/>
    </row>
    <row r="2833" spans="1:6" hidden="1" x14ac:dyDescent="0.2">
      <c r="F2833" s="50"/>
    </row>
    <row r="2834" spans="1:6" hidden="1" x14ac:dyDescent="0.2">
      <c r="F2834" s="50"/>
    </row>
    <row r="2835" spans="1:6" hidden="1" x14ac:dyDescent="0.2">
      <c r="F2835" s="50"/>
    </row>
    <row r="2836" spans="1:6" hidden="1" x14ac:dyDescent="0.2">
      <c r="F2836" s="50"/>
    </row>
    <row r="2837" spans="1:6" hidden="1" x14ac:dyDescent="0.2">
      <c r="F2837" s="50"/>
    </row>
    <row r="2838" spans="1:6" hidden="1" x14ac:dyDescent="0.2">
      <c r="F2838" s="50"/>
    </row>
    <row r="2839" spans="1:6" hidden="1" x14ac:dyDescent="0.2">
      <c r="F2839" s="50"/>
    </row>
    <row r="2840" spans="1:6" hidden="1" x14ac:dyDescent="0.2">
      <c r="F2840" s="50"/>
    </row>
    <row r="2841" spans="1:6" hidden="1" x14ac:dyDescent="0.2">
      <c r="F2841" s="50"/>
    </row>
    <row r="2842" spans="1:6" hidden="1" x14ac:dyDescent="0.2">
      <c r="F2842" s="50"/>
    </row>
    <row r="2843" spans="1:6" hidden="1" x14ac:dyDescent="0.2">
      <c r="F2843" s="50"/>
    </row>
    <row r="2844" spans="1:6" hidden="1" x14ac:dyDescent="0.2">
      <c r="F2844" s="50"/>
    </row>
    <row r="2845" spans="1:6" hidden="1" x14ac:dyDescent="0.2">
      <c r="F2845" s="50"/>
    </row>
    <row r="2846" spans="1:6" hidden="1" x14ac:dyDescent="0.2">
      <c r="F2846" s="50"/>
    </row>
    <row r="2847" spans="1:6" hidden="1" x14ac:dyDescent="0.2">
      <c r="A2847" s="60"/>
      <c r="C2847" s="60"/>
    </row>
    <row r="2849" spans="6:6" hidden="1" x14ac:dyDescent="0.2">
      <c r="F2849" s="50"/>
    </row>
    <row r="2850" spans="6:6" hidden="1" x14ac:dyDescent="0.2">
      <c r="F2850" s="50"/>
    </row>
    <row r="2851" spans="6:6" hidden="1" x14ac:dyDescent="0.2">
      <c r="F2851" s="50"/>
    </row>
    <row r="2852" spans="6:6" hidden="1" x14ac:dyDescent="0.2">
      <c r="F2852" s="50"/>
    </row>
    <row r="2853" spans="6:6" hidden="1" x14ac:dyDescent="0.2">
      <c r="F2853" s="50"/>
    </row>
    <row r="2854" spans="6:6" hidden="1" x14ac:dyDescent="0.2">
      <c r="F2854" s="50"/>
    </row>
    <row r="2855" spans="6:6" hidden="1" x14ac:dyDescent="0.2">
      <c r="F2855" s="50"/>
    </row>
    <row r="2856" spans="6:6" hidden="1" x14ac:dyDescent="0.2">
      <c r="F2856" s="50"/>
    </row>
    <row r="2857" spans="6:6" hidden="1" x14ac:dyDescent="0.2">
      <c r="F2857" s="50"/>
    </row>
    <row r="2858" spans="6:6" hidden="1" x14ac:dyDescent="0.2">
      <c r="F2858" s="50"/>
    </row>
    <row r="2859" spans="6:6" hidden="1" x14ac:dyDescent="0.2">
      <c r="F2859" s="50"/>
    </row>
    <row r="2860" spans="6:6" hidden="1" x14ac:dyDescent="0.2">
      <c r="F2860" s="50"/>
    </row>
    <row r="2861" spans="6:6" hidden="1" x14ac:dyDescent="0.2">
      <c r="F2861" s="50"/>
    </row>
    <row r="2862" spans="6:6" hidden="1" x14ac:dyDescent="0.2">
      <c r="F2862" s="50"/>
    </row>
    <row r="2863" spans="6:6" hidden="1" x14ac:dyDescent="0.2">
      <c r="F2863" s="50"/>
    </row>
    <row r="2864" spans="6:6" hidden="1" x14ac:dyDescent="0.2">
      <c r="F2864" s="50"/>
    </row>
    <row r="2865" spans="6:6" hidden="1" x14ac:dyDescent="0.2">
      <c r="F2865" s="50"/>
    </row>
    <row r="2866" spans="6:6" hidden="1" x14ac:dyDescent="0.2">
      <c r="F2866" s="50"/>
    </row>
    <row r="2867" spans="6:6" hidden="1" x14ac:dyDescent="0.2">
      <c r="F2867" s="50"/>
    </row>
    <row r="2868" spans="6:6" hidden="1" x14ac:dyDescent="0.2">
      <c r="F2868" s="50"/>
    </row>
    <row r="2869" spans="6:6" hidden="1" x14ac:dyDescent="0.2">
      <c r="F2869" s="50"/>
    </row>
    <row r="2870" spans="6:6" hidden="1" x14ac:dyDescent="0.2">
      <c r="F2870" s="50"/>
    </row>
    <row r="2871" spans="6:6" hidden="1" x14ac:dyDescent="0.2">
      <c r="F2871" s="50"/>
    </row>
    <row r="2872" spans="6:6" hidden="1" x14ac:dyDescent="0.2">
      <c r="F2872" s="50"/>
    </row>
    <row r="2873" spans="6:6" hidden="1" x14ac:dyDescent="0.2">
      <c r="F2873" s="50"/>
    </row>
    <row r="2874" spans="6:6" hidden="1" x14ac:dyDescent="0.2">
      <c r="F2874" s="50"/>
    </row>
    <row r="2875" spans="6:6" hidden="1" x14ac:dyDescent="0.2">
      <c r="F2875" s="50"/>
    </row>
    <row r="2876" spans="6:6" hidden="1" x14ac:dyDescent="0.2">
      <c r="F2876" s="50"/>
    </row>
    <row r="2877" spans="6:6" hidden="1" x14ac:dyDescent="0.2">
      <c r="F2877" s="50"/>
    </row>
    <row r="2878" spans="6:6" hidden="1" x14ac:dyDescent="0.2">
      <c r="F2878" s="50"/>
    </row>
    <row r="2879" spans="6:6" hidden="1" x14ac:dyDescent="0.2">
      <c r="F2879" s="50"/>
    </row>
    <row r="2880" spans="6:6" hidden="1" x14ac:dyDescent="0.2">
      <c r="F2880" s="50"/>
    </row>
    <row r="2881" spans="6:6" hidden="1" x14ac:dyDescent="0.2">
      <c r="F2881" s="50"/>
    </row>
    <row r="2883" spans="6:6" hidden="1" x14ac:dyDescent="0.2">
      <c r="F2883" s="50"/>
    </row>
    <row r="2884" spans="6:6" hidden="1" x14ac:dyDescent="0.2">
      <c r="F2884" s="50"/>
    </row>
    <row r="2885" spans="6:6" hidden="1" x14ac:dyDescent="0.2">
      <c r="F2885" s="50"/>
    </row>
    <row r="2886" spans="6:6" hidden="1" x14ac:dyDescent="0.2">
      <c r="F2886" s="50"/>
    </row>
    <row r="2890" spans="6:6" hidden="1" x14ac:dyDescent="0.2">
      <c r="F2890" s="50"/>
    </row>
    <row r="2891" spans="6:6" ht="12" hidden="1" customHeight="1" x14ac:dyDescent="0.2">
      <c r="F2891" s="50"/>
    </row>
    <row r="2892" spans="6:6" hidden="1" x14ac:dyDescent="0.2">
      <c r="F2892" s="50"/>
    </row>
    <row r="2893" spans="6:6" hidden="1" x14ac:dyDescent="0.2">
      <c r="F2893" s="50"/>
    </row>
    <row r="2894" spans="6:6" hidden="1" x14ac:dyDescent="0.2">
      <c r="F2894" s="50"/>
    </row>
    <row r="2895" spans="6:6" hidden="1" x14ac:dyDescent="0.2">
      <c r="F2895" s="50"/>
    </row>
    <row r="2896" spans="6:6" hidden="1" x14ac:dyDescent="0.2">
      <c r="F2896" s="50"/>
    </row>
    <row r="2897" spans="6:6" hidden="1" x14ac:dyDescent="0.2">
      <c r="F2897" s="50"/>
    </row>
    <row r="2898" spans="6:6" hidden="1" x14ac:dyDescent="0.2">
      <c r="F2898" s="50"/>
    </row>
    <row r="2899" spans="6:6" hidden="1" x14ac:dyDescent="0.2">
      <c r="F2899" s="50"/>
    </row>
    <row r="2900" spans="6:6" hidden="1" x14ac:dyDescent="0.2">
      <c r="F2900" s="50"/>
    </row>
    <row r="2901" spans="6:6" hidden="1" x14ac:dyDescent="0.2">
      <c r="F2901" s="50"/>
    </row>
    <row r="2902" spans="6:6" hidden="1" x14ac:dyDescent="0.2">
      <c r="F2902" s="50"/>
    </row>
    <row r="2903" spans="6:6" hidden="1" x14ac:dyDescent="0.2">
      <c r="F2903" s="50"/>
    </row>
    <row r="2904" spans="6:6" hidden="1" x14ac:dyDescent="0.2">
      <c r="F2904" s="50"/>
    </row>
    <row r="2905" spans="6:6" hidden="1" x14ac:dyDescent="0.2">
      <c r="F2905" s="50"/>
    </row>
    <row r="2906" spans="6:6" hidden="1" x14ac:dyDescent="0.2">
      <c r="F2906" s="50"/>
    </row>
    <row r="2907" spans="6:6" hidden="1" x14ac:dyDescent="0.2">
      <c r="F2907" s="50"/>
    </row>
    <row r="2908" spans="6:6" hidden="1" x14ac:dyDescent="0.2">
      <c r="F2908" s="50"/>
    </row>
    <row r="2909" spans="6:6" hidden="1" x14ac:dyDescent="0.2">
      <c r="F2909" s="50"/>
    </row>
    <row r="2910" spans="6:6" hidden="1" x14ac:dyDescent="0.2">
      <c r="F2910" s="50"/>
    </row>
    <row r="2911" spans="6:6" hidden="1" x14ac:dyDescent="0.2">
      <c r="F2911" s="50"/>
    </row>
    <row r="2912" spans="6:6" hidden="1" x14ac:dyDescent="0.2">
      <c r="F2912" s="50"/>
    </row>
    <row r="2913" spans="6:6" hidden="1" x14ac:dyDescent="0.2">
      <c r="F2913" s="50"/>
    </row>
    <row r="2914" spans="6:6" hidden="1" x14ac:dyDescent="0.2">
      <c r="F2914" s="50"/>
    </row>
    <row r="2915" spans="6:6" hidden="1" x14ac:dyDescent="0.2">
      <c r="F2915" s="50"/>
    </row>
    <row r="2916" spans="6:6" hidden="1" x14ac:dyDescent="0.2">
      <c r="F2916" s="50"/>
    </row>
    <row r="2917" spans="6:6" hidden="1" x14ac:dyDescent="0.2">
      <c r="F2917" s="50"/>
    </row>
    <row r="2918" spans="6:6" hidden="1" x14ac:dyDescent="0.2">
      <c r="F2918" s="50"/>
    </row>
    <row r="2919" spans="6:6" ht="14.25" hidden="1" customHeight="1" x14ac:dyDescent="0.2">
      <c r="F2919" s="50"/>
    </row>
    <row r="2920" spans="6:6" hidden="1" x14ac:dyDescent="0.2">
      <c r="F2920" s="50"/>
    </row>
    <row r="2921" spans="6:6" hidden="1" x14ac:dyDescent="0.2">
      <c r="F2921" s="50"/>
    </row>
    <row r="2922" spans="6:6" hidden="1" x14ac:dyDescent="0.2">
      <c r="F2922" s="50"/>
    </row>
    <row r="2923" spans="6:6" hidden="1" x14ac:dyDescent="0.2">
      <c r="F2923" s="50"/>
    </row>
    <row r="2924" spans="6:6" hidden="1" x14ac:dyDescent="0.2">
      <c r="F2924" s="50"/>
    </row>
    <row r="2925" spans="6:6" hidden="1" x14ac:dyDescent="0.2">
      <c r="F2925" s="50"/>
    </row>
    <row r="2926" spans="6:6" hidden="1" x14ac:dyDescent="0.2">
      <c r="F2926" s="50"/>
    </row>
    <row r="2927" spans="6:6" hidden="1" x14ac:dyDescent="0.2">
      <c r="F2927" s="50"/>
    </row>
    <row r="2928" spans="6:6" hidden="1" x14ac:dyDescent="0.2">
      <c r="F2928" s="50"/>
    </row>
    <row r="2929" spans="3:6" hidden="1" x14ac:dyDescent="0.2">
      <c r="F2929" s="50"/>
    </row>
    <row r="2930" spans="3:6" hidden="1" x14ac:dyDescent="0.2">
      <c r="F2930" s="50"/>
    </row>
    <row r="2931" spans="3:6" hidden="1" x14ac:dyDescent="0.2">
      <c r="F2931" s="50"/>
    </row>
    <row r="2932" spans="3:6" hidden="1" x14ac:dyDescent="0.2">
      <c r="F2932" s="50"/>
    </row>
    <row r="2933" spans="3:6" hidden="1" x14ac:dyDescent="0.2">
      <c r="F2933" s="50"/>
    </row>
    <row r="2934" spans="3:6" hidden="1" x14ac:dyDescent="0.2">
      <c r="F2934" s="50"/>
    </row>
    <row r="2935" spans="3:6" hidden="1" x14ac:dyDescent="0.2">
      <c r="F2935" s="50"/>
    </row>
    <row r="2936" spans="3:6" hidden="1" x14ac:dyDescent="0.2">
      <c r="F2936" s="50"/>
    </row>
    <row r="2937" spans="3:6" hidden="1" x14ac:dyDescent="0.2">
      <c r="F2937" s="50"/>
    </row>
    <row r="2938" spans="3:6" hidden="1" x14ac:dyDescent="0.2">
      <c r="F2938" s="50"/>
    </row>
    <row r="2939" spans="3:6" hidden="1" x14ac:dyDescent="0.2">
      <c r="F2939" s="50"/>
    </row>
    <row r="2940" spans="3:6" hidden="1" x14ac:dyDescent="0.2">
      <c r="F2940" s="50"/>
    </row>
    <row r="2941" spans="3:6" hidden="1" x14ac:dyDescent="0.2">
      <c r="F2941" s="50"/>
    </row>
    <row r="2942" spans="3:6" hidden="1" x14ac:dyDescent="0.2">
      <c r="F2942" s="50"/>
    </row>
    <row r="2943" spans="3:6" hidden="1" x14ac:dyDescent="0.2">
      <c r="F2943" s="50"/>
    </row>
    <row r="2944" spans="3:6" ht="15" hidden="1" x14ac:dyDescent="0.25">
      <c r="C2944" s="58"/>
    </row>
    <row r="2945" spans="6:6" hidden="1" x14ac:dyDescent="0.2">
      <c r="F2945" s="50"/>
    </row>
    <row r="2946" spans="6:6" hidden="1" x14ac:dyDescent="0.2">
      <c r="F2946" s="50"/>
    </row>
    <row r="2947" spans="6:6" hidden="1" x14ac:dyDescent="0.2">
      <c r="F2947" s="50"/>
    </row>
    <row r="2948" spans="6:6" hidden="1" x14ac:dyDescent="0.2">
      <c r="F2948" s="50"/>
    </row>
    <row r="2949" spans="6:6" hidden="1" x14ac:dyDescent="0.2">
      <c r="F2949" s="50"/>
    </row>
    <row r="2950" spans="6:6" hidden="1" x14ac:dyDescent="0.2">
      <c r="F2950" s="50"/>
    </row>
    <row r="2951" spans="6:6" hidden="1" x14ac:dyDescent="0.2">
      <c r="F2951" s="50"/>
    </row>
    <row r="2952" spans="6:6" hidden="1" x14ac:dyDescent="0.2">
      <c r="F2952" s="50"/>
    </row>
    <row r="2953" spans="6:6" hidden="1" x14ac:dyDescent="0.2">
      <c r="F2953" s="50"/>
    </row>
    <row r="2954" spans="6:6" hidden="1" x14ac:dyDescent="0.2">
      <c r="F2954" s="50"/>
    </row>
    <row r="2955" spans="6:6" hidden="1" x14ac:dyDescent="0.2">
      <c r="F2955" s="50"/>
    </row>
    <row r="2956" spans="6:6" hidden="1" x14ac:dyDescent="0.2">
      <c r="F2956" s="50"/>
    </row>
    <row r="2957" spans="6:6" hidden="1" x14ac:dyDescent="0.2">
      <c r="F2957" s="50"/>
    </row>
    <row r="2958" spans="6:6" hidden="1" x14ac:dyDescent="0.2">
      <c r="F2958" s="50"/>
    </row>
    <row r="2959" spans="6:6" hidden="1" x14ac:dyDescent="0.2">
      <c r="F2959" s="50"/>
    </row>
    <row r="2960" spans="6:6" hidden="1" x14ac:dyDescent="0.2">
      <c r="F2960" s="50"/>
    </row>
    <row r="2961" spans="6:6" hidden="1" x14ac:dyDescent="0.2">
      <c r="F2961" s="50"/>
    </row>
    <row r="2962" spans="6:6" hidden="1" x14ac:dyDescent="0.2">
      <c r="F2962" s="50"/>
    </row>
    <row r="2963" spans="6:6" hidden="1" x14ac:dyDescent="0.2">
      <c r="F2963" s="50"/>
    </row>
    <row r="2964" spans="6:6" hidden="1" x14ac:dyDescent="0.2">
      <c r="F2964" s="50"/>
    </row>
    <row r="2965" spans="6:6" hidden="1" x14ac:dyDescent="0.2">
      <c r="F2965" s="50"/>
    </row>
    <row r="2966" spans="6:6" hidden="1" x14ac:dyDescent="0.2">
      <c r="F2966" s="50"/>
    </row>
    <row r="2967" spans="6:6" hidden="1" x14ac:dyDescent="0.2">
      <c r="F2967" s="50"/>
    </row>
    <row r="2968" spans="6:6" hidden="1" x14ac:dyDescent="0.2">
      <c r="F2968" s="50"/>
    </row>
    <row r="2969" spans="6:6" hidden="1" x14ac:dyDescent="0.2">
      <c r="F2969" s="50"/>
    </row>
    <row r="2970" spans="6:6" hidden="1" x14ac:dyDescent="0.2">
      <c r="F2970" s="50"/>
    </row>
    <row r="2971" spans="6:6" hidden="1" x14ac:dyDescent="0.2">
      <c r="F2971" s="50"/>
    </row>
    <row r="2972" spans="6:6" hidden="1" x14ac:dyDescent="0.2">
      <c r="F2972" s="50"/>
    </row>
    <row r="2973" spans="6:6" hidden="1" x14ac:dyDescent="0.2">
      <c r="F2973" s="50"/>
    </row>
    <row r="2974" spans="6:6" hidden="1" x14ac:dyDescent="0.2">
      <c r="F2974" s="50"/>
    </row>
    <row r="2975" spans="6:6" hidden="1" x14ac:dyDescent="0.2">
      <c r="F2975" s="50"/>
    </row>
    <row r="2976" spans="6:6" hidden="1" x14ac:dyDescent="0.2">
      <c r="F2976" s="50"/>
    </row>
    <row r="2977" spans="1:6" hidden="1" x14ac:dyDescent="0.2">
      <c r="F2977" s="50"/>
    </row>
    <row r="2978" spans="1:6" hidden="1" x14ac:dyDescent="0.2">
      <c r="F2978" s="50"/>
    </row>
    <row r="2979" spans="1:6" hidden="1" x14ac:dyDescent="0.2">
      <c r="F2979" s="50"/>
    </row>
    <row r="2980" spans="1:6" hidden="1" x14ac:dyDescent="0.2">
      <c r="F2980" s="50"/>
    </row>
    <row r="2981" spans="1:6" hidden="1" x14ac:dyDescent="0.2">
      <c r="F2981" s="50"/>
    </row>
    <row r="2982" spans="1:6" hidden="1" x14ac:dyDescent="0.2">
      <c r="F2982" s="50"/>
    </row>
    <row r="2983" spans="1:6" hidden="1" x14ac:dyDescent="0.2">
      <c r="F2983" s="50"/>
    </row>
    <row r="2984" spans="1:6" hidden="1" x14ac:dyDescent="0.2">
      <c r="A2984" s="60"/>
      <c r="C2984" s="60"/>
    </row>
    <row r="2985" spans="1:6" hidden="1" x14ac:dyDescent="0.2">
      <c r="F2985" s="50"/>
    </row>
    <row r="2986" spans="1:6" hidden="1" x14ac:dyDescent="0.2">
      <c r="F2986" s="50"/>
    </row>
    <row r="2988" spans="1:6" hidden="1" x14ac:dyDescent="0.2">
      <c r="F2988" s="50"/>
    </row>
    <row r="2989" spans="1:6" hidden="1" x14ac:dyDescent="0.2">
      <c r="F2989" s="50"/>
    </row>
    <row r="2990" spans="1:6" hidden="1" x14ac:dyDescent="0.2">
      <c r="F2990" s="50"/>
    </row>
    <row r="2991" spans="1:6" hidden="1" x14ac:dyDescent="0.2">
      <c r="F2991" s="50"/>
    </row>
    <row r="2992" spans="1:6" hidden="1" x14ac:dyDescent="0.2">
      <c r="F2992" s="50"/>
    </row>
    <row r="2993" spans="6:6" hidden="1" x14ac:dyDescent="0.2">
      <c r="F2993" s="50"/>
    </row>
    <row r="2994" spans="6:6" hidden="1" x14ac:dyDescent="0.2">
      <c r="F2994" s="50"/>
    </row>
    <row r="2995" spans="6:6" hidden="1" x14ac:dyDescent="0.2">
      <c r="F2995" s="50"/>
    </row>
    <row r="2996" spans="6:6" hidden="1" x14ac:dyDescent="0.2">
      <c r="F2996" s="50"/>
    </row>
    <row r="2997" spans="6:6" hidden="1" x14ac:dyDescent="0.2">
      <c r="F2997" s="50"/>
    </row>
    <row r="2998" spans="6:6" hidden="1" x14ac:dyDescent="0.2">
      <c r="F2998" s="50"/>
    </row>
    <row r="2999" spans="6:6" hidden="1" x14ac:dyDescent="0.2">
      <c r="F2999" s="50"/>
    </row>
    <row r="3000" spans="6:6" hidden="1" x14ac:dyDescent="0.2">
      <c r="F3000" s="50"/>
    </row>
    <row r="3001" spans="6:6" hidden="1" x14ac:dyDescent="0.2">
      <c r="F3001" s="50"/>
    </row>
    <row r="3002" spans="6:6" hidden="1" x14ac:dyDescent="0.2">
      <c r="F3002" s="50"/>
    </row>
    <row r="3003" spans="6:6" hidden="1" x14ac:dyDescent="0.2">
      <c r="F3003" s="50"/>
    </row>
    <row r="3004" spans="6:6" hidden="1" x14ac:dyDescent="0.2">
      <c r="F3004" s="50"/>
    </row>
    <row r="3005" spans="6:6" hidden="1" x14ac:dyDescent="0.2">
      <c r="F3005" s="50"/>
    </row>
    <row r="3006" spans="6:6" hidden="1" x14ac:dyDescent="0.2">
      <c r="F3006" s="50"/>
    </row>
    <row r="3007" spans="6:6" hidden="1" x14ac:dyDescent="0.2">
      <c r="F3007" s="50"/>
    </row>
    <row r="3008" spans="6:6" hidden="1" x14ac:dyDescent="0.2">
      <c r="F3008" s="50"/>
    </row>
    <row r="3009" spans="6:6" hidden="1" x14ac:dyDescent="0.2">
      <c r="F3009" s="50"/>
    </row>
    <row r="3010" spans="6:6" hidden="1" x14ac:dyDescent="0.2">
      <c r="F3010" s="50"/>
    </row>
    <row r="3013" spans="6:6" hidden="1" x14ac:dyDescent="0.2">
      <c r="F3013" s="50"/>
    </row>
    <row r="3015" spans="6:6" hidden="1" x14ac:dyDescent="0.2">
      <c r="F3015" s="50"/>
    </row>
    <row r="3016" spans="6:6" hidden="1" x14ac:dyDescent="0.2">
      <c r="F3016" s="50"/>
    </row>
    <row r="3017" spans="6:6" hidden="1" x14ac:dyDescent="0.2">
      <c r="F3017" s="50"/>
    </row>
    <row r="3018" spans="6:6" hidden="1" x14ac:dyDescent="0.2">
      <c r="F3018" s="50"/>
    </row>
    <row r="3019" spans="6:6" hidden="1" x14ac:dyDescent="0.2">
      <c r="F3019" s="50"/>
    </row>
    <row r="3020" spans="6:6" hidden="1" x14ac:dyDescent="0.2">
      <c r="F3020" s="50"/>
    </row>
    <row r="3021" spans="6:6" hidden="1" x14ac:dyDescent="0.2">
      <c r="F3021" s="50"/>
    </row>
    <row r="3022" spans="6:6" hidden="1" x14ac:dyDescent="0.2">
      <c r="F3022" s="50"/>
    </row>
    <row r="3023" spans="6:6" hidden="1" x14ac:dyDescent="0.2">
      <c r="F3023" s="50"/>
    </row>
    <row r="3024" spans="6:6" hidden="1" x14ac:dyDescent="0.2">
      <c r="F3024" s="50"/>
    </row>
    <row r="3025" spans="6:8" hidden="1" x14ac:dyDescent="0.2">
      <c r="F3025" s="50"/>
    </row>
    <row r="3026" spans="6:8" hidden="1" x14ac:dyDescent="0.2">
      <c r="F3026" s="50"/>
    </row>
    <row r="3027" spans="6:8" hidden="1" x14ac:dyDescent="0.2">
      <c r="F3027" s="50"/>
    </row>
    <row r="3028" spans="6:8" hidden="1" x14ac:dyDescent="0.2">
      <c r="F3028" s="50"/>
    </row>
    <row r="3029" spans="6:8" hidden="1" x14ac:dyDescent="0.2">
      <c r="F3029" s="50"/>
    </row>
    <row r="3030" spans="6:8" hidden="1" x14ac:dyDescent="0.2">
      <c r="F3030" s="50"/>
    </row>
    <row r="3031" spans="6:8" hidden="1" x14ac:dyDescent="0.2">
      <c r="F3031" s="50"/>
    </row>
    <row r="3032" spans="6:8" hidden="1" x14ac:dyDescent="0.2">
      <c r="F3032" s="50"/>
    </row>
    <row r="3033" spans="6:8" hidden="1" x14ac:dyDescent="0.2">
      <c r="F3033" s="50"/>
    </row>
    <row r="3034" spans="6:8" hidden="1" x14ac:dyDescent="0.2">
      <c r="F3034" s="50"/>
    </row>
    <row r="3035" spans="6:8" hidden="1" x14ac:dyDescent="0.2">
      <c r="F3035" s="50"/>
    </row>
    <row r="3036" spans="6:8" hidden="1" x14ac:dyDescent="0.2">
      <c r="F3036" s="50"/>
    </row>
    <row r="3037" spans="6:8" hidden="1" x14ac:dyDescent="0.2">
      <c r="F3037" s="50"/>
      <c r="H3037"/>
    </row>
    <row r="3038" spans="6:8" hidden="1" x14ac:dyDescent="0.2">
      <c r="F3038" s="50"/>
    </row>
    <row r="3039" spans="6:8" hidden="1" x14ac:dyDescent="0.2">
      <c r="F3039" s="50"/>
    </row>
    <row r="3040" spans="6:8" hidden="1" x14ac:dyDescent="0.2">
      <c r="F3040" s="50"/>
    </row>
    <row r="3041" spans="6:6" hidden="1" x14ac:dyDescent="0.2">
      <c r="F3041" s="50"/>
    </row>
    <row r="3042" spans="6:6" hidden="1" x14ac:dyDescent="0.2">
      <c r="F3042" s="50"/>
    </row>
    <row r="3043" spans="6:6" hidden="1" x14ac:dyDescent="0.2">
      <c r="F3043" s="50"/>
    </row>
    <row r="3044" spans="6:6" hidden="1" x14ac:dyDescent="0.2">
      <c r="F3044" s="50"/>
    </row>
    <row r="3045" spans="6:6" hidden="1" x14ac:dyDescent="0.2">
      <c r="F3045" s="50"/>
    </row>
    <row r="3046" spans="6:6" hidden="1" x14ac:dyDescent="0.2">
      <c r="F3046" s="50"/>
    </row>
    <row r="3047" spans="6:6" hidden="1" x14ac:dyDescent="0.2">
      <c r="F3047" s="50"/>
    </row>
    <row r="3048" spans="6:6" hidden="1" x14ac:dyDescent="0.2">
      <c r="F3048" s="50"/>
    </row>
    <row r="3049" spans="6:6" hidden="1" x14ac:dyDescent="0.2">
      <c r="F3049" s="50"/>
    </row>
    <row r="3050" spans="6:6" hidden="1" x14ac:dyDescent="0.2">
      <c r="F3050" s="50"/>
    </row>
    <row r="3051" spans="6:6" hidden="1" x14ac:dyDescent="0.2">
      <c r="F3051" s="50"/>
    </row>
    <row r="3052" spans="6:6" hidden="1" x14ac:dyDescent="0.2">
      <c r="F3052" s="50"/>
    </row>
    <row r="3053" spans="6:6" hidden="1" x14ac:dyDescent="0.2">
      <c r="F3053" s="50"/>
    </row>
    <row r="3054" spans="6:6" hidden="1" x14ac:dyDescent="0.2">
      <c r="F3054" s="50"/>
    </row>
    <row r="3055" spans="6:6" hidden="1" x14ac:dyDescent="0.2">
      <c r="F3055" s="50"/>
    </row>
    <row r="3056" spans="6:6" hidden="1" x14ac:dyDescent="0.2">
      <c r="F3056" s="50"/>
    </row>
    <row r="3057" spans="6:6" hidden="1" x14ac:dyDescent="0.2">
      <c r="F3057" s="50"/>
    </row>
    <row r="3060" spans="6:6" hidden="1" x14ac:dyDescent="0.2">
      <c r="F3060" s="50"/>
    </row>
    <row r="3061" spans="6:6" hidden="1" x14ac:dyDescent="0.2">
      <c r="F3061" s="50"/>
    </row>
    <row r="3062" spans="6:6" hidden="1" x14ac:dyDescent="0.2">
      <c r="F3062" s="50"/>
    </row>
    <row r="3063" spans="6:6" hidden="1" x14ac:dyDescent="0.2">
      <c r="F3063" s="50"/>
    </row>
    <row r="3064" spans="6:6" hidden="1" x14ac:dyDescent="0.2">
      <c r="F3064" s="50"/>
    </row>
    <row r="3065" spans="6:6" hidden="1" x14ac:dyDescent="0.2">
      <c r="F3065" s="50"/>
    </row>
    <row r="3066" spans="6:6" hidden="1" x14ac:dyDescent="0.2">
      <c r="F3066" s="50"/>
    </row>
    <row r="3067" spans="6:6" hidden="1" x14ac:dyDescent="0.2">
      <c r="F3067" s="50"/>
    </row>
    <row r="3068" spans="6:6" hidden="1" x14ac:dyDescent="0.2">
      <c r="F3068" s="50"/>
    </row>
    <row r="3069" spans="6:6" hidden="1" x14ac:dyDescent="0.2">
      <c r="F3069" s="50"/>
    </row>
    <row r="3070" spans="6:6" hidden="1" x14ac:dyDescent="0.2">
      <c r="F3070" s="50"/>
    </row>
    <row r="3071" spans="6:6" hidden="1" x14ac:dyDescent="0.2">
      <c r="F3071" s="50"/>
    </row>
    <row r="3072" spans="6:6" hidden="1" x14ac:dyDescent="0.2">
      <c r="F3072" s="50"/>
    </row>
    <row r="3073" spans="6:6" hidden="1" x14ac:dyDescent="0.2">
      <c r="F3073" s="50"/>
    </row>
    <row r="3074" spans="6:6" hidden="1" x14ac:dyDescent="0.2">
      <c r="F3074" s="50"/>
    </row>
    <row r="3075" spans="6:6" hidden="1" x14ac:dyDescent="0.2">
      <c r="F3075" s="50"/>
    </row>
    <row r="3076" spans="6:6" hidden="1" x14ac:dyDescent="0.2">
      <c r="F3076" s="50"/>
    </row>
    <row r="3077" spans="6:6" hidden="1" x14ac:dyDescent="0.2">
      <c r="F3077" s="50"/>
    </row>
    <row r="3078" spans="6:6" hidden="1" x14ac:dyDescent="0.2">
      <c r="F3078" s="50"/>
    </row>
    <row r="3079" spans="6:6" hidden="1" x14ac:dyDescent="0.2">
      <c r="F3079" s="50"/>
    </row>
    <row r="3080" spans="6:6" hidden="1" x14ac:dyDescent="0.2">
      <c r="F3080" s="50"/>
    </row>
    <row r="3081" spans="6:6" hidden="1" x14ac:dyDescent="0.2">
      <c r="F3081" s="50"/>
    </row>
    <row r="3082" spans="6:6" hidden="1" x14ac:dyDescent="0.2">
      <c r="F3082" s="50"/>
    </row>
    <row r="3083" spans="6:6" hidden="1" x14ac:dyDescent="0.2">
      <c r="F3083" s="50"/>
    </row>
    <row r="3084" spans="6:6" hidden="1" x14ac:dyDescent="0.2">
      <c r="F3084" s="50"/>
    </row>
    <row r="3085" spans="6:6" hidden="1" x14ac:dyDescent="0.2">
      <c r="F3085" s="50"/>
    </row>
    <row r="3086" spans="6:6" hidden="1" x14ac:dyDescent="0.2">
      <c r="F3086" s="50"/>
    </row>
    <row r="3087" spans="6:6" hidden="1" x14ac:dyDescent="0.2">
      <c r="F3087" s="50"/>
    </row>
    <row r="3088" spans="6:6" hidden="1" x14ac:dyDescent="0.2">
      <c r="F3088" s="50"/>
    </row>
    <row r="3089" spans="6:6" hidden="1" x14ac:dyDescent="0.2">
      <c r="F3089" s="50"/>
    </row>
    <row r="3090" spans="6:6" hidden="1" x14ac:dyDescent="0.2">
      <c r="F3090" s="50"/>
    </row>
    <row r="3091" spans="6:6" hidden="1" x14ac:dyDescent="0.2">
      <c r="F3091" s="50"/>
    </row>
    <row r="3092" spans="6:6" hidden="1" x14ac:dyDescent="0.2">
      <c r="F3092" s="50"/>
    </row>
    <row r="3093" spans="6:6" hidden="1" x14ac:dyDescent="0.2">
      <c r="F3093" s="50"/>
    </row>
    <row r="3094" spans="6:6" hidden="1" x14ac:dyDescent="0.2">
      <c r="F3094" s="50"/>
    </row>
    <row r="3095" spans="6:6" hidden="1" x14ac:dyDescent="0.2">
      <c r="F3095" s="50"/>
    </row>
    <row r="3096" spans="6:6" hidden="1" x14ac:dyDescent="0.2">
      <c r="F3096" s="50"/>
    </row>
    <row r="3097" spans="6:6" hidden="1" x14ac:dyDescent="0.2">
      <c r="F3097" s="50"/>
    </row>
    <row r="3098" spans="6:6" hidden="1" x14ac:dyDescent="0.2">
      <c r="F3098" s="50"/>
    </row>
    <row r="3099" spans="6:6" hidden="1" x14ac:dyDescent="0.2">
      <c r="F3099" s="50"/>
    </row>
    <row r="3100" spans="6:6" hidden="1" x14ac:dyDescent="0.2">
      <c r="F3100" s="50"/>
    </row>
    <row r="3101" spans="6:6" hidden="1" x14ac:dyDescent="0.2">
      <c r="F3101" s="50"/>
    </row>
    <row r="3102" spans="6:6" hidden="1" x14ac:dyDescent="0.2">
      <c r="F3102" s="50"/>
    </row>
    <row r="3103" spans="6:6" hidden="1" x14ac:dyDescent="0.2">
      <c r="F3103" s="50"/>
    </row>
    <row r="3104" spans="6:6" hidden="1" x14ac:dyDescent="0.2">
      <c r="F3104" s="50"/>
    </row>
    <row r="3105" spans="6:6" hidden="1" x14ac:dyDescent="0.2">
      <c r="F3105" s="50"/>
    </row>
    <row r="3106" spans="6:6" hidden="1" x14ac:dyDescent="0.2">
      <c r="F3106" s="50"/>
    </row>
    <row r="3107" spans="6:6" hidden="1" x14ac:dyDescent="0.2">
      <c r="F3107" s="50"/>
    </row>
    <row r="3108" spans="6:6" hidden="1" x14ac:dyDescent="0.2">
      <c r="F3108" s="50"/>
    </row>
    <row r="3109" spans="6:6" hidden="1" x14ac:dyDescent="0.2">
      <c r="F3109" s="50"/>
    </row>
    <row r="3110" spans="6:6" hidden="1" x14ac:dyDescent="0.2">
      <c r="F3110" s="50"/>
    </row>
    <row r="3111" spans="6:6" hidden="1" x14ac:dyDescent="0.2">
      <c r="F3111" s="50"/>
    </row>
    <row r="3112" spans="6:6" hidden="1" x14ac:dyDescent="0.2">
      <c r="F3112" s="50"/>
    </row>
    <row r="3113" spans="6:6" hidden="1" x14ac:dyDescent="0.2">
      <c r="F3113" s="50"/>
    </row>
    <row r="3114" spans="6:6" hidden="1" x14ac:dyDescent="0.2">
      <c r="F3114" s="50"/>
    </row>
    <row r="3115" spans="6:6" hidden="1" x14ac:dyDescent="0.2">
      <c r="F3115" s="50"/>
    </row>
    <row r="3116" spans="6:6" hidden="1" x14ac:dyDescent="0.2">
      <c r="F3116" s="50"/>
    </row>
    <row r="3117" spans="6:6" hidden="1" x14ac:dyDescent="0.2">
      <c r="F3117" s="50"/>
    </row>
    <row r="3118" spans="6:6" hidden="1" x14ac:dyDescent="0.2">
      <c r="F3118" s="50"/>
    </row>
    <row r="3119" spans="6:6" ht="12" hidden="1" customHeight="1" x14ac:dyDescent="0.2">
      <c r="F3119" s="50"/>
    </row>
    <row r="3120" spans="6:6" hidden="1" x14ac:dyDescent="0.2">
      <c r="F3120" s="50"/>
    </row>
    <row r="3121" spans="6:6" hidden="1" x14ac:dyDescent="0.2">
      <c r="F3121" s="50"/>
    </row>
    <row r="3122" spans="6:6" hidden="1" x14ac:dyDescent="0.2">
      <c r="F3122" s="50"/>
    </row>
    <row r="3123" spans="6:6" hidden="1" x14ac:dyDescent="0.2">
      <c r="F3123" s="50"/>
    </row>
    <row r="3124" spans="6:6" hidden="1" x14ac:dyDescent="0.2">
      <c r="F3124" s="50"/>
    </row>
    <row r="3125" spans="6:6" hidden="1" x14ac:dyDescent="0.2">
      <c r="F3125" s="50"/>
    </row>
    <row r="3126" spans="6:6" hidden="1" x14ac:dyDescent="0.2">
      <c r="F3126" s="50"/>
    </row>
    <row r="3127" spans="6:6" hidden="1" x14ac:dyDescent="0.2">
      <c r="F3127" s="50"/>
    </row>
    <row r="3128" spans="6:6" hidden="1" x14ac:dyDescent="0.2">
      <c r="F3128" s="50"/>
    </row>
    <row r="3129" spans="6:6" hidden="1" x14ac:dyDescent="0.2">
      <c r="F3129" s="50"/>
    </row>
    <row r="3130" spans="6:6" hidden="1" x14ac:dyDescent="0.2">
      <c r="F3130" s="50"/>
    </row>
    <row r="3131" spans="6:6" hidden="1" x14ac:dyDescent="0.2">
      <c r="F3131" s="50"/>
    </row>
    <row r="3132" spans="6:6" hidden="1" x14ac:dyDescent="0.2">
      <c r="F3132" s="50"/>
    </row>
    <row r="3133" spans="6:6" hidden="1" x14ac:dyDescent="0.2">
      <c r="F3133" s="50"/>
    </row>
    <row r="3134" spans="6:6" hidden="1" x14ac:dyDescent="0.2">
      <c r="F3134" s="50"/>
    </row>
    <row r="3135" spans="6:6" hidden="1" x14ac:dyDescent="0.2">
      <c r="F3135" s="50"/>
    </row>
    <row r="3136" spans="6:6" hidden="1" x14ac:dyDescent="0.2">
      <c r="F3136" s="50"/>
    </row>
    <row r="3137" spans="6:6" hidden="1" x14ac:dyDescent="0.2">
      <c r="F3137" s="50"/>
    </row>
    <row r="3138" spans="6:6" hidden="1" x14ac:dyDescent="0.2">
      <c r="F3138" s="50"/>
    </row>
    <row r="3139" spans="6:6" hidden="1" x14ac:dyDescent="0.2">
      <c r="F3139" s="50"/>
    </row>
    <row r="3140" spans="6:6" hidden="1" x14ac:dyDescent="0.2">
      <c r="F3140" s="50"/>
    </row>
    <row r="3141" spans="6:6" hidden="1" x14ac:dyDescent="0.2">
      <c r="F3141" s="50"/>
    </row>
    <row r="3142" spans="6:6" hidden="1" x14ac:dyDescent="0.2">
      <c r="F3142" s="50"/>
    </row>
    <row r="3143" spans="6:6" hidden="1" x14ac:dyDescent="0.2">
      <c r="F3143" s="50"/>
    </row>
    <row r="3144" spans="6:6" hidden="1" x14ac:dyDescent="0.2">
      <c r="F3144" s="50"/>
    </row>
    <row r="3145" spans="6:6" hidden="1" x14ac:dyDescent="0.2">
      <c r="F3145" s="50"/>
    </row>
    <row r="3146" spans="6:6" hidden="1" x14ac:dyDescent="0.2">
      <c r="F3146" s="50"/>
    </row>
    <row r="3147" spans="6:6" hidden="1" x14ac:dyDescent="0.2">
      <c r="F3147" s="50"/>
    </row>
    <row r="3148" spans="6:6" hidden="1" x14ac:dyDescent="0.2">
      <c r="F3148" s="50"/>
    </row>
    <row r="3149" spans="6:6" hidden="1" x14ac:dyDescent="0.2">
      <c r="F3149" s="50"/>
    </row>
    <row r="3150" spans="6:6" hidden="1" x14ac:dyDescent="0.2">
      <c r="F3150" s="50"/>
    </row>
    <row r="3151" spans="6:6" hidden="1" x14ac:dyDescent="0.2">
      <c r="F3151" s="50"/>
    </row>
    <row r="3152" spans="6:6" hidden="1" x14ac:dyDescent="0.2">
      <c r="F3152" s="50"/>
    </row>
    <row r="3153" spans="6:6" hidden="1" x14ac:dyDescent="0.2">
      <c r="F3153" s="50"/>
    </row>
    <row r="3154" spans="6:6" hidden="1" x14ac:dyDescent="0.2">
      <c r="F3154" s="50"/>
    </row>
    <row r="3155" spans="6:6" hidden="1" x14ac:dyDescent="0.2">
      <c r="F3155" s="50"/>
    </row>
    <row r="3156" spans="6:6" hidden="1" x14ac:dyDescent="0.2">
      <c r="F3156" s="50"/>
    </row>
    <row r="3157" spans="6:6" hidden="1" x14ac:dyDescent="0.2">
      <c r="F3157" s="50"/>
    </row>
    <row r="3158" spans="6:6" hidden="1" x14ac:dyDescent="0.2">
      <c r="F3158" s="50"/>
    </row>
    <row r="3159" spans="6:6" hidden="1" x14ac:dyDescent="0.2">
      <c r="F3159" s="50"/>
    </row>
    <row r="3160" spans="6:6" hidden="1" x14ac:dyDescent="0.2">
      <c r="F3160" s="50"/>
    </row>
    <row r="3161" spans="6:6" hidden="1" x14ac:dyDescent="0.2">
      <c r="F3161" s="50"/>
    </row>
    <row r="3162" spans="6:6" hidden="1" x14ac:dyDescent="0.2">
      <c r="F3162" s="50"/>
    </row>
    <row r="3163" spans="6:6" hidden="1" x14ac:dyDescent="0.2">
      <c r="F3163" s="50"/>
    </row>
    <row r="3164" spans="6:6" hidden="1" x14ac:dyDescent="0.2">
      <c r="F3164" s="50"/>
    </row>
    <row r="3165" spans="6:6" hidden="1" x14ac:dyDescent="0.2">
      <c r="F3165" s="50"/>
    </row>
    <row r="3166" spans="6:6" hidden="1" x14ac:dyDescent="0.2">
      <c r="F3166" s="50"/>
    </row>
    <row r="3167" spans="6:6" hidden="1" x14ac:dyDescent="0.2">
      <c r="F3167" s="50"/>
    </row>
    <row r="3168" spans="6:6" hidden="1" x14ac:dyDescent="0.2">
      <c r="F3168" s="50"/>
    </row>
    <row r="3169" spans="6:6" hidden="1" x14ac:dyDescent="0.2">
      <c r="F3169" s="50"/>
    </row>
    <row r="3170" spans="6:6" hidden="1" x14ac:dyDescent="0.2">
      <c r="F3170" s="50"/>
    </row>
    <row r="3171" spans="6:6" hidden="1" x14ac:dyDescent="0.2">
      <c r="F3171" s="50"/>
    </row>
    <row r="3172" spans="6:6" hidden="1" x14ac:dyDescent="0.2">
      <c r="F3172" s="50"/>
    </row>
    <row r="3173" spans="6:6" hidden="1" x14ac:dyDescent="0.2">
      <c r="F3173" s="50"/>
    </row>
    <row r="3174" spans="6:6" hidden="1" x14ac:dyDescent="0.2">
      <c r="F3174" s="50"/>
    </row>
    <row r="3175" spans="6:6" hidden="1" x14ac:dyDescent="0.2">
      <c r="F3175" s="50"/>
    </row>
    <row r="3176" spans="6:6" hidden="1" x14ac:dyDescent="0.2">
      <c r="F3176" s="50"/>
    </row>
    <row r="3177" spans="6:6" hidden="1" x14ac:dyDescent="0.2">
      <c r="F3177" s="50"/>
    </row>
    <row r="3178" spans="6:6" hidden="1" x14ac:dyDescent="0.2">
      <c r="F3178" s="50"/>
    </row>
    <row r="3179" spans="6:6" hidden="1" x14ac:dyDescent="0.2">
      <c r="F3179" s="50"/>
    </row>
    <row r="3180" spans="6:6" hidden="1" x14ac:dyDescent="0.2">
      <c r="F3180" s="50"/>
    </row>
    <row r="3181" spans="6:6" hidden="1" x14ac:dyDescent="0.2">
      <c r="F3181" s="50"/>
    </row>
    <row r="3182" spans="6:6" hidden="1" x14ac:dyDescent="0.2">
      <c r="F3182" s="50"/>
    </row>
    <row r="3183" spans="6:6" hidden="1" x14ac:dyDescent="0.2">
      <c r="F3183" s="50"/>
    </row>
    <row r="3184" spans="6:6" hidden="1" x14ac:dyDescent="0.2">
      <c r="F3184" s="50"/>
    </row>
    <row r="3185" spans="6:6" hidden="1" x14ac:dyDescent="0.2">
      <c r="F3185" s="50"/>
    </row>
    <row r="3186" spans="6:6" hidden="1" x14ac:dyDescent="0.2">
      <c r="F3186" s="50"/>
    </row>
    <row r="3187" spans="6:6" hidden="1" x14ac:dyDescent="0.2">
      <c r="F3187" s="50"/>
    </row>
    <row r="3188" spans="6:6" hidden="1" x14ac:dyDescent="0.2">
      <c r="F3188" s="50"/>
    </row>
    <row r="3189" spans="6:6" hidden="1" x14ac:dyDescent="0.2">
      <c r="F3189" s="50"/>
    </row>
    <row r="3190" spans="6:6" hidden="1" x14ac:dyDescent="0.2">
      <c r="F3190" s="50"/>
    </row>
    <row r="3191" spans="6:6" hidden="1" x14ac:dyDescent="0.2">
      <c r="F3191" s="50"/>
    </row>
    <row r="3192" spans="6:6" hidden="1" x14ac:dyDescent="0.2">
      <c r="F3192" s="50"/>
    </row>
    <row r="3193" spans="6:6" hidden="1" x14ac:dyDescent="0.2">
      <c r="F3193" s="50"/>
    </row>
    <row r="3194" spans="6:6" hidden="1" x14ac:dyDescent="0.2">
      <c r="F3194" s="50"/>
    </row>
    <row r="3195" spans="6:6" hidden="1" x14ac:dyDescent="0.2">
      <c r="F3195" s="50"/>
    </row>
    <row r="3196" spans="6:6" hidden="1" x14ac:dyDescent="0.2">
      <c r="F3196" s="50"/>
    </row>
    <row r="3197" spans="6:6" hidden="1" x14ac:dyDescent="0.2">
      <c r="F3197" s="50"/>
    </row>
    <row r="3198" spans="6:6" hidden="1" x14ac:dyDescent="0.2">
      <c r="F3198" s="50"/>
    </row>
    <row r="3199" spans="6:6" hidden="1" x14ac:dyDescent="0.2">
      <c r="F3199" s="50"/>
    </row>
    <row r="3200" spans="6:6" hidden="1" x14ac:dyDescent="0.2">
      <c r="F3200" s="50"/>
    </row>
    <row r="3202" spans="6:6" hidden="1" x14ac:dyDescent="0.2">
      <c r="F3202" s="50"/>
    </row>
    <row r="3203" spans="6:6" hidden="1" x14ac:dyDescent="0.2">
      <c r="F3203" s="50"/>
    </row>
    <row r="3204" spans="6:6" hidden="1" x14ac:dyDescent="0.2">
      <c r="F3204" s="50"/>
    </row>
    <row r="3205" spans="6:6" hidden="1" x14ac:dyDescent="0.2">
      <c r="F3205" s="50"/>
    </row>
    <row r="3206" spans="6:6" hidden="1" x14ac:dyDescent="0.2">
      <c r="F3206" s="50"/>
    </row>
    <row r="3207" spans="6:6" hidden="1" x14ac:dyDescent="0.2">
      <c r="F3207" s="50"/>
    </row>
    <row r="3208" spans="6:6" hidden="1" x14ac:dyDescent="0.2">
      <c r="F3208" s="50"/>
    </row>
    <row r="3209" spans="6:6" hidden="1" x14ac:dyDescent="0.2">
      <c r="F3209" s="50"/>
    </row>
    <row r="3210" spans="6:6" hidden="1" x14ac:dyDescent="0.2">
      <c r="F3210" s="50"/>
    </row>
    <row r="3211" spans="6:6" hidden="1" x14ac:dyDescent="0.2">
      <c r="F3211" s="50"/>
    </row>
    <row r="3212" spans="6:6" hidden="1" x14ac:dyDescent="0.2">
      <c r="F3212" s="50"/>
    </row>
    <row r="3213" spans="6:6" hidden="1" x14ac:dyDescent="0.2">
      <c r="F3213" s="50"/>
    </row>
    <row r="3215" spans="6:6" hidden="1" x14ac:dyDescent="0.2">
      <c r="F3215" s="50"/>
    </row>
    <row r="3216" spans="6:6" hidden="1" x14ac:dyDescent="0.2">
      <c r="F3216" s="50"/>
    </row>
    <row r="3217" spans="6:6" hidden="1" x14ac:dyDescent="0.2">
      <c r="F3217" s="50"/>
    </row>
    <row r="3218" spans="6:6" hidden="1" x14ac:dyDescent="0.2">
      <c r="F3218" s="50"/>
    </row>
    <row r="3219" spans="6:6" hidden="1" x14ac:dyDescent="0.2">
      <c r="F3219" s="50"/>
    </row>
    <row r="3220" spans="6:6" hidden="1" x14ac:dyDescent="0.2">
      <c r="F3220" s="50"/>
    </row>
    <row r="3221" spans="6:6" hidden="1" x14ac:dyDescent="0.2">
      <c r="F3221" s="50"/>
    </row>
    <row r="3222" spans="6:6" hidden="1" x14ac:dyDescent="0.2">
      <c r="F3222" s="50"/>
    </row>
    <row r="3223" spans="6:6" hidden="1" x14ac:dyDescent="0.2">
      <c r="F3223" s="50"/>
    </row>
    <row r="3224" spans="6:6" hidden="1" x14ac:dyDescent="0.2">
      <c r="F3224" s="50"/>
    </row>
    <row r="3225" spans="6:6" hidden="1" x14ac:dyDescent="0.2">
      <c r="F3225" s="50"/>
    </row>
    <row r="3226" spans="6:6" hidden="1" x14ac:dyDescent="0.2">
      <c r="F3226" s="50"/>
    </row>
    <row r="3227" spans="6:6" hidden="1" x14ac:dyDescent="0.2">
      <c r="F3227" s="50"/>
    </row>
    <row r="3228" spans="6:6" hidden="1" x14ac:dyDescent="0.2">
      <c r="F3228" s="50"/>
    </row>
    <row r="3229" spans="6:6" hidden="1" x14ac:dyDescent="0.2">
      <c r="F3229" s="50"/>
    </row>
    <row r="3230" spans="6:6" hidden="1" x14ac:dyDescent="0.2">
      <c r="F3230" s="50"/>
    </row>
    <row r="3231" spans="6:6" hidden="1" x14ac:dyDescent="0.2">
      <c r="F3231" s="50"/>
    </row>
    <row r="3233" spans="6:6" hidden="1" x14ac:dyDescent="0.2">
      <c r="F3233" s="50"/>
    </row>
    <row r="3234" spans="6:6" hidden="1" x14ac:dyDescent="0.2">
      <c r="F3234" s="50"/>
    </row>
    <row r="3235" spans="6:6" hidden="1" x14ac:dyDescent="0.2">
      <c r="F3235" s="50"/>
    </row>
    <row r="3236" spans="6:6" hidden="1" x14ac:dyDescent="0.2">
      <c r="F3236" s="50"/>
    </row>
    <row r="3237" spans="6:6" hidden="1" x14ac:dyDescent="0.2">
      <c r="F3237" s="50"/>
    </row>
    <row r="3238" spans="6:6" hidden="1" x14ac:dyDescent="0.2">
      <c r="F3238" s="50"/>
    </row>
    <row r="3239" spans="6:6" hidden="1" x14ac:dyDescent="0.2">
      <c r="F3239" s="50"/>
    </row>
    <row r="3240" spans="6:6" hidden="1" x14ac:dyDescent="0.2">
      <c r="F3240" s="50"/>
    </row>
    <row r="3241" spans="6:6" hidden="1" x14ac:dyDescent="0.2">
      <c r="F3241" s="50"/>
    </row>
    <row r="3242" spans="6:6" hidden="1" x14ac:dyDescent="0.2">
      <c r="F3242" s="50"/>
    </row>
    <row r="3243" spans="6:6" hidden="1" x14ac:dyDescent="0.2">
      <c r="F3243" s="50"/>
    </row>
    <row r="3244" spans="6:6" hidden="1" x14ac:dyDescent="0.2">
      <c r="F3244" s="50"/>
    </row>
    <row r="3245" spans="6:6" hidden="1" x14ac:dyDescent="0.2">
      <c r="F3245" s="50"/>
    </row>
    <row r="3246" spans="6:6" hidden="1" x14ac:dyDescent="0.2">
      <c r="F3246" s="50"/>
    </row>
    <row r="3247" spans="6:6" hidden="1" x14ac:dyDescent="0.2">
      <c r="F3247" s="50"/>
    </row>
    <row r="3248" spans="6:6" hidden="1" x14ac:dyDescent="0.2">
      <c r="F3248" s="50"/>
    </row>
    <row r="3249" spans="6:6" hidden="1" x14ac:dyDescent="0.2">
      <c r="F3249" s="50"/>
    </row>
    <row r="3250" spans="6:6" hidden="1" x14ac:dyDescent="0.2">
      <c r="F3250" s="50"/>
    </row>
    <row r="3251" spans="6:6" hidden="1" x14ac:dyDescent="0.2">
      <c r="F3251" s="50"/>
    </row>
    <row r="3252" spans="6:6" hidden="1" x14ac:dyDescent="0.2">
      <c r="F3252" s="50"/>
    </row>
    <row r="3253" spans="6:6" hidden="1" x14ac:dyDescent="0.2">
      <c r="F3253" s="50"/>
    </row>
    <row r="3254" spans="6:6" hidden="1" x14ac:dyDescent="0.2">
      <c r="F3254" s="50"/>
    </row>
    <row r="3255" spans="6:6" hidden="1" x14ac:dyDescent="0.2">
      <c r="F3255" s="50"/>
    </row>
    <row r="3256" spans="6:6" hidden="1" x14ac:dyDescent="0.2">
      <c r="F3256" s="50"/>
    </row>
    <row r="3260" spans="6:6" hidden="1" x14ac:dyDescent="0.2">
      <c r="F3260" s="50"/>
    </row>
    <row r="3261" spans="6:6" hidden="1" x14ac:dyDescent="0.2">
      <c r="F3261" s="50"/>
    </row>
    <row r="3262" spans="6:6" hidden="1" x14ac:dyDescent="0.2">
      <c r="F3262" s="50"/>
    </row>
    <row r="3263" spans="6:6" hidden="1" x14ac:dyDescent="0.2">
      <c r="F3263" s="50"/>
    </row>
    <row r="3264" spans="6:6" hidden="1" x14ac:dyDescent="0.2">
      <c r="F3264" s="50"/>
    </row>
    <row r="3265" spans="6:6" hidden="1" x14ac:dyDescent="0.2">
      <c r="F3265" s="50"/>
    </row>
    <row r="3266" spans="6:6" hidden="1" x14ac:dyDescent="0.2">
      <c r="F3266" s="50"/>
    </row>
    <row r="3267" spans="6:6" hidden="1" x14ac:dyDescent="0.2">
      <c r="F3267" s="50"/>
    </row>
    <row r="3268" spans="6:6" hidden="1" x14ac:dyDescent="0.2">
      <c r="F3268" s="50"/>
    </row>
    <row r="3269" spans="6:6" hidden="1" x14ac:dyDescent="0.2">
      <c r="F3269" s="50"/>
    </row>
    <row r="3270" spans="6:6" hidden="1" x14ac:dyDescent="0.2">
      <c r="F3270" s="50"/>
    </row>
    <row r="3271" spans="6:6" hidden="1" x14ac:dyDescent="0.2">
      <c r="F3271" s="50"/>
    </row>
    <row r="3272" spans="6:6" hidden="1" x14ac:dyDescent="0.2">
      <c r="F3272" s="50"/>
    </row>
    <row r="3273" spans="6:6" hidden="1" x14ac:dyDescent="0.2">
      <c r="F3273" s="50"/>
    </row>
    <row r="3274" spans="6:6" hidden="1" x14ac:dyDescent="0.2">
      <c r="F3274" s="50"/>
    </row>
    <row r="3275" spans="6:6" hidden="1" x14ac:dyDescent="0.2">
      <c r="F3275" s="50"/>
    </row>
    <row r="3276" spans="6:6" hidden="1" x14ac:dyDescent="0.2">
      <c r="F3276" s="50"/>
    </row>
    <row r="3277" spans="6:6" hidden="1" x14ac:dyDescent="0.2">
      <c r="F3277" s="50"/>
    </row>
    <row r="3278" spans="6:6" hidden="1" x14ac:dyDescent="0.2">
      <c r="F3278" s="50"/>
    </row>
    <row r="3279" spans="6:6" hidden="1" x14ac:dyDescent="0.2">
      <c r="F3279" s="50"/>
    </row>
    <row r="3280" spans="6:6" hidden="1" x14ac:dyDescent="0.2">
      <c r="F3280" s="50"/>
    </row>
    <row r="3282" spans="6:6" hidden="1" x14ac:dyDescent="0.2">
      <c r="F3282" s="50"/>
    </row>
    <row r="3283" spans="6:6" hidden="1" x14ac:dyDescent="0.2">
      <c r="F3283" s="50"/>
    </row>
    <row r="3284" spans="6:6" hidden="1" x14ac:dyDescent="0.2">
      <c r="F3284" s="50"/>
    </row>
    <row r="3285" spans="6:6" hidden="1" x14ac:dyDescent="0.2">
      <c r="F3285" s="50"/>
    </row>
    <row r="3286" spans="6:6" hidden="1" x14ac:dyDescent="0.2">
      <c r="F3286" s="50"/>
    </row>
    <row r="3287" spans="6:6" hidden="1" x14ac:dyDescent="0.2">
      <c r="F3287" s="50"/>
    </row>
    <row r="3288" spans="6:6" hidden="1" x14ac:dyDescent="0.2">
      <c r="F3288" s="50"/>
    </row>
    <row r="3289" spans="6:6" hidden="1" x14ac:dyDescent="0.2">
      <c r="F3289" s="50"/>
    </row>
    <row r="3290" spans="6:6" hidden="1" x14ac:dyDescent="0.2">
      <c r="F3290" s="50"/>
    </row>
    <row r="3291" spans="6:6" hidden="1" x14ac:dyDescent="0.2">
      <c r="F3291" s="50"/>
    </row>
    <row r="3292" spans="6:6" hidden="1" x14ac:dyDescent="0.2">
      <c r="F3292" s="50"/>
    </row>
    <row r="3293" spans="6:6" hidden="1" x14ac:dyDescent="0.2">
      <c r="F3293" s="50"/>
    </row>
    <row r="3294" spans="6:6" hidden="1" x14ac:dyDescent="0.2">
      <c r="F3294" s="50"/>
    </row>
    <row r="3295" spans="6:6" hidden="1" x14ac:dyDescent="0.2">
      <c r="F3295" s="50"/>
    </row>
    <row r="3296" spans="6:6" hidden="1" x14ac:dyDescent="0.2">
      <c r="F3296" s="50"/>
    </row>
    <row r="3297" spans="1:6" hidden="1" x14ac:dyDescent="0.2">
      <c r="F3297" s="50"/>
    </row>
    <row r="3298" spans="1:6" hidden="1" x14ac:dyDescent="0.2">
      <c r="F3298" s="50"/>
    </row>
    <row r="3299" spans="1:6" hidden="1" x14ac:dyDescent="0.2">
      <c r="F3299" s="50"/>
    </row>
    <row r="3300" spans="1:6" hidden="1" x14ac:dyDescent="0.2">
      <c r="F3300" s="50"/>
    </row>
    <row r="3301" spans="1:6" ht="15" hidden="1" thickBot="1" x14ac:dyDescent="0.25">
      <c r="F3301" s="50"/>
    </row>
    <row r="3302" spans="1:6" ht="15.75" hidden="1" thickBot="1" x14ac:dyDescent="0.25">
      <c r="A3302" s="63"/>
      <c r="C3302" s="63"/>
    </row>
    <row r="3303" spans="1:6" ht="15.75" hidden="1" thickBot="1" x14ac:dyDescent="0.25">
      <c r="A3303" s="59"/>
      <c r="C3303" s="59"/>
    </row>
    <row r="3304" spans="1:6" ht="15.75" hidden="1" thickBot="1" x14ac:dyDescent="0.25">
      <c r="A3304" s="59"/>
      <c r="C3304" s="59"/>
    </row>
    <row r="3305" spans="1:6" ht="15.75" hidden="1" thickBot="1" x14ac:dyDescent="0.25">
      <c r="A3305" s="59"/>
      <c r="C3305" s="59"/>
    </row>
    <row r="3306" spans="1:6" ht="15.75" hidden="1" thickBot="1" x14ac:dyDescent="0.25">
      <c r="A3306" s="59"/>
    </row>
    <row r="3307" spans="1:6" hidden="1" x14ac:dyDescent="0.2">
      <c r="F3307" s="50"/>
    </row>
    <row r="3308" spans="1:6" ht="15.75" hidden="1" thickBot="1" x14ac:dyDescent="0.25">
      <c r="A3308" s="59"/>
      <c r="C3308" s="59"/>
    </row>
    <row r="3309" spans="1:6" ht="15.75" hidden="1" thickBot="1" x14ac:dyDescent="0.25">
      <c r="A3309" s="63"/>
      <c r="C3309" s="63"/>
    </row>
    <row r="3310" spans="1:6" ht="15.75" hidden="1" thickBot="1" x14ac:dyDescent="0.25">
      <c r="A3310" s="59"/>
      <c r="C3310" s="59"/>
    </row>
    <row r="3311" spans="1:6" ht="15.75" hidden="1" thickBot="1" x14ac:dyDescent="0.25">
      <c r="A3311" s="59"/>
      <c r="C3311" s="59"/>
    </row>
    <row r="3312" spans="1:6" ht="15.75" hidden="1" thickBot="1" x14ac:dyDescent="0.25">
      <c r="A3312" s="59"/>
      <c r="C3312" s="59"/>
    </row>
    <row r="3313" spans="1:6" ht="15.75" hidden="1" thickBot="1" x14ac:dyDescent="0.25">
      <c r="A3313" s="59"/>
      <c r="C3313" s="59"/>
    </row>
    <row r="3314" spans="1:6" ht="15" hidden="1" thickBot="1" x14ac:dyDescent="0.25">
      <c r="A3314" s="55"/>
      <c r="C3314" s="55"/>
    </row>
    <row r="3315" spans="1:6" ht="15.75" hidden="1" thickBot="1" x14ac:dyDescent="0.25">
      <c r="A3315" s="63"/>
      <c r="C3315" s="63"/>
    </row>
    <row r="3316" spans="1:6" ht="15.75" hidden="1" thickBot="1" x14ac:dyDescent="0.25">
      <c r="A3316" s="59"/>
      <c r="C3316" s="59"/>
    </row>
    <row r="3317" spans="1:6" hidden="1" x14ac:dyDescent="0.2">
      <c r="A3317" s="65"/>
      <c r="C3317" s="65"/>
    </row>
    <row r="3318" spans="1:6" hidden="1" x14ac:dyDescent="0.2">
      <c r="F3318" s="50"/>
    </row>
    <row r="3319" spans="1:6" hidden="1" x14ac:dyDescent="0.2">
      <c r="F3319" s="50"/>
    </row>
    <row r="3321" spans="1:6" hidden="1" x14ac:dyDescent="0.2">
      <c r="F3321" s="50"/>
    </row>
    <row r="3322" spans="1:6" hidden="1" x14ac:dyDescent="0.2">
      <c r="F3322" s="50"/>
    </row>
    <row r="3323" spans="1:6" hidden="1" x14ac:dyDescent="0.2">
      <c r="F3323" s="50"/>
    </row>
    <row r="3324" spans="1:6" hidden="1" x14ac:dyDescent="0.2">
      <c r="F3324" s="50"/>
    </row>
    <row r="3325" spans="1:6" hidden="1" x14ac:dyDescent="0.2">
      <c r="F3325" s="50"/>
    </row>
    <row r="3326" spans="1:6" hidden="1" x14ac:dyDescent="0.2">
      <c r="F3326" s="50"/>
    </row>
    <row r="3327" spans="1:6" hidden="1" x14ac:dyDescent="0.2">
      <c r="F3327" s="50"/>
    </row>
    <row r="3328" spans="1:6" hidden="1" x14ac:dyDescent="0.2">
      <c r="F3328" s="50"/>
    </row>
    <row r="3329" spans="6:6" hidden="1" x14ac:dyDescent="0.2">
      <c r="F3329" s="50"/>
    </row>
    <row r="3330" spans="6:6" hidden="1" x14ac:dyDescent="0.2">
      <c r="F3330" s="50"/>
    </row>
    <row r="3331" spans="6:6" hidden="1" x14ac:dyDescent="0.2">
      <c r="F3331" s="50"/>
    </row>
    <row r="3332" spans="6:6" hidden="1" x14ac:dyDescent="0.2">
      <c r="F3332" s="50"/>
    </row>
    <row r="3333" spans="6:6" hidden="1" x14ac:dyDescent="0.2">
      <c r="F3333" s="50"/>
    </row>
    <row r="3334" spans="6:6" hidden="1" x14ac:dyDescent="0.2">
      <c r="F3334" s="50"/>
    </row>
    <row r="3335" spans="6:6" hidden="1" x14ac:dyDescent="0.2">
      <c r="F3335" s="50"/>
    </row>
    <row r="3336" spans="6:6" hidden="1" x14ac:dyDescent="0.2">
      <c r="F3336" s="50"/>
    </row>
    <row r="3337" spans="6:6" hidden="1" x14ac:dyDescent="0.2">
      <c r="F3337" s="50"/>
    </row>
    <row r="3338" spans="6:6" hidden="1" x14ac:dyDescent="0.2">
      <c r="F3338" s="50"/>
    </row>
    <row r="3339" spans="6:6" hidden="1" x14ac:dyDescent="0.2">
      <c r="F3339" s="50"/>
    </row>
    <row r="3340" spans="6:6" hidden="1" x14ac:dyDescent="0.2">
      <c r="F3340" s="50"/>
    </row>
    <row r="3341" spans="6:6" hidden="1" x14ac:dyDescent="0.2">
      <c r="F3341" s="50"/>
    </row>
    <row r="3342" spans="6:6" hidden="1" x14ac:dyDescent="0.2">
      <c r="F3342" s="50"/>
    </row>
    <row r="3343" spans="6:6" hidden="1" x14ac:dyDescent="0.2">
      <c r="F3343" s="50"/>
    </row>
    <row r="3344" spans="6:6" hidden="1" x14ac:dyDescent="0.2">
      <c r="F3344" s="50"/>
    </row>
    <row r="3345" spans="6:6" hidden="1" x14ac:dyDescent="0.2">
      <c r="F3345" s="50"/>
    </row>
    <row r="3346" spans="6:6" hidden="1" x14ac:dyDescent="0.2">
      <c r="F3346" s="50"/>
    </row>
    <row r="3347" spans="6:6" hidden="1" x14ac:dyDescent="0.2">
      <c r="F3347" s="50"/>
    </row>
    <row r="3348" spans="6:6" hidden="1" x14ac:dyDescent="0.2">
      <c r="F3348" s="50"/>
    </row>
    <row r="3349" spans="6:6" hidden="1" x14ac:dyDescent="0.2">
      <c r="F3349" s="50"/>
    </row>
    <row r="3350" spans="6:6" hidden="1" x14ac:dyDescent="0.2">
      <c r="F3350" s="50"/>
    </row>
    <row r="3351" spans="6:6" hidden="1" x14ac:dyDescent="0.2">
      <c r="F3351" s="50"/>
    </row>
    <row r="3352" spans="6:6" hidden="1" x14ac:dyDescent="0.2">
      <c r="F3352" s="50"/>
    </row>
    <row r="3353" spans="6:6" hidden="1" x14ac:dyDescent="0.2">
      <c r="F3353" s="50"/>
    </row>
    <row r="3354" spans="6:6" hidden="1" x14ac:dyDescent="0.2">
      <c r="F3354" s="50"/>
    </row>
    <row r="3355" spans="6:6" hidden="1" x14ac:dyDescent="0.2">
      <c r="F3355" s="50"/>
    </row>
    <row r="3356" spans="6:6" hidden="1" x14ac:dyDescent="0.2">
      <c r="F3356" s="50"/>
    </row>
    <row r="3357" spans="6:6" hidden="1" x14ac:dyDescent="0.2">
      <c r="F3357" s="50"/>
    </row>
    <row r="3358" spans="6:6" hidden="1" x14ac:dyDescent="0.2">
      <c r="F3358" s="50"/>
    </row>
    <row r="3359" spans="6:6" hidden="1" x14ac:dyDescent="0.2">
      <c r="F3359" s="50"/>
    </row>
    <row r="3360" spans="6:6" hidden="1" x14ac:dyDescent="0.2">
      <c r="F3360" s="50"/>
    </row>
    <row r="3361" spans="6:6" hidden="1" x14ac:dyDescent="0.2">
      <c r="F3361" s="50"/>
    </row>
    <row r="3362" spans="6:6" hidden="1" x14ac:dyDescent="0.2">
      <c r="F3362" s="50"/>
    </row>
    <row r="3363" spans="6:6" hidden="1" x14ac:dyDescent="0.2">
      <c r="F3363" s="50"/>
    </row>
    <row r="3364" spans="6:6" hidden="1" x14ac:dyDescent="0.2">
      <c r="F3364" s="50"/>
    </row>
    <row r="3365" spans="6:6" hidden="1" x14ac:dyDescent="0.2">
      <c r="F3365" s="50"/>
    </row>
    <row r="3366" spans="6:6" hidden="1" x14ac:dyDescent="0.2">
      <c r="F3366" s="50"/>
    </row>
    <row r="3367" spans="6:6" hidden="1" x14ac:dyDescent="0.2">
      <c r="F3367" s="50"/>
    </row>
    <row r="3368" spans="6:6" hidden="1" x14ac:dyDescent="0.2">
      <c r="F3368" s="50"/>
    </row>
    <row r="3369" spans="6:6" hidden="1" x14ac:dyDescent="0.2">
      <c r="F3369" s="50"/>
    </row>
    <row r="3370" spans="6:6" hidden="1" x14ac:dyDescent="0.2">
      <c r="F3370" s="50"/>
    </row>
    <row r="3371" spans="6:6" hidden="1" x14ac:dyDescent="0.2">
      <c r="F3371" s="50"/>
    </row>
    <row r="3372" spans="6:6" hidden="1" x14ac:dyDescent="0.2">
      <c r="F3372" s="50"/>
    </row>
    <row r="3373" spans="6:6" hidden="1" x14ac:dyDescent="0.2">
      <c r="F3373" s="50"/>
    </row>
    <row r="3374" spans="6:6" hidden="1" x14ac:dyDescent="0.2">
      <c r="F3374" s="50"/>
    </row>
    <row r="3375" spans="6:6" hidden="1" x14ac:dyDescent="0.2">
      <c r="F3375" s="50"/>
    </row>
    <row r="3376" spans="6:6" hidden="1" x14ac:dyDescent="0.2">
      <c r="F3376" s="50"/>
    </row>
    <row r="3379" spans="6:6" hidden="1" x14ac:dyDescent="0.2">
      <c r="F3379" s="50"/>
    </row>
    <row r="3380" spans="6:6" hidden="1" x14ac:dyDescent="0.2">
      <c r="F3380" s="50"/>
    </row>
    <row r="3381" spans="6:6" hidden="1" x14ac:dyDescent="0.2">
      <c r="F3381" s="50"/>
    </row>
    <row r="3382" spans="6:6" hidden="1" x14ac:dyDescent="0.2">
      <c r="F3382" s="50"/>
    </row>
    <row r="3386" spans="6:6" hidden="1" x14ac:dyDescent="0.2">
      <c r="F3386" s="50"/>
    </row>
    <row r="3387" spans="6:6" hidden="1" x14ac:dyDescent="0.2">
      <c r="F3387" s="50"/>
    </row>
    <row r="3388" spans="6:6" hidden="1" x14ac:dyDescent="0.2">
      <c r="F3388" s="50"/>
    </row>
    <row r="3389" spans="6:6" hidden="1" x14ac:dyDescent="0.2">
      <c r="F3389" s="50"/>
    </row>
    <row r="3390" spans="6:6" hidden="1" x14ac:dyDescent="0.2">
      <c r="F3390" s="50"/>
    </row>
    <row r="3391" spans="6:6" hidden="1" x14ac:dyDescent="0.2">
      <c r="F3391" s="50"/>
    </row>
    <row r="3392" spans="6:6" hidden="1" x14ac:dyDescent="0.2">
      <c r="F3392" s="50"/>
    </row>
    <row r="3393" spans="6:6" hidden="1" x14ac:dyDescent="0.2">
      <c r="F3393" s="50"/>
    </row>
    <row r="3394" spans="6:6" hidden="1" x14ac:dyDescent="0.2">
      <c r="F3394" s="50"/>
    </row>
    <row r="3396" spans="6:6" hidden="1" x14ac:dyDescent="0.2">
      <c r="F3396" s="50"/>
    </row>
    <row r="3397" spans="6:6" hidden="1" x14ac:dyDescent="0.2">
      <c r="F3397" s="50"/>
    </row>
    <row r="3398" spans="6:6" hidden="1" x14ac:dyDescent="0.2">
      <c r="F3398" s="50"/>
    </row>
    <row r="3399" spans="6:6" hidden="1" x14ac:dyDescent="0.2">
      <c r="F3399" s="50"/>
    </row>
    <row r="3400" spans="6:6" hidden="1" x14ac:dyDescent="0.2">
      <c r="F3400" s="50"/>
    </row>
    <row r="3401" spans="6:6" hidden="1" x14ac:dyDescent="0.2">
      <c r="F3401" s="50"/>
    </row>
    <row r="3402" spans="6:6" hidden="1" x14ac:dyDescent="0.2">
      <c r="F3402" s="50"/>
    </row>
    <row r="3403" spans="6:6" hidden="1" x14ac:dyDescent="0.2">
      <c r="F3403" s="50"/>
    </row>
    <row r="3404" spans="6:6" hidden="1" x14ac:dyDescent="0.2">
      <c r="F3404" s="50"/>
    </row>
    <row r="3405" spans="6:6" hidden="1" x14ac:dyDescent="0.2">
      <c r="F3405" s="50"/>
    </row>
    <row r="3407" spans="6:6" hidden="1" x14ac:dyDescent="0.2">
      <c r="F3407" s="50"/>
    </row>
    <row r="3408" spans="6:6" hidden="1" x14ac:dyDescent="0.2">
      <c r="F3408" s="50"/>
    </row>
    <row r="3409" spans="6:6" hidden="1" x14ac:dyDescent="0.2">
      <c r="F3409" s="50"/>
    </row>
    <row r="3410" spans="6:6" hidden="1" x14ac:dyDescent="0.2">
      <c r="F3410" s="50"/>
    </row>
    <row r="3411" spans="6:6" hidden="1" x14ac:dyDescent="0.2">
      <c r="F3411" s="50"/>
    </row>
    <row r="3412" spans="6:6" hidden="1" x14ac:dyDescent="0.2">
      <c r="F3412" s="50"/>
    </row>
    <row r="3413" spans="6:6" hidden="1" x14ac:dyDescent="0.2">
      <c r="F3413" s="50"/>
    </row>
    <row r="3414" spans="6:6" hidden="1" x14ac:dyDescent="0.2">
      <c r="F3414" s="50"/>
    </row>
    <row r="3415" spans="6:6" hidden="1" x14ac:dyDescent="0.2">
      <c r="F3415" s="50"/>
    </row>
    <row r="3417" spans="6:6" hidden="1" x14ac:dyDescent="0.2">
      <c r="F3417" s="50"/>
    </row>
    <row r="3418" spans="6:6" hidden="1" x14ac:dyDescent="0.2">
      <c r="F3418" s="50"/>
    </row>
    <row r="3419" spans="6:6" hidden="1" x14ac:dyDescent="0.2">
      <c r="F3419" s="50"/>
    </row>
    <row r="3420" spans="6:6" hidden="1" x14ac:dyDescent="0.2">
      <c r="F3420" s="50"/>
    </row>
    <row r="3421" spans="6:6" hidden="1" x14ac:dyDescent="0.2">
      <c r="F3421" s="50"/>
    </row>
    <row r="3422" spans="6:6" hidden="1" x14ac:dyDescent="0.2">
      <c r="F3422" s="50"/>
    </row>
    <row r="3423" spans="6:6" hidden="1" x14ac:dyDescent="0.2">
      <c r="F3423" s="50"/>
    </row>
    <row r="3424" spans="6:6" hidden="1" x14ac:dyDescent="0.2">
      <c r="F3424" s="50"/>
    </row>
    <row r="3425" spans="6:6" hidden="1" x14ac:dyDescent="0.2">
      <c r="F3425" s="50"/>
    </row>
    <row r="3426" spans="6:6" hidden="1" x14ac:dyDescent="0.2">
      <c r="F3426" s="50"/>
    </row>
    <row r="3427" spans="6:6" hidden="1" x14ac:dyDescent="0.2">
      <c r="F3427" s="50"/>
    </row>
    <row r="3428" spans="6:6" hidden="1" x14ac:dyDescent="0.2">
      <c r="F3428" s="50"/>
    </row>
    <row r="3429" spans="6:6" hidden="1" x14ac:dyDescent="0.2">
      <c r="F3429" s="50"/>
    </row>
    <row r="3430" spans="6:6" hidden="1" x14ac:dyDescent="0.2">
      <c r="F3430" s="50"/>
    </row>
    <row r="3439" spans="6:6" hidden="1" x14ac:dyDescent="0.2">
      <c r="F3439" s="50"/>
    </row>
    <row r="3440" spans="6:6" hidden="1" x14ac:dyDescent="0.2">
      <c r="F3440" s="50"/>
    </row>
    <row r="3441" spans="6:6" hidden="1" x14ac:dyDescent="0.2">
      <c r="F3441" s="50"/>
    </row>
    <row r="3442" spans="6:6" hidden="1" x14ac:dyDescent="0.2">
      <c r="F3442" s="50"/>
    </row>
    <row r="3443" spans="6:6" hidden="1" x14ac:dyDescent="0.2">
      <c r="F3443" s="50"/>
    </row>
    <row r="3444" spans="6:6" hidden="1" x14ac:dyDescent="0.2">
      <c r="F3444" s="50"/>
    </row>
    <row r="3445" spans="6:6" hidden="1" x14ac:dyDescent="0.2">
      <c r="F3445" s="50"/>
    </row>
    <row r="3446" spans="6:6" hidden="1" x14ac:dyDescent="0.2">
      <c r="F3446" s="50"/>
    </row>
    <row r="3447" spans="6:6" hidden="1" x14ac:dyDescent="0.2">
      <c r="F3447" s="50"/>
    </row>
    <row r="3448" spans="6:6" hidden="1" x14ac:dyDescent="0.2">
      <c r="F3448" s="50"/>
    </row>
    <row r="3449" spans="6:6" hidden="1" x14ac:dyDescent="0.2">
      <c r="F3449" s="50"/>
    </row>
    <row r="3450" spans="6:6" hidden="1" x14ac:dyDescent="0.2">
      <c r="F3450" s="50"/>
    </row>
    <row r="3451" spans="6:6" hidden="1" x14ac:dyDescent="0.2">
      <c r="F3451" s="50"/>
    </row>
    <row r="3452" spans="6:6" hidden="1" x14ac:dyDescent="0.2">
      <c r="F3452" s="50"/>
    </row>
    <row r="3453" spans="6:6" hidden="1" x14ac:dyDescent="0.2">
      <c r="F3453" s="50"/>
    </row>
    <row r="3454" spans="6:6" hidden="1" x14ac:dyDescent="0.2">
      <c r="F3454" s="50"/>
    </row>
    <row r="3455" spans="6:6" hidden="1" x14ac:dyDescent="0.2">
      <c r="F3455" s="50"/>
    </row>
    <row r="3456" spans="6:6" hidden="1" x14ac:dyDescent="0.2">
      <c r="F3456" s="50"/>
    </row>
    <row r="3457" spans="6:6" hidden="1" x14ac:dyDescent="0.2">
      <c r="F3457" s="50"/>
    </row>
    <row r="3458" spans="6:6" hidden="1" x14ac:dyDescent="0.2">
      <c r="F3458" s="50"/>
    </row>
    <row r="3459" spans="6:6" hidden="1" x14ac:dyDescent="0.2">
      <c r="F3459" s="50"/>
    </row>
    <row r="3460" spans="6:6" hidden="1" x14ac:dyDescent="0.2">
      <c r="F3460" s="50"/>
    </row>
    <row r="3461" spans="6:6" hidden="1" x14ac:dyDescent="0.2">
      <c r="F3461" s="50"/>
    </row>
    <row r="3462" spans="6:6" hidden="1" x14ac:dyDescent="0.2">
      <c r="F3462" s="50"/>
    </row>
    <row r="3463" spans="6:6" hidden="1" x14ac:dyDescent="0.2">
      <c r="F3463" s="50"/>
    </row>
    <row r="3464" spans="6:6" hidden="1" x14ac:dyDescent="0.2">
      <c r="F3464" s="50"/>
    </row>
    <row r="3465" spans="6:6" hidden="1" x14ac:dyDescent="0.2">
      <c r="F3465" s="50"/>
    </row>
    <row r="3466" spans="6:6" hidden="1" x14ac:dyDescent="0.2">
      <c r="F3466" s="50"/>
    </row>
    <row r="3488" spans="6:7" hidden="1" x14ac:dyDescent="0.2">
      <c r="F3488" s="50"/>
      <c r="G3488" s="50"/>
    </row>
    <row r="3496" spans="6:6" hidden="1" x14ac:dyDescent="0.2">
      <c r="F3496" s="50"/>
    </row>
    <row r="3498" spans="6:6" hidden="1" x14ac:dyDescent="0.2">
      <c r="F3498" s="50"/>
    </row>
    <row r="3499" spans="6:6" hidden="1" x14ac:dyDescent="0.2">
      <c r="F3499" s="50"/>
    </row>
    <row r="3500" spans="6:6" hidden="1" x14ac:dyDescent="0.2">
      <c r="F3500" s="50"/>
    </row>
    <row r="3501" spans="6:6" hidden="1" x14ac:dyDescent="0.2">
      <c r="F3501" s="50"/>
    </row>
    <row r="3502" spans="6:6" hidden="1" x14ac:dyDescent="0.2">
      <c r="F3502" s="50"/>
    </row>
    <row r="3503" spans="6:6" hidden="1" x14ac:dyDescent="0.2">
      <c r="F3503" s="50"/>
    </row>
    <row r="3504" spans="6:6" hidden="1" x14ac:dyDescent="0.2">
      <c r="F3504" s="50"/>
    </row>
    <row r="3505" spans="6:6" hidden="1" x14ac:dyDescent="0.2">
      <c r="F3505" s="50"/>
    </row>
    <row r="3506" spans="6:6" hidden="1" x14ac:dyDescent="0.2">
      <c r="F3506" s="50"/>
    </row>
    <row r="3507" spans="6:6" hidden="1" x14ac:dyDescent="0.2">
      <c r="F3507" s="50"/>
    </row>
    <row r="3508" spans="6:6" hidden="1" x14ac:dyDescent="0.2">
      <c r="F3508" s="50"/>
    </row>
    <row r="3509" spans="6:6" hidden="1" x14ac:dyDescent="0.2">
      <c r="F3509" s="50"/>
    </row>
    <row r="3510" spans="6:6" hidden="1" x14ac:dyDescent="0.2">
      <c r="F3510" s="50"/>
    </row>
    <row r="3511" spans="6:6" hidden="1" x14ac:dyDescent="0.2">
      <c r="F3511" s="50"/>
    </row>
    <row r="3512" spans="6:6" hidden="1" x14ac:dyDescent="0.2">
      <c r="F3512" s="50"/>
    </row>
    <row r="3513" spans="6:6" hidden="1" x14ac:dyDescent="0.2">
      <c r="F3513" s="50"/>
    </row>
    <row r="3514" spans="6:6" hidden="1" x14ac:dyDescent="0.2">
      <c r="F3514" s="50"/>
    </row>
    <row r="3515" spans="6:6" hidden="1" x14ac:dyDescent="0.2">
      <c r="F3515" s="50"/>
    </row>
    <row r="3516" spans="6:6" hidden="1" x14ac:dyDescent="0.2">
      <c r="F3516" s="50"/>
    </row>
    <row r="3517" spans="6:6" hidden="1" x14ac:dyDescent="0.2">
      <c r="F3517" s="50"/>
    </row>
    <row r="3518" spans="6:6" hidden="1" x14ac:dyDescent="0.2">
      <c r="F3518" s="50"/>
    </row>
    <row r="3519" spans="6:6" hidden="1" x14ac:dyDescent="0.2">
      <c r="F3519" s="50"/>
    </row>
    <row r="3520" spans="6:6" hidden="1" x14ac:dyDescent="0.2">
      <c r="F3520" s="50"/>
    </row>
    <row r="3521" spans="6:6" hidden="1" x14ac:dyDescent="0.2">
      <c r="F3521" s="50"/>
    </row>
    <row r="3535" spans="6:6" hidden="1" x14ac:dyDescent="0.2">
      <c r="F3535" s="50"/>
    </row>
    <row r="3536" spans="6:6" hidden="1" x14ac:dyDescent="0.2">
      <c r="F3536" s="50"/>
    </row>
    <row r="3537" spans="6:8" hidden="1" x14ac:dyDescent="0.2">
      <c r="F3537" s="50"/>
    </row>
    <row r="3538" spans="6:8" hidden="1" x14ac:dyDescent="0.2">
      <c r="F3538" s="50"/>
    </row>
    <row r="3539" spans="6:8" hidden="1" x14ac:dyDescent="0.2">
      <c r="F3539" s="50"/>
    </row>
    <row r="3540" spans="6:8" hidden="1" x14ac:dyDescent="0.2">
      <c r="F3540" s="50"/>
    </row>
    <row r="3541" spans="6:8" hidden="1" x14ac:dyDescent="0.2">
      <c r="F3541" s="50"/>
    </row>
    <row r="3543" spans="6:8" hidden="1" x14ac:dyDescent="0.2">
      <c r="F3543" s="50"/>
    </row>
    <row r="3544" spans="6:8" hidden="1" x14ac:dyDescent="0.2">
      <c r="F3544" s="50"/>
    </row>
    <row r="3545" spans="6:8" hidden="1" x14ac:dyDescent="0.2">
      <c r="F3545" s="50"/>
    </row>
    <row r="3546" spans="6:8" hidden="1" x14ac:dyDescent="0.2">
      <c r="F3546" s="50"/>
    </row>
    <row r="3547" spans="6:8" hidden="1" x14ac:dyDescent="0.2">
      <c r="F3547" s="50"/>
    </row>
    <row r="3548" spans="6:8" hidden="1" x14ac:dyDescent="0.2">
      <c r="F3548" s="50"/>
    </row>
    <row r="3549" spans="6:8" hidden="1" x14ac:dyDescent="0.2">
      <c r="F3549" s="50"/>
    </row>
    <row r="3550" spans="6:8" hidden="1" x14ac:dyDescent="0.2">
      <c r="F3550" s="50"/>
      <c r="H3550"/>
    </row>
    <row r="3551" spans="6:8" hidden="1" x14ac:dyDescent="0.2">
      <c r="F3551" s="50"/>
    </row>
    <row r="3552" spans="6:8" hidden="1" x14ac:dyDescent="0.2">
      <c r="F3552" s="50"/>
    </row>
    <row r="3559" spans="6:6" hidden="1" x14ac:dyDescent="0.2">
      <c r="F3559" s="50"/>
    </row>
    <row r="3560" spans="6:6" hidden="1" x14ac:dyDescent="0.2">
      <c r="F3560" s="50"/>
    </row>
    <row r="3561" spans="6:6" hidden="1" x14ac:dyDescent="0.2">
      <c r="F3561" s="50"/>
    </row>
    <row r="3562" spans="6:6" hidden="1" x14ac:dyDescent="0.2">
      <c r="F3562" s="50"/>
    </row>
    <row r="3563" spans="6:6" hidden="1" x14ac:dyDescent="0.2">
      <c r="F3563" s="50"/>
    </row>
    <row r="3564" spans="6:6" hidden="1" x14ac:dyDescent="0.2">
      <c r="F3564" s="50"/>
    </row>
    <row r="3565" spans="6:6" hidden="1" x14ac:dyDescent="0.2">
      <c r="F3565" s="50"/>
    </row>
    <row r="3566" spans="6:6" hidden="1" x14ac:dyDescent="0.2">
      <c r="F3566" s="50"/>
    </row>
    <row r="3567" spans="6:6" hidden="1" x14ac:dyDescent="0.2">
      <c r="F3567" s="50"/>
    </row>
    <row r="3568" spans="6:6" hidden="1" x14ac:dyDescent="0.2">
      <c r="F3568" s="50"/>
    </row>
    <row r="3569" spans="6:6" hidden="1" x14ac:dyDescent="0.2">
      <c r="F3569" s="50"/>
    </row>
    <row r="3570" spans="6:6" hidden="1" x14ac:dyDescent="0.2">
      <c r="F3570" s="50"/>
    </row>
    <row r="3571" spans="6:6" hidden="1" x14ac:dyDescent="0.2">
      <c r="F3571" s="50"/>
    </row>
    <row r="3572" spans="6:6" hidden="1" x14ac:dyDescent="0.2">
      <c r="F3572" s="50"/>
    </row>
    <row r="3573" spans="6:6" hidden="1" x14ac:dyDescent="0.2">
      <c r="F3573" s="50"/>
    </row>
    <row r="3574" spans="6:6" hidden="1" x14ac:dyDescent="0.2">
      <c r="F3574" s="50"/>
    </row>
    <row r="3575" spans="6:6" hidden="1" x14ac:dyDescent="0.2">
      <c r="F3575" s="50"/>
    </row>
    <row r="3576" spans="6:6" hidden="1" x14ac:dyDescent="0.2">
      <c r="F3576" s="50"/>
    </row>
    <row r="3577" spans="6:6" hidden="1" x14ac:dyDescent="0.2">
      <c r="F3577" s="50"/>
    </row>
    <row r="3578" spans="6:6" hidden="1" x14ac:dyDescent="0.2">
      <c r="F3578" s="50"/>
    </row>
    <row r="3579" spans="6:6" hidden="1" x14ac:dyDescent="0.2">
      <c r="F3579" s="50"/>
    </row>
    <row r="3580" spans="6:6" hidden="1" x14ac:dyDescent="0.2">
      <c r="F3580" s="50"/>
    </row>
    <row r="3581" spans="6:6" hidden="1" x14ac:dyDescent="0.2">
      <c r="F3581" s="50"/>
    </row>
    <row r="3582" spans="6:6" hidden="1" x14ac:dyDescent="0.2">
      <c r="F3582" s="50"/>
    </row>
    <row r="3583" spans="6:6" hidden="1" x14ac:dyDescent="0.2">
      <c r="F3583" s="50"/>
    </row>
    <row r="3584" spans="6:6" hidden="1" x14ac:dyDescent="0.2">
      <c r="F3584" s="50"/>
    </row>
    <row r="3585" spans="1:6" hidden="1" x14ac:dyDescent="0.2">
      <c r="F3585" s="50"/>
    </row>
    <row r="3586" spans="1:6" hidden="1" x14ac:dyDescent="0.2">
      <c r="F3586" s="50"/>
    </row>
    <row r="3587" spans="1:6" hidden="1" x14ac:dyDescent="0.2">
      <c r="F3587" s="50"/>
    </row>
    <row r="3588" spans="1:6" ht="15" hidden="1" thickBot="1" x14ac:dyDescent="0.25">
      <c r="F3588" s="50"/>
    </row>
    <row r="3589" spans="1:6" ht="15.75" hidden="1" thickBot="1" x14ac:dyDescent="0.25">
      <c r="A3589" s="63"/>
      <c r="C3589" s="63"/>
    </row>
    <row r="3590" spans="1:6" ht="15.75" hidden="1" thickBot="1" x14ac:dyDescent="0.25">
      <c r="A3590" s="59"/>
      <c r="C3590" s="59"/>
    </row>
    <row r="3591" spans="1:6" ht="15.75" hidden="1" thickBot="1" x14ac:dyDescent="0.25">
      <c r="A3591" s="59"/>
      <c r="C3591" s="59"/>
    </row>
    <row r="3592" spans="1:6" hidden="1" x14ac:dyDescent="0.2">
      <c r="F3592" s="50"/>
    </row>
    <row r="3593" spans="1:6" hidden="1" x14ac:dyDescent="0.2">
      <c r="F3593" s="50"/>
    </row>
    <row r="3595" spans="1:6" hidden="1" x14ac:dyDescent="0.2">
      <c r="F3595" s="50"/>
    </row>
    <row r="3596" spans="1:6" hidden="1" x14ac:dyDescent="0.2">
      <c r="F3596" s="50"/>
    </row>
    <row r="3597" spans="1:6" hidden="1" x14ac:dyDescent="0.2">
      <c r="F3597" s="50"/>
    </row>
    <row r="3598" spans="1:6" hidden="1" x14ac:dyDescent="0.2">
      <c r="F3598" s="50"/>
    </row>
    <row r="3599" spans="1:6" hidden="1" x14ac:dyDescent="0.2">
      <c r="F3599" s="50"/>
    </row>
    <row r="3600" spans="1:6" hidden="1" x14ac:dyDescent="0.2">
      <c r="F3600" s="50"/>
    </row>
    <row r="3601" spans="6:6" hidden="1" x14ac:dyDescent="0.2">
      <c r="F3601" s="50"/>
    </row>
    <row r="3602" spans="6:6" hidden="1" x14ac:dyDescent="0.2">
      <c r="F3602" s="50"/>
    </row>
    <row r="3603" spans="6:6" hidden="1" x14ac:dyDescent="0.2">
      <c r="F3603" s="50"/>
    </row>
    <row r="3604" spans="6:6" hidden="1" x14ac:dyDescent="0.2">
      <c r="F3604" s="50"/>
    </row>
    <row r="3606" spans="6:6" hidden="1" x14ac:dyDescent="0.2">
      <c r="F3606" s="50"/>
    </row>
    <row r="3607" spans="6:6" hidden="1" x14ac:dyDescent="0.2">
      <c r="F3607" s="50"/>
    </row>
    <row r="3608" spans="6:6" hidden="1" x14ac:dyDescent="0.2">
      <c r="F3608" s="50"/>
    </row>
    <row r="3609" spans="6:6" hidden="1" x14ac:dyDescent="0.2">
      <c r="F3609" s="50"/>
    </row>
    <row r="3610" spans="6:6" hidden="1" x14ac:dyDescent="0.2">
      <c r="F3610" s="50"/>
    </row>
    <row r="3611" spans="6:6" hidden="1" x14ac:dyDescent="0.2">
      <c r="F3611" s="50"/>
    </row>
    <row r="3612" spans="6:6" hidden="1" x14ac:dyDescent="0.2">
      <c r="F3612" s="50"/>
    </row>
    <row r="3613" spans="6:6" hidden="1" x14ac:dyDescent="0.2">
      <c r="F3613" s="50"/>
    </row>
    <row r="3614" spans="6:6" hidden="1" x14ac:dyDescent="0.2">
      <c r="F3614" s="50"/>
    </row>
    <row r="3615" spans="6:6" hidden="1" x14ac:dyDescent="0.2">
      <c r="F3615" s="50"/>
    </row>
    <row r="3616" spans="6:6" hidden="1" x14ac:dyDescent="0.2">
      <c r="F3616" s="50"/>
    </row>
    <row r="3617" spans="6:6" hidden="1" x14ac:dyDescent="0.2">
      <c r="F3617" s="50"/>
    </row>
    <row r="3618" spans="6:6" hidden="1" x14ac:dyDescent="0.2">
      <c r="F3618" s="50"/>
    </row>
    <row r="3619" spans="6:6" hidden="1" x14ac:dyDescent="0.2">
      <c r="F3619" s="50"/>
    </row>
    <row r="3620" spans="6:6" hidden="1" x14ac:dyDescent="0.2">
      <c r="F3620" s="50"/>
    </row>
    <row r="3621" spans="6:6" hidden="1" x14ac:dyDescent="0.2">
      <c r="F3621" s="50"/>
    </row>
    <row r="3622" spans="6:6" hidden="1" x14ac:dyDescent="0.2">
      <c r="F3622" s="50"/>
    </row>
    <row r="3623" spans="6:6" hidden="1" x14ac:dyDescent="0.2">
      <c r="F3623" s="50"/>
    </row>
    <row r="3624" spans="6:6" hidden="1" x14ac:dyDescent="0.2">
      <c r="F3624" s="50"/>
    </row>
    <row r="3625" spans="6:6" hidden="1" x14ac:dyDescent="0.2">
      <c r="F3625" s="50"/>
    </row>
    <row r="3626" spans="6:6" hidden="1" x14ac:dyDescent="0.2">
      <c r="F3626" s="50"/>
    </row>
    <row r="3627" spans="6:6" hidden="1" x14ac:dyDescent="0.2">
      <c r="F3627" s="50"/>
    </row>
    <row r="3628" spans="6:6" hidden="1" x14ac:dyDescent="0.2">
      <c r="F3628" s="50"/>
    </row>
    <row r="3629" spans="6:6" hidden="1" x14ac:dyDescent="0.2">
      <c r="F3629" s="50"/>
    </row>
    <row r="3631" spans="6:6" hidden="1" x14ac:dyDescent="0.2">
      <c r="F3631" s="50"/>
    </row>
    <row r="3632" spans="6:6" hidden="1" x14ac:dyDescent="0.2">
      <c r="F3632" s="50"/>
    </row>
    <row r="3633" spans="1:6" hidden="1" x14ac:dyDescent="0.2">
      <c r="F3633" s="50"/>
    </row>
    <row r="3634" spans="1:6" hidden="1" x14ac:dyDescent="0.2">
      <c r="F3634" s="50"/>
    </row>
    <row r="3635" spans="1:6" hidden="1" x14ac:dyDescent="0.2">
      <c r="F3635" s="50"/>
    </row>
    <row r="3637" spans="1:6" hidden="1" x14ac:dyDescent="0.2">
      <c r="F3637" s="50"/>
    </row>
    <row r="3638" spans="1:6" hidden="1" x14ac:dyDescent="0.2">
      <c r="F3638" s="50"/>
    </row>
    <row r="3639" spans="1:6" ht="15.75" hidden="1" thickBot="1" x14ac:dyDescent="0.25">
      <c r="A3639" s="59"/>
    </row>
    <row r="3640" spans="1:6" ht="15.75" hidden="1" thickBot="1" x14ac:dyDescent="0.25">
      <c r="A3640" s="63"/>
    </row>
    <row r="3641" spans="1:6" hidden="1" x14ac:dyDescent="0.2">
      <c r="F3641" s="50"/>
    </row>
    <row r="3642" spans="1:6" hidden="1" x14ac:dyDescent="0.2">
      <c r="F3642" s="50"/>
    </row>
    <row r="3643" spans="1:6" hidden="1" x14ac:dyDescent="0.2">
      <c r="F3643" s="50"/>
    </row>
    <row r="3644" spans="1:6" hidden="1" x14ac:dyDescent="0.2">
      <c r="F3644" s="50"/>
    </row>
    <row r="3645" spans="1:6" hidden="1" x14ac:dyDescent="0.2">
      <c r="F3645" s="50"/>
    </row>
    <row r="3649" spans="6:6" hidden="1" x14ac:dyDescent="0.2">
      <c r="F3649" s="50"/>
    </row>
    <row r="3650" spans="6:6" hidden="1" x14ac:dyDescent="0.2">
      <c r="F3650" s="50"/>
    </row>
    <row r="3651" spans="6:6" hidden="1" x14ac:dyDescent="0.2">
      <c r="F3651" s="50"/>
    </row>
    <row r="3653" spans="6:6" hidden="1" x14ac:dyDescent="0.2">
      <c r="F3653" s="50"/>
    </row>
    <row r="3654" spans="6:6" hidden="1" x14ac:dyDescent="0.2">
      <c r="F3654" s="50"/>
    </row>
    <row r="3656" spans="6:6" hidden="1" x14ac:dyDescent="0.2">
      <c r="F3656" s="50"/>
    </row>
    <row r="3657" spans="6:6" hidden="1" x14ac:dyDescent="0.2">
      <c r="F3657" s="50"/>
    </row>
    <row r="3658" spans="6:6" hidden="1" x14ac:dyDescent="0.2">
      <c r="F3658" s="50"/>
    </row>
    <row r="3659" spans="6:6" hidden="1" x14ac:dyDescent="0.2">
      <c r="F3659" s="50"/>
    </row>
    <row r="3660" spans="6:6" hidden="1" x14ac:dyDescent="0.2">
      <c r="F3660" s="50"/>
    </row>
    <row r="3661" spans="6:6" hidden="1" x14ac:dyDescent="0.2">
      <c r="F3661" s="50"/>
    </row>
    <row r="3662" spans="6:6" hidden="1" x14ac:dyDescent="0.2">
      <c r="F3662" s="50"/>
    </row>
    <row r="3663" spans="6:6" hidden="1" x14ac:dyDescent="0.2">
      <c r="F3663" s="50"/>
    </row>
    <row r="3664" spans="6:6" hidden="1" x14ac:dyDescent="0.2">
      <c r="F3664" s="50"/>
    </row>
    <row r="3665" spans="6:8" hidden="1" x14ac:dyDescent="0.2">
      <c r="F3665" s="50"/>
    </row>
    <row r="3668" spans="6:8" hidden="1" x14ac:dyDescent="0.2">
      <c r="F3668" s="50"/>
    </row>
    <row r="3669" spans="6:8" hidden="1" x14ac:dyDescent="0.2">
      <c r="F3669" s="50"/>
    </row>
    <row r="3670" spans="6:8" hidden="1" x14ac:dyDescent="0.2">
      <c r="F3670" s="50"/>
    </row>
    <row r="3671" spans="6:8" ht="15" hidden="1" x14ac:dyDescent="0.25">
      <c r="F3671" s="50"/>
      <c r="H3671" s="62"/>
    </row>
    <row r="3672" spans="6:8" hidden="1" x14ac:dyDescent="0.2">
      <c r="F3672" s="50"/>
    </row>
    <row r="3673" spans="6:8" hidden="1" x14ac:dyDescent="0.2">
      <c r="F3673" s="50"/>
    </row>
    <row r="3674" spans="6:8" hidden="1" x14ac:dyDescent="0.2">
      <c r="F3674" s="50"/>
    </row>
    <row r="3675" spans="6:8" hidden="1" x14ac:dyDescent="0.2">
      <c r="F3675" s="50"/>
    </row>
    <row r="3676" spans="6:8" hidden="1" x14ac:dyDescent="0.2">
      <c r="F3676" s="50"/>
    </row>
    <row r="3677" spans="6:8" hidden="1" x14ac:dyDescent="0.2">
      <c r="F3677" s="50"/>
    </row>
    <row r="3679" spans="6:8" hidden="1" x14ac:dyDescent="0.2">
      <c r="F3679" s="50"/>
    </row>
    <row r="3680" spans="6:8" hidden="1" x14ac:dyDescent="0.2">
      <c r="F3680" s="50"/>
    </row>
    <row r="3681" spans="6:6" hidden="1" x14ac:dyDescent="0.2">
      <c r="F3681" s="50"/>
    </row>
    <row r="3683" spans="6:6" hidden="1" x14ac:dyDescent="0.2">
      <c r="F3683" s="50"/>
    </row>
    <row r="3685" spans="6:6" hidden="1" x14ac:dyDescent="0.2">
      <c r="F3685" s="50"/>
    </row>
    <row r="3686" spans="6:6" hidden="1" x14ac:dyDescent="0.2">
      <c r="F3686" s="50"/>
    </row>
    <row r="3687" spans="6:6" hidden="1" x14ac:dyDescent="0.2">
      <c r="F3687" s="50"/>
    </row>
    <row r="3688" spans="6:6" hidden="1" x14ac:dyDescent="0.2">
      <c r="F3688" s="50"/>
    </row>
    <row r="3689" spans="6:6" hidden="1" x14ac:dyDescent="0.2">
      <c r="F3689" s="50"/>
    </row>
    <row r="3694" spans="6:6" hidden="1" x14ac:dyDescent="0.2">
      <c r="F3694" s="50"/>
    </row>
    <row r="3695" spans="6:6" hidden="1" x14ac:dyDescent="0.2">
      <c r="F3695" s="50"/>
    </row>
    <row r="3696" spans="6:6" hidden="1" x14ac:dyDescent="0.2">
      <c r="F3696" s="50"/>
    </row>
    <row r="3697" spans="6:6" hidden="1" x14ac:dyDescent="0.2">
      <c r="F3697" s="50"/>
    </row>
    <row r="3698" spans="6:6" hidden="1" x14ac:dyDescent="0.2">
      <c r="F3698" s="50"/>
    </row>
    <row r="3699" spans="6:6" hidden="1" x14ac:dyDescent="0.2">
      <c r="F3699" s="50"/>
    </row>
    <row r="3700" spans="6:6" hidden="1" x14ac:dyDescent="0.2">
      <c r="F3700" s="50"/>
    </row>
    <row r="3701" spans="6:6" hidden="1" x14ac:dyDescent="0.2">
      <c r="F3701" s="50"/>
    </row>
    <row r="3707" spans="6:6" hidden="1" x14ac:dyDescent="0.2">
      <c r="F3707" s="50"/>
    </row>
    <row r="3709" spans="6:6" hidden="1" x14ac:dyDescent="0.2">
      <c r="F3709" s="50"/>
    </row>
    <row r="3710" spans="6:6" hidden="1" x14ac:dyDescent="0.2">
      <c r="F3710" s="50"/>
    </row>
    <row r="3711" spans="6:6" hidden="1" x14ac:dyDescent="0.2">
      <c r="F3711" s="50"/>
    </row>
    <row r="3712" spans="6:6" hidden="1" x14ac:dyDescent="0.2">
      <c r="F3712" s="50"/>
    </row>
    <row r="3713" spans="6:6" hidden="1" x14ac:dyDescent="0.2">
      <c r="F3713" s="50"/>
    </row>
    <row r="3714" spans="6:6" hidden="1" x14ac:dyDescent="0.2">
      <c r="F3714" s="50"/>
    </row>
    <row r="3715" spans="6:6" hidden="1" x14ac:dyDescent="0.2">
      <c r="F3715" s="50"/>
    </row>
    <row r="3716" spans="6:6" hidden="1" x14ac:dyDescent="0.2">
      <c r="F3716" s="50"/>
    </row>
    <row r="3717" spans="6:6" hidden="1" x14ac:dyDescent="0.2">
      <c r="F3717" s="50"/>
    </row>
    <row r="3718" spans="6:6" hidden="1" x14ac:dyDescent="0.2">
      <c r="F3718" s="50"/>
    </row>
    <row r="3719" spans="6:6" hidden="1" x14ac:dyDescent="0.2">
      <c r="F3719" s="50"/>
    </row>
    <row r="3720" spans="6:6" hidden="1" x14ac:dyDescent="0.2">
      <c r="F3720" s="50"/>
    </row>
    <row r="3721" spans="6:6" hidden="1" x14ac:dyDescent="0.2">
      <c r="F3721" s="50"/>
    </row>
    <row r="3722" spans="6:6" hidden="1" x14ac:dyDescent="0.2">
      <c r="F3722" s="50"/>
    </row>
    <row r="3723" spans="6:6" hidden="1" x14ac:dyDescent="0.2">
      <c r="F3723" s="50"/>
    </row>
    <row r="3724" spans="6:6" hidden="1" x14ac:dyDescent="0.2">
      <c r="F3724" s="50"/>
    </row>
    <row r="3725" spans="6:6" hidden="1" x14ac:dyDescent="0.2">
      <c r="F3725" s="50"/>
    </row>
    <row r="3726" spans="6:6" hidden="1" x14ac:dyDescent="0.2">
      <c r="F3726" s="50"/>
    </row>
    <row r="3727" spans="6:6" hidden="1" x14ac:dyDescent="0.2">
      <c r="F3727" s="50"/>
    </row>
    <row r="3728" spans="6:6" hidden="1" x14ac:dyDescent="0.2">
      <c r="F3728" s="50"/>
    </row>
    <row r="3729" spans="6:6" hidden="1" x14ac:dyDescent="0.2">
      <c r="F3729" s="50"/>
    </row>
    <row r="3730" spans="6:6" hidden="1" x14ac:dyDescent="0.2">
      <c r="F3730" s="50"/>
    </row>
    <row r="3731" spans="6:6" hidden="1" x14ac:dyDescent="0.2">
      <c r="F3731" s="50"/>
    </row>
    <row r="3736" spans="6:6" hidden="1" x14ac:dyDescent="0.2">
      <c r="F3736" s="50"/>
    </row>
    <row r="3737" spans="6:6" hidden="1" x14ac:dyDescent="0.2">
      <c r="F3737" s="50"/>
    </row>
    <row r="3739" spans="6:6" hidden="1" x14ac:dyDescent="0.2">
      <c r="F3739" s="50"/>
    </row>
    <row r="3740" spans="6:6" hidden="1" x14ac:dyDescent="0.2">
      <c r="F3740" s="50"/>
    </row>
    <row r="3741" spans="6:6" hidden="1" x14ac:dyDescent="0.2">
      <c r="F3741" s="50"/>
    </row>
    <row r="3742" spans="6:6" hidden="1" x14ac:dyDescent="0.2">
      <c r="F3742" s="50"/>
    </row>
    <row r="3743" spans="6:6" hidden="1" x14ac:dyDescent="0.2">
      <c r="F3743" s="50"/>
    </row>
    <row r="3744" spans="6:6" hidden="1" x14ac:dyDescent="0.2">
      <c r="F3744" s="50"/>
    </row>
    <row r="3745" spans="6:6" hidden="1" x14ac:dyDescent="0.2">
      <c r="F3745" s="50"/>
    </row>
    <row r="3746" spans="6:6" hidden="1" x14ac:dyDescent="0.2">
      <c r="F3746" s="50"/>
    </row>
    <row r="3747" spans="6:6" hidden="1" x14ac:dyDescent="0.2">
      <c r="F3747" s="50"/>
    </row>
    <row r="3748" spans="6:6" hidden="1" x14ac:dyDescent="0.2">
      <c r="F3748" s="50"/>
    </row>
    <row r="3751" spans="6:6" hidden="1" x14ac:dyDescent="0.2">
      <c r="F3751" s="50"/>
    </row>
    <row r="3752" spans="6:6" hidden="1" x14ac:dyDescent="0.2">
      <c r="F3752" s="50"/>
    </row>
    <row r="3754" spans="6:6" hidden="1" x14ac:dyDescent="0.2">
      <c r="F3754" s="50"/>
    </row>
    <row r="3755" spans="6:6" hidden="1" x14ac:dyDescent="0.2">
      <c r="F3755" s="50"/>
    </row>
    <row r="3756" spans="6:6" hidden="1" x14ac:dyDescent="0.2">
      <c r="F3756" s="50"/>
    </row>
    <row r="3757" spans="6:6" hidden="1" x14ac:dyDescent="0.2">
      <c r="F3757" s="50"/>
    </row>
    <row r="3758" spans="6:6" hidden="1" x14ac:dyDescent="0.2">
      <c r="F3758" s="50"/>
    </row>
    <row r="3759" spans="6:6" hidden="1" x14ac:dyDescent="0.2">
      <c r="F3759" s="50"/>
    </row>
    <row r="3760" spans="6:6" hidden="1" x14ac:dyDescent="0.2">
      <c r="F3760" s="50"/>
    </row>
    <row r="3767" spans="6:6" hidden="1" x14ac:dyDescent="0.2">
      <c r="F3767" s="50"/>
    </row>
    <row r="3769" spans="6:6" hidden="1" x14ac:dyDescent="0.2">
      <c r="F3769" s="50"/>
    </row>
    <row r="3770" spans="6:6" hidden="1" x14ac:dyDescent="0.2">
      <c r="F3770" s="50"/>
    </row>
    <row r="3771" spans="6:6" hidden="1" x14ac:dyDescent="0.2">
      <c r="F3771" s="50"/>
    </row>
    <row r="3772" spans="6:6" hidden="1" x14ac:dyDescent="0.2">
      <c r="F3772" s="50"/>
    </row>
    <row r="3773" spans="6:6" hidden="1" x14ac:dyDescent="0.2">
      <c r="F3773" s="50"/>
    </row>
    <row r="3774" spans="6:6" hidden="1" x14ac:dyDescent="0.2">
      <c r="F3774" s="50"/>
    </row>
    <row r="3775" spans="6:6" hidden="1" x14ac:dyDescent="0.2">
      <c r="F3775" s="50"/>
    </row>
    <row r="3777" spans="6:6" hidden="1" x14ac:dyDescent="0.2">
      <c r="F3777" s="50"/>
    </row>
    <row r="3778" spans="6:6" hidden="1" x14ac:dyDescent="0.2">
      <c r="F3778" s="50"/>
    </row>
    <row r="3782" spans="6:6" hidden="1" x14ac:dyDescent="0.2">
      <c r="F3782" s="50"/>
    </row>
    <row r="3784" spans="6:6" hidden="1" x14ac:dyDescent="0.2">
      <c r="F3784" s="50"/>
    </row>
    <row r="3787" spans="6:6" hidden="1" x14ac:dyDescent="0.2">
      <c r="F3787" s="50"/>
    </row>
    <row r="3788" spans="6:6" hidden="1" x14ac:dyDescent="0.2">
      <c r="F3788" s="50"/>
    </row>
    <row r="3790" spans="6:6" hidden="1" x14ac:dyDescent="0.2">
      <c r="F3790" s="50"/>
    </row>
    <row r="3791" spans="6:6" hidden="1" x14ac:dyDescent="0.2">
      <c r="F3791" s="50"/>
    </row>
    <row r="3793" spans="6:6" hidden="1" x14ac:dyDescent="0.2">
      <c r="F3793" s="50"/>
    </row>
    <row r="3796" spans="6:6" hidden="1" x14ac:dyDescent="0.2">
      <c r="F3796" s="50"/>
    </row>
    <row r="3797" spans="6:6" hidden="1" x14ac:dyDescent="0.2">
      <c r="F3797" s="50"/>
    </row>
    <row r="3798" spans="6:6" hidden="1" x14ac:dyDescent="0.2">
      <c r="F3798" s="50"/>
    </row>
    <row r="3799" spans="6:6" hidden="1" x14ac:dyDescent="0.2">
      <c r="F3799" s="50"/>
    </row>
    <row r="3800" spans="6:6" hidden="1" x14ac:dyDescent="0.2">
      <c r="F3800" s="50"/>
    </row>
    <row r="3801" spans="6:6" hidden="1" x14ac:dyDescent="0.2">
      <c r="F3801" s="50"/>
    </row>
    <row r="3802" spans="6:6" hidden="1" x14ac:dyDescent="0.2">
      <c r="F3802" s="50"/>
    </row>
    <row r="3803" spans="6:6" hidden="1" x14ac:dyDescent="0.2">
      <c r="F3803" s="50"/>
    </row>
    <row r="3804" spans="6:6" hidden="1" x14ac:dyDescent="0.2">
      <c r="F3804" s="50"/>
    </row>
    <row r="3805" spans="6:6" hidden="1" x14ac:dyDescent="0.2">
      <c r="F3805" s="50"/>
    </row>
    <row r="3806" spans="6:6" hidden="1" x14ac:dyDescent="0.2">
      <c r="F3806" s="50"/>
    </row>
    <row r="3829" spans="1:6" hidden="1" x14ac:dyDescent="0.2">
      <c r="F3829" s="50"/>
    </row>
    <row r="3830" spans="1:6" hidden="1" x14ac:dyDescent="0.2">
      <c r="F3830" s="50"/>
    </row>
    <row r="3831" spans="1:6" hidden="1" x14ac:dyDescent="0.2">
      <c r="F3831" s="50"/>
    </row>
    <row r="3832" spans="1:6" hidden="1" x14ac:dyDescent="0.2">
      <c r="A3832" s="60"/>
      <c r="C3832" s="60"/>
    </row>
    <row r="3836" spans="1:6" hidden="1" x14ac:dyDescent="0.2">
      <c r="F3836" s="50"/>
    </row>
    <row r="3837" spans="1:6" hidden="1" x14ac:dyDescent="0.2">
      <c r="F3837" s="50"/>
    </row>
    <row r="3841" spans="6:6" hidden="1" x14ac:dyDescent="0.2">
      <c r="F3841" s="50"/>
    </row>
    <row r="3842" spans="6:6" hidden="1" x14ac:dyDescent="0.2">
      <c r="F3842" s="50"/>
    </row>
    <row r="3843" spans="6:6" hidden="1" x14ac:dyDescent="0.2">
      <c r="F3843" s="50"/>
    </row>
    <row r="3851" spans="6:6" hidden="1" x14ac:dyDescent="0.2">
      <c r="F3851" s="50"/>
    </row>
    <row r="3864" spans="6:6" hidden="1" x14ac:dyDescent="0.2">
      <c r="F3864" s="50"/>
    </row>
    <row r="3884" spans="6:6" hidden="1" x14ac:dyDescent="0.2">
      <c r="F3884" s="50"/>
    </row>
    <row r="3888" spans="6:6" hidden="1" x14ac:dyDescent="0.2">
      <c r="F3888" s="50"/>
    </row>
    <row r="3889" spans="6:6" hidden="1" x14ac:dyDescent="0.2">
      <c r="F3889" s="50"/>
    </row>
    <row r="3890" spans="6:6" hidden="1" x14ac:dyDescent="0.2">
      <c r="F3890" s="50"/>
    </row>
  </sheetData>
  <autoFilter ref="A2:H3882" xr:uid="{00000000-0001-0000-0200-000000000000}"/>
  <conditionalFormatting sqref="J1:Z1">
    <cfRule type="expression" dxfId="31" priority="14">
      <formula>$J1&lt;&gt;""</formula>
    </cfRule>
  </conditionalFormatting>
  <conditionalFormatting sqref="J1:N1">
    <cfRule type="expression" dxfId="30" priority="12">
      <formula>$N1="NAY"</formula>
    </cfRule>
    <cfRule type="expression" dxfId="29" priority="13">
      <formula>$N1="LATECS"</formula>
    </cfRule>
    <cfRule type="expression" dxfId="28" priority="15">
      <formula>$N1="MUST"</formula>
    </cfRule>
    <cfRule type="expression" dxfId="27" priority="16">
      <formula>$N1="DUE"</formula>
    </cfRule>
    <cfRule type="expression" dxfId="26" priority="17">
      <formula>$N1="LATE"</formula>
    </cfRule>
  </conditionalFormatting>
  <conditionalFormatting sqref="A1:I1 A11:I200 A9:F10 H9:I10 A3:I8">
    <cfRule type="expression" dxfId="25" priority="11">
      <formula>$A1&lt;&gt;""</formula>
    </cfRule>
  </conditionalFormatting>
  <conditionalFormatting sqref="A1">
    <cfRule type="duplicateValues" dxfId="24" priority="10"/>
  </conditionalFormatting>
  <conditionalFormatting sqref="J3:Z200">
    <cfRule type="expression" dxfId="23" priority="6">
      <formula>$J3&lt;&gt;""</formula>
    </cfRule>
  </conditionalFormatting>
  <conditionalFormatting sqref="J3:N200">
    <cfRule type="expression" dxfId="22" priority="4">
      <formula>$N3="NAY"</formula>
    </cfRule>
    <cfRule type="expression" dxfId="21" priority="5">
      <formula>$N3="LATECS"</formula>
    </cfRule>
    <cfRule type="expression" dxfId="20" priority="7">
      <formula>$N3="MUST"</formula>
    </cfRule>
    <cfRule type="expression" dxfId="19" priority="8">
      <formula>$N3="DUE"</formula>
    </cfRule>
    <cfRule type="expression" dxfId="18" priority="9">
      <formula>$N3="LATE"</formula>
    </cfRule>
  </conditionalFormatting>
  <conditionalFormatting sqref="A3:A200">
    <cfRule type="duplicateValues" dxfId="17" priority="3"/>
  </conditionalFormatting>
  <conditionalFormatting sqref="G10">
    <cfRule type="expression" dxfId="16" priority="18">
      <formula>$A9&lt;&gt;""</formula>
    </cfRule>
  </conditionalFormatting>
  <conditionalFormatting sqref="C4">
    <cfRule type="duplicateValues" dxfId="15" priority="2"/>
  </conditionalFormatting>
  <conditionalFormatting sqref="E4:I4">
    <cfRule type="duplicateValues" dxfId="14" priority="1"/>
  </conditionalFormatting>
  <dataValidations count="1">
    <dataValidation type="list" allowBlank="1" showInputMessage="1" showErrorMessage="1" errorTitle="Sai giá trị" error="Chỉ nhận giá trị &quot;AN&quot;  or &quot;SL&quot;" sqref="I3:I53" xr:uid="{D3263EFB-9A22-4BC5-B985-7C787A9F0AF6}">
      <formula1>"AN,SL"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CG503"/>
  <sheetViews>
    <sheetView showGridLines="0" topLeftCell="B1" zoomScaleNormal="100" workbookViewId="0">
      <pane xSplit="4" ySplit="3" topLeftCell="F4" activePane="bottomRight" state="frozen"/>
      <selection activeCell="B1" sqref="B1"/>
      <selection pane="topRight" activeCell="F1" sqref="F1"/>
      <selection pane="bottomLeft" activeCell="B4" sqref="B4"/>
      <selection pane="bottomRight" activeCell="T7" sqref="T7"/>
    </sheetView>
  </sheetViews>
  <sheetFormatPr defaultColWidth="9.125" defaultRowHeight="14.25" x14ac:dyDescent="0.2"/>
  <cols>
    <col min="1" max="1" width="5.375" hidden="1" customWidth="1"/>
    <col min="2" max="2" width="5.125" customWidth="1"/>
    <col min="3" max="3" width="9" customWidth="1"/>
    <col min="4" max="4" width="5.75" customWidth="1"/>
    <col min="5" max="10" width="4.25" bestFit="1" customWidth="1"/>
    <col min="11" max="13" width="3.375" bestFit="1" customWidth="1"/>
    <col min="14" max="14" width="3.375" customWidth="1"/>
    <col min="15" max="19" width="3.875" customWidth="1"/>
    <col min="20" max="20" width="45.625" customWidth="1"/>
    <col min="23" max="23" width="11" bestFit="1" customWidth="1"/>
    <col min="24" max="38" width="9.125" hidden="1" customWidth="1"/>
    <col min="39" max="85" width="9" hidden="1" customWidth="1"/>
  </cols>
  <sheetData>
    <row r="1" spans="1:85" ht="30.75" customHeight="1" x14ac:dyDescent="0.2"/>
    <row r="2" spans="1:85" ht="15" x14ac:dyDescent="0.2">
      <c r="A2" s="95" t="s">
        <v>186</v>
      </c>
      <c r="B2" s="96" t="s">
        <v>187</v>
      </c>
      <c r="C2" s="96" t="s">
        <v>188</v>
      </c>
      <c r="D2" s="96" t="s">
        <v>189</v>
      </c>
      <c r="E2" s="128" t="s">
        <v>190</v>
      </c>
      <c r="F2" s="129"/>
      <c r="G2" s="129"/>
      <c r="H2" s="129"/>
      <c r="I2" s="129"/>
      <c r="J2" s="129"/>
      <c r="K2" s="129"/>
      <c r="L2" s="129"/>
      <c r="M2" s="129"/>
      <c r="N2" s="129"/>
      <c r="O2" s="130"/>
      <c r="P2" s="130"/>
      <c r="Q2" s="130"/>
      <c r="R2" s="130"/>
      <c r="S2" s="131"/>
      <c r="T2" s="132" t="s">
        <v>691</v>
      </c>
      <c r="U2" s="133"/>
      <c r="V2" s="133"/>
      <c r="W2" s="13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</row>
    <row r="3" spans="1:85" hidden="1" x14ac:dyDescent="0.2"/>
    <row r="4" spans="1:85" x14ac:dyDescent="0.2">
      <c r="A4" t="s">
        <v>191</v>
      </c>
      <c r="U4" s="103"/>
      <c r="V4" s="103"/>
      <c r="X4" t="s">
        <v>1468</v>
      </c>
    </row>
    <row r="5" spans="1:85" x14ac:dyDescent="0.2">
      <c r="A5" t="s">
        <v>192</v>
      </c>
      <c r="U5" s="103"/>
      <c r="V5" s="103"/>
      <c r="X5" t="s">
        <v>1469</v>
      </c>
      <c r="Y5" t="s">
        <v>1470</v>
      </c>
    </row>
    <row r="6" spans="1:85" x14ac:dyDescent="0.2">
      <c r="A6" t="s">
        <v>193</v>
      </c>
      <c r="U6" s="103"/>
      <c r="V6" s="103"/>
      <c r="X6" t="s">
        <v>1471</v>
      </c>
    </row>
    <row r="7" spans="1:85" x14ac:dyDescent="0.2">
      <c r="A7" t="s">
        <v>194</v>
      </c>
      <c r="U7" s="103"/>
      <c r="V7" s="103"/>
      <c r="X7" t="s">
        <v>1472</v>
      </c>
    </row>
    <row r="8" spans="1:85" x14ac:dyDescent="0.2">
      <c r="A8" t="s">
        <v>195</v>
      </c>
      <c r="U8" s="103"/>
      <c r="V8" s="103"/>
      <c r="X8" t="s">
        <v>1446</v>
      </c>
    </row>
    <row r="9" spans="1:85" x14ac:dyDescent="0.2">
      <c r="A9" t="s">
        <v>196</v>
      </c>
      <c r="U9" s="103"/>
      <c r="V9" s="103"/>
      <c r="X9" t="s">
        <v>1447</v>
      </c>
    </row>
    <row r="10" spans="1:85" x14ac:dyDescent="0.2">
      <c r="A10" t="s">
        <v>197</v>
      </c>
      <c r="U10" s="103"/>
      <c r="V10" s="103"/>
      <c r="X10" t="s">
        <v>1448</v>
      </c>
    </row>
    <row r="11" spans="1:85" x14ac:dyDescent="0.2">
      <c r="A11" t="s">
        <v>198</v>
      </c>
      <c r="U11" s="103"/>
      <c r="V11" s="103"/>
      <c r="X11" t="s">
        <v>1450</v>
      </c>
    </row>
    <row r="12" spans="1:85" x14ac:dyDescent="0.2">
      <c r="A12" t="s">
        <v>199</v>
      </c>
      <c r="U12" s="103"/>
      <c r="V12" s="103"/>
      <c r="X12" t="s">
        <v>1454</v>
      </c>
    </row>
    <row r="13" spans="1:85" x14ac:dyDescent="0.2">
      <c r="A13" t="s">
        <v>200</v>
      </c>
      <c r="U13" s="103"/>
      <c r="V13" s="103"/>
      <c r="X13" t="s">
        <v>1455</v>
      </c>
    </row>
    <row r="14" spans="1:85" x14ac:dyDescent="0.2">
      <c r="A14" t="s">
        <v>202</v>
      </c>
      <c r="U14" s="103"/>
      <c r="V14" s="103"/>
      <c r="X14" t="s">
        <v>1473</v>
      </c>
      <c r="Y14" t="s">
        <v>1445</v>
      </c>
      <c r="Z14" t="s">
        <v>1449</v>
      </c>
    </row>
    <row r="15" spans="1:85" x14ac:dyDescent="0.2">
      <c r="A15" t="s">
        <v>203</v>
      </c>
      <c r="U15" s="103"/>
      <c r="V15" s="103"/>
      <c r="X15" t="s">
        <v>1467</v>
      </c>
      <c r="Y15" t="s">
        <v>1451</v>
      </c>
    </row>
    <row r="16" spans="1:85" x14ac:dyDescent="0.2">
      <c r="A16" t="s">
        <v>204</v>
      </c>
      <c r="U16" s="103"/>
      <c r="V16" s="103"/>
      <c r="X16" t="s">
        <v>1472</v>
      </c>
    </row>
    <row r="17" spans="1:26" x14ac:dyDescent="0.2">
      <c r="A17" t="s">
        <v>205</v>
      </c>
      <c r="U17" s="103"/>
      <c r="V17" s="103"/>
      <c r="X17" t="s">
        <v>1446</v>
      </c>
    </row>
    <row r="18" spans="1:26" x14ac:dyDescent="0.2">
      <c r="A18" t="s">
        <v>206</v>
      </c>
      <c r="U18" s="103"/>
      <c r="V18" s="103"/>
      <c r="X18" t="s">
        <v>1447</v>
      </c>
    </row>
    <row r="19" spans="1:26" x14ac:dyDescent="0.2">
      <c r="A19" t="s">
        <v>207</v>
      </c>
      <c r="X19" t="s">
        <v>1448</v>
      </c>
    </row>
    <row r="20" spans="1:26" x14ac:dyDescent="0.2">
      <c r="A20" t="s">
        <v>208</v>
      </c>
      <c r="X20" t="s">
        <v>1450</v>
      </c>
    </row>
    <row r="21" spans="1:26" x14ac:dyDescent="0.2">
      <c r="A21" t="s">
        <v>209</v>
      </c>
      <c r="X21" t="s">
        <v>1454</v>
      </c>
    </row>
    <row r="22" spans="1:26" x14ac:dyDescent="0.2">
      <c r="A22" t="s">
        <v>210</v>
      </c>
      <c r="X22" t="s">
        <v>1455</v>
      </c>
    </row>
    <row r="23" spans="1:26" x14ac:dyDescent="0.2">
      <c r="A23" t="s">
        <v>211</v>
      </c>
      <c r="X23" t="s">
        <v>1473</v>
      </c>
    </row>
    <row r="24" spans="1:26" x14ac:dyDescent="0.2">
      <c r="A24" t="s">
        <v>212</v>
      </c>
      <c r="X24" t="s">
        <v>1445</v>
      </c>
    </row>
    <row r="25" spans="1:26" x14ac:dyDescent="0.2">
      <c r="A25" t="s">
        <v>213</v>
      </c>
      <c r="X25" t="s">
        <v>1449</v>
      </c>
    </row>
    <row r="26" spans="1:26" x14ac:dyDescent="0.2">
      <c r="A26" t="s">
        <v>214</v>
      </c>
      <c r="X26" t="s">
        <v>1467</v>
      </c>
    </row>
    <row r="27" spans="1:26" x14ac:dyDescent="0.2">
      <c r="A27" t="s">
        <v>215</v>
      </c>
      <c r="X27" t="s">
        <v>1451</v>
      </c>
    </row>
    <row r="28" spans="1:26" x14ac:dyDescent="0.2">
      <c r="A28" t="s">
        <v>216</v>
      </c>
      <c r="X28" t="s">
        <v>1472</v>
      </c>
      <c r="Y28" t="s">
        <v>1446</v>
      </c>
      <c r="Z28" t="s">
        <v>1447</v>
      </c>
    </row>
    <row r="29" spans="1:26" x14ac:dyDescent="0.2">
      <c r="A29" t="s">
        <v>217</v>
      </c>
      <c r="X29" t="s">
        <v>1448</v>
      </c>
      <c r="Y29" t="s">
        <v>1450</v>
      </c>
    </row>
    <row r="30" spans="1:26" x14ac:dyDescent="0.2">
      <c r="A30" t="s">
        <v>218</v>
      </c>
      <c r="X30" t="s">
        <v>1454</v>
      </c>
      <c r="Y30" t="s">
        <v>1455</v>
      </c>
    </row>
    <row r="31" spans="1:26" x14ac:dyDescent="0.2">
      <c r="A31" t="s">
        <v>219</v>
      </c>
      <c r="X31" t="s">
        <v>1473</v>
      </c>
      <c r="Y31" t="s">
        <v>1449</v>
      </c>
    </row>
    <row r="32" spans="1:26" x14ac:dyDescent="0.2">
      <c r="A32" t="s">
        <v>220</v>
      </c>
      <c r="X32" t="s">
        <v>1467</v>
      </c>
      <c r="Y32" t="s">
        <v>1451</v>
      </c>
    </row>
    <row r="33" spans="1:26" x14ac:dyDescent="0.2">
      <c r="A33" t="s">
        <v>221</v>
      </c>
      <c r="X33" t="s">
        <v>1445</v>
      </c>
    </row>
    <row r="34" spans="1:26" x14ac:dyDescent="0.2">
      <c r="A34" t="s">
        <v>222</v>
      </c>
      <c r="X34" t="s">
        <v>1472</v>
      </c>
      <c r="Y34" t="s">
        <v>1446</v>
      </c>
      <c r="Z34" t="s">
        <v>1447</v>
      </c>
    </row>
    <row r="35" spans="1:26" x14ac:dyDescent="0.2">
      <c r="A35" t="s">
        <v>223</v>
      </c>
      <c r="X35" t="s">
        <v>1448</v>
      </c>
      <c r="Y35" t="s">
        <v>1450</v>
      </c>
    </row>
    <row r="36" spans="1:26" x14ac:dyDescent="0.2">
      <c r="A36" t="s">
        <v>224</v>
      </c>
      <c r="X36" t="s">
        <v>1454</v>
      </c>
      <c r="Y36" t="s">
        <v>1455</v>
      </c>
    </row>
    <row r="37" spans="1:26" x14ac:dyDescent="0.2">
      <c r="A37" t="s">
        <v>225</v>
      </c>
      <c r="X37" t="s">
        <v>1472</v>
      </c>
    </row>
    <row r="38" spans="1:26" x14ac:dyDescent="0.2">
      <c r="A38" t="s">
        <v>226</v>
      </c>
      <c r="X38" t="s">
        <v>1446</v>
      </c>
    </row>
    <row r="39" spans="1:26" x14ac:dyDescent="0.2">
      <c r="A39" t="s">
        <v>227</v>
      </c>
      <c r="X39" t="s">
        <v>1447</v>
      </c>
    </row>
    <row r="40" spans="1:26" x14ac:dyDescent="0.2">
      <c r="A40" t="s">
        <v>228</v>
      </c>
      <c r="X40" t="s">
        <v>1448</v>
      </c>
    </row>
    <row r="41" spans="1:26" x14ac:dyDescent="0.2">
      <c r="A41" t="s">
        <v>229</v>
      </c>
      <c r="X41" t="s">
        <v>1450</v>
      </c>
    </row>
    <row r="42" spans="1:26" x14ac:dyDescent="0.2">
      <c r="A42" t="s">
        <v>230</v>
      </c>
      <c r="X42" t="s">
        <v>1454</v>
      </c>
    </row>
    <row r="43" spans="1:26" x14ac:dyDescent="0.2">
      <c r="A43" t="s">
        <v>231</v>
      </c>
      <c r="X43" t="s">
        <v>1455</v>
      </c>
    </row>
    <row r="44" spans="1:26" x14ac:dyDescent="0.2">
      <c r="A44" t="s">
        <v>232</v>
      </c>
      <c r="X44" t="s">
        <v>1473</v>
      </c>
    </row>
    <row r="45" spans="1:26" x14ac:dyDescent="0.2">
      <c r="A45" t="s">
        <v>233</v>
      </c>
      <c r="X45" t="s">
        <v>1445</v>
      </c>
    </row>
    <row r="46" spans="1:26" x14ac:dyDescent="0.2">
      <c r="A46" t="s">
        <v>234</v>
      </c>
      <c r="X46" t="s">
        <v>1449</v>
      </c>
    </row>
    <row r="47" spans="1:26" x14ac:dyDescent="0.2">
      <c r="A47" t="s">
        <v>235</v>
      </c>
      <c r="X47" t="s">
        <v>1467</v>
      </c>
    </row>
    <row r="48" spans="1:26" x14ac:dyDescent="0.2">
      <c r="A48" t="s">
        <v>236</v>
      </c>
      <c r="X48" t="s">
        <v>1451</v>
      </c>
    </row>
    <row r="49" spans="1:26" x14ac:dyDescent="0.2">
      <c r="A49" t="s">
        <v>237</v>
      </c>
      <c r="X49" t="s">
        <v>1472</v>
      </c>
      <c r="Y49" t="s">
        <v>1446</v>
      </c>
      <c r="Z49" t="s">
        <v>1447</v>
      </c>
    </row>
    <row r="50" spans="1:26" x14ac:dyDescent="0.2">
      <c r="A50" t="s">
        <v>238</v>
      </c>
      <c r="X50" t="s">
        <v>1448</v>
      </c>
      <c r="Y50" t="s">
        <v>1450</v>
      </c>
    </row>
    <row r="51" spans="1:26" x14ac:dyDescent="0.2">
      <c r="A51" t="s">
        <v>239</v>
      </c>
      <c r="X51" t="s">
        <v>1454</v>
      </c>
      <c r="Y51" t="s">
        <v>1455</v>
      </c>
    </row>
    <row r="52" spans="1:26" x14ac:dyDescent="0.2">
      <c r="A52" t="s">
        <v>240</v>
      </c>
      <c r="X52" t="s">
        <v>1473</v>
      </c>
      <c r="Y52" t="s">
        <v>1445</v>
      </c>
      <c r="Z52" t="s">
        <v>1449</v>
      </c>
    </row>
    <row r="53" spans="1:26" x14ac:dyDescent="0.2">
      <c r="A53" t="s">
        <v>241</v>
      </c>
      <c r="X53" t="s">
        <v>1467</v>
      </c>
      <c r="Y53" t="s">
        <v>1451</v>
      </c>
    </row>
    <row r="54" spans="1:26" x14ac:dyDescent="0.2">
      <c r="A54" t="s">
        <v>242</v>
      </c>
      <c r="X54" t="s">
        <v>1473</v>
      </c>
      <c r="Y54" t="s">
        <v>1445</v>
      </c>
      <c r="Z54" t="s">
        <v>1449</v>
      </c>
    </row>
    <row r="55" spans="1:26" x14ac:dyDescent="0.2">
      <c r="A55" t="s">
        <v>243</v>
      </c>
      <c r="X55" t="s">
        <v>1467</v>
      </c>
      <c r="Y55" t="s">
        <v>1451</v>
      </c>
    </row>
    <row r="56" spans="1:26" x14ac:dyDescent="0.2">
      <c r="A56" t="s">
        <v>244</v>
      </c>
      <c r="X56" t="s">
        <v>1472</v>
      </c>
      <c r="Y56" t="s">
        <v>1446</v>
      </c>
      <c r="Z56" t="s">
        <v>1447</v>
      </c>
    </row>
    <row r="57" spans="1:26" x14ac:dyDescent="0.2">
      <c r="A57" t="s">
        <v>245</v>
      </c>
      <c r="X57" t="s">
        <v>1448</v>
      </c>
      <c r="Y57" t="s">
        <v>1450</v>
      </c>
    </row>
    <row r="58" spans="1:26" x14ac:dyDescent="0.2">
      <c r="A58" t="s">
        <v>246</v>
      </c>
      <c r="X58" t="s">
        <v>1454</v>
      </c>
      <c r="Y58" t="s">
        <v>1455</v>
      </c>
    </row>
    <row r="59" spans="1:26" x14ac:dyDescent="0.2">
      <c r="A59" t="s">
        <v>247</v>
      </c>
      <c r="X59" t="s">
        <v>1472</v>
      </c>
      <c r="Y59" t="s">
        <v>1446</v>
      </c>
      <c r="Z59" t="s">
        <v>1447</v>
      </c>
    </row>
    <row r="60" spans="1:26" x14ac:dyDescent="0.2">
      <c r="A60" t="s">
        <v>248</v>
      </c>
      <c r="X60" t="s">
        <v>1448</v>
      </c>
      <c r="Y60" t="s">
        <v>1450</v>
      </c>
    </row>
    <row r="61" spans="1:26" x14ac:dyDescent="0.2">
      <c r="A61" t="s">
        <v>249</v>
      </c>
      <c r="X61" t="s">
        <v>1454</v>
      </c>
      <c r="Y61" t="s">
        <v>1455</v>
      </c>
    </row>
    <row r="62" spans="1:26" x14ac:dyDescent="0.2">
      <c r="A62" t="s">
        <v>250</v>
      </c>
      <c r="X62" t="s">
        <v>1473</v>
      </c>
      <c r="Y62" t="s">
        <v>1445</v>
      </c>
      <c r="Z62" t="s">
        <v>1449</v>
      </c>
    </row>
    <row r="63" spans="1:26" x14ac:dyDescent="0.2">
      <c r="A63" t="s">
        <v>251</v>
      </c>
      <c r="X63" t="s">
        <v>1467</v>
      </c>
      <c r="Y63" t="s">
        <v>1451</v>
      </c>
    </row>
    <row r="64" spans="1:26" x14ac:dyDescent="0.2">
      <c r="A64" t="s">
        <v>252</v>
      </c>
      <c r="X64" t="s">
        <v>1452</v>
      </c>
    </row>
    <row r="65" spans="1:24" x14ac:dyDescent="0.2">
      <c r="A65" t="s">
        <v>253</v>
      </c>
      <c r="X65" t="s">
        <v>1456</v>
      </c>
    </row>
    <row r="66" spans="1:24" x14ac:dyDescent="0.2">
      <c r="A66" t="s">
        <v>254</v>
      </c>
      <c r="X66" t="s">
        <v>1457</v>
      </c>
    </row>
    <row r="67" spans="1:24" x14ac:dyDescent="0.2">
      <c r="A67" t="s">
        <v>255</v>
      </c>
      <c r="X67" t="s">
        <v>1458</v>
      </c>
    </row>
    <row r="68" spans="1:24" x14ac:dyDescent="0.2">
      <c r="A68" t="s">
        <v>256</v>
      </c>
      <c r="X68" t="s">
        <v>1453</v>
      </c>
    </row>
    <row r="69" spans="1:24" x14ac:dyDescent="0.2">
      <c r="A69" t="s">
        <v>257</v>
      </c>
    </row>
    <row r="70" spans="1:24" x14ac:dyDescent="0.2">
      <c r="A70" t="s">
        <v>258</v>
      </c>
    </row>
    <row r="71" spans="1:24" x14ac:dyDescent="0.2">
      <c r="A71" t="s">
        <v>259</v>
      </c>
    </row>
    <row r="72" spans="1:24" x14ac:dyDescent="0.2">
      <c r="A72" t="s">
        <v>260</v>
      </c>
    </row>
    <row r="73" spans="1:24" x14ac:dyDescent="0.2">
      <c r="A73" t="s">
        <v>261</v>
      </c>
    </row>
    <row r="74" spans="1:24" x14ac:dyDescent="0.2">
      <c r="A74" t="s">
        <v>262</v>
      </c>
    </row>
    <row r="75" spans="1:24" x14ac:dyDescent="0.2">
      <c r="A75" t="s">
        <v>263</v>
      </c>
    </row>
    <row r="76" spans="1:24" x14ac:dyDescent="0.2">
      <c r="A76" t="s">
        <v>264</v>
      </c>
    </row>
    <row r="77" spans="1:24" x14ac:dyDescent="0.2">
      <c r="A77" t="s">
        <v>265</v>
      </c>
    </row>
    <row r="78" spans="1:24" x14ac:dyDescent="0.2">
      <c r="A78" t="s">
        <v>266</v>
      </c>
    </row>
    <row r="79" spans="1:24" x14ac:dyDescent="0.2">
      <c r="A79" t="s">
        <v>267</v>
      </c>
    </row>
    <row r="80" spans="1:24" x14ac:dyDescent="0.2">
      <c r="A80" t="s">
        <v>268</v>
      </c>
    </row>
    <row r="81" spans="1:1" x14ac:dyDescent="0.2">
      <c r="A81" t="s">
        <v>269</v>
      </c>
    </row>
    <row r="82" spans="1:1" x14ac:dyDescent="0.2">
      <c r="A82" t="s">
        <v>270</v>
      </c>
    </row>
    <row r="83" spans="1:1" x14ac:dyDescent="0.2">
      <c r="A83" t="s">
        <v>271</v>
      </c>
    </row>
    <row r="84" spans="1:1" x14ac:dyDescent="0.2">
      <c r="A84" t="s">
        <v>272</v>
      </c>
    </row>
    <row r="85" spans="1:1" x14ac:dyDescent="0.2">
      <c r="A85" t="s">
        <v>273</v>
      </c>
    </row>
    <row r="86" spans="1:1" x14ac:dyDescent="0.2">
      <c r="A86" t="s">
        <v>274</v>
      </c>
    </row>
    <row r="87" spans="1:1" x14ac:dyDescent="0.2">
      <c r="A87" t="s">
        <v>275</v>
      </c>
    </row>
    <row r="88" spans="1:1" x14ac:dyDescent="0.2">
      <c r="A88" t="s">
        <v>276</v>
      </c>
    </row>
    <row r="89" spans="1:1" x14ac:dyDescent="0.2">
      <c r="A89" t="s">
        <v>277</v>
      </c>
    </row>
    <row r="90" spans="1:1" x14ac:dyDescent="0.2">
      <c r="A90" t="s">
        <v>278</v>
      </c>
    </row>
    <row r="91" spans="1:1" x14ac:dyDescent="0.2">
      <c r="A91" t="s">
        <v>279</v>
      </c>
    </row>
    <row r="92" spans="1:1" x14ac:dyDescent="0.2">
      <c r="A92" t="s">
        <v>280</v>
      </c>
    </row>
    <row r="93" spans="1:1" x14ac:dyDescent="0.2">
      <c r="A93" t="s">
        <v>281</v>
      </c>
    </row>
    <row r="94" spans="1:1" x14ac:dyDescent="0.2">
      <c r="A94" t="s">
        <v>282</v>
      </c>
    </row>
    <row r="95" spans="1:1" x14ac:dyDescent="0.2">
      <c r="A95" t="s">
        <v>283</v>
      </c>
    </row>
    <row r="96" spans="1:1" x14ac:dyDescent="0.2">
      <c r="A96" t="s">
        <v>284</v>
      </c>
    </row>
    <row r="97" spans="1:1" x14ac:dyDescent="0.2">
      <c r="A97" t="s">
        <v>285</v>
      </c>
    </row>
    <row r="98" spans="1:1" x14ac:dyDescent="0.2">
      <c r="A98" t="s">
        <v>286</v>
      </c>
    </row>
    <row r="99" spans="1:1" x14ac:dyDescent="0.2">
      <c r="A99" t="s">
        <v>287</v>
      </c>
    </row>
    <row r="100" spans="1:1" x14ac:dyDescent="0.2">
      <c r="A100" t="s">
        <v>288</v>
      </c>
    </row>
    <row r="101" spans="1:1" x14ac:dyDescent="0.2">
      <c r="A101" t="s">
        <v>289</v>
      </c>
    </row>
    <row r="102" spans="1:1" x14ac:dyDescent="0.2">
      <c r="A102" t="s">
        <v>290</v>
      </c>
    </row>
    <row r="103" spans="1:1" x14ac:dyDescent="0.2">
      <c r="A103" t="s">
        <v>201</v>
      </c>
    </row>
    <row r="104" spans="1:1" x14ac:dyDescent="0.2">
      <c r="A104" t="s">
        <v>291</v>
      </c>
    </row>
    <row r="105" spans="1:1" x14ac:dyDescent="0.2">
      <c r="A105" t="s">
        <v>292</v>
      </c>
    </row>
    <row r="106" spans="1:1" x14ac:dyDescent="0.2">
      <c r="A106" t="s">
        <v>293</v>
      </c>
    </row>
    <row r="107" spans="1:1" x14ac:dyDescent="0.2">
      <c r="A107" t="s">
        <v>294</v>
      </c>
    </row>
    <row r="108" spans="1:1" x14ac:dyDescent="0.2">
      <c r="A108" t="s">
        <v>295</v>
      </c>
    </row>
    <row r="109" spans="1:1" x14ac:dyDescent="0.2">
      <c r="A109" t="s">
        <v>296</v>
      </c>
    </row>
    <row r="110" spans="1:1" x14ac:dyDescent="0.2">
      <c r="A110" t="s">
        <v>297</v>
      </c>
    </row>
    <row r="111" spans="1:1" x14ac:dyDescent="0.2">
      <c r="A111" t="s">
        <v>298</v>
      </c>
    </row>
    <row r="112" spans="1:1" x14ac:dyDescent="0.2">
      <c r="A112" t="s">
        <v>299</v>
      </c>
    </row>
    <row r="113" spans="1:1" x14ac:dyDescent="0.2">
      <c r="A113" t="s">
        <v>300</v>
      </c>
    </row>
    <row r="114" spans="1:1" x14ac:dyDescent="0.2">
      <c r="A114" t="s">
        <v>301</v>
      </c>
    </row>
    <row r="115" spans="1:1" x14ac:dyDescent="0.2">
      <c r="A115" t="s">
        <v>302</v>
      </c>
    </row>
    <row r="116" spans="1:1" x14ac:dyDescent="0.2">
      <c r="A116" t="s">
        <v>303</v>
      </c>
    </row>
    <row r="117" spans="1:1" x14ac:dyDescent="0.2">
      <c r="A117" t="s">
        <v>304</v>
      </c>
    </row>
    <row r="118" spans="1:1" x14ac:dyDescent="0.2">
      <c r="A118" t="s">
        <v>305</v>
      </c>
    </row>
    <row r="119" spans="1:1" x14ac:dyDescent="0.2">
      <c r="A119" t="s">
        <v>306</v>
      </c>
    </row>
    <row r="120" spans="1:1" x14ac:dyDescent="0.2">
      <c r="A120" t="s">
        <v>307</v>
      </c>
    </row>
    <row r="121" spans="1:1" x14ac:dyDescent="0.2">
      <c r="A121" t="s">
        <v>308</v>
      </c>
    </row>
    <row r="122" spans="1:1" x14ac:dyDescent="0.2">
      <c r="A122" t="s">
        <v>309</v>
      </c>
    </row>
    <row r="123" spans="1:1" x14ac:dyDescent="0.2">
      <c r="A123" t="s">
        <v>310</v>
      </c>
    </row>
    <row r="124" spans="1:1" x14ac:dyDescent="0.2">
      <c r="A124" t="s">
        <v>311</v>
      </c>
    </row>
    <row r="125" spans="1:1" x14ac:dyDescent="0.2">
      <c r="A125" t="s">
        <v>312</v>
      </c>
    </row>
    <row r="126" spans="1:1" x14ac:dyDescent="0.2">
      <c r="A126" t="s">
        <v>313</v>
      </c>
    </row>
    <row r="127" spans="1:1" x14ac:dyDescent="0.2">
      <c r="A127" t="s">
        <v>314</v>
      </c>
    </row>
    <row r="128" spans="1:1" x14ac:dyDescent="0.2">
      <c r="A128" t="s">
        <v>315</v>
      </c>
    </row>
    <row r="129" spans="1:1" x14ac:dyDescent="0.2">
      <c r="A129" t="s">
        <v>316</v>
      </c>
    </row>
    <row r="130" spans="1:1" x14ac:dyDescent="0.2">
      <c r="A130" t="s">
        <v>317</v>
      </c>
    </row>
    <row r="131" spans="1:1" x14ac:dyDescent="0.2">
      <c r="A131" t="s">
        <v>318</v>
      </c>
    </row>
    <row r="132" spans="1:1" x14ac:dyDescent="0.2">
      <c r="A132" t="s">
        <v>319</v>
      </c>
    </row>
    <row r="133" spans="1:1" x14ac:dyDescent="0.2">
      <c r="A133" t="s">
        <v>320</v>
      </c>
    </row>
    <row r="134" spans="1:1" x14ac:dyDescent="0.2">
      <c r="A134" t="s">
        <v>321</v>
      </c>
    </row>
    <row r="135" spans="1:1" x14ac:dyDescent="0.2">
      <c r="A135" t="s">
        <v>322</v>
      </c>
    </row>
    <row r="136" spans="1:1" x14ac:dyDescent="0.2">
      <c r="A136" t="s">
        <v>323</v>
      </c>
    </row>
    <row r="137" spans="1:1" x14ac:dyDescent="0.2">
      <c r="A137" t="s">
        <v>324</v>
      </c>
    </row>
    <row r="138" spans="1:1" x14ac:dyDescent="0.2">
      <c r="A138" t="s">
        <v>325</v>
      </c>
    </row>
    <row r="139" spans="1:1" x14ac:dyDescent="0.2">
      <c r="A139" t="s">
        <v>326</v>
      </c>
    </row>
    <row r="140" spans="1:1" x14ac:dyDescent="0.2">
      <c r="A140" t="s">
        <v>327</v>
      </c>
    </row>
    <row r="141" spans="1:1" x14ac:dyDescent="0.2">
      <c r="A141" t="s">
        <v>328</v>
      </c>
    </row>
    <row r="142" spans="1:1" x14ac:dyDescent="0.2">
      <c r="A142" t="s">
        <v>329</v>
      </c>
    </row>
    <row r="143" spans="1:1" x14ac:dyDescent="0.2">
      <c r="A143" t="s">
        <v>330</v>
      </c>
    </row>
    <row r="144" spans="1:1" x14ac:dyDescent="0.2">
      <c r="A144" t="s">
        <v>331</v>
      </c>
    </row>
    <row r="145" spans="1:1" x14ac:dyDescent="0.2">
      <c r="A145" t="s">
        <v>332</v>
      </c>
    </row>
    <row r="146" spans="1:1" x14ac:dyDescent="0.2">
      <c r="A146" t="s">
        <v>333</v>
      </c>
    </row>
    <row r="147" spans="1:1" x14ac:dyDescent="0.2">
      <c r="A147" t="s">
        <v>334</v>
      </c>
    </row>
    <row r="148" spans="1:1" x14ac:dyDescent="0.2">
      <c r="A148" t="s">
        <v>335</v>
      </c>
    </row>
    <row r="149" spans="1:1" x14ac:dyDescent="0.2">
      <c r="A149" t="s">
        <v>336</v>
      </c>
    </row>
    <row r="150" spans="1:1" x14ac:dyDescent="0.2">
      <c r="A150" t="s">
        <v>337</v>
      </c>
    </row>
    <row r="151" spans="1:1" x14ac:dyDescent="0.2">
      <c r="A151" t="s">
        <v>338</v>
      </c>
    </row>
    <row r="152" spans="1:1" x14ac:dyDescent="0.2">
      <c r="A152" t="s">
        <v>339</v>
      </c>
    </row>
    <row r="153" spans="1:1" x14ac:dyDescent="0.2">
      <c r="A153" t="s">
        <v>340</v>
      </c>
    </row>
    <row r="154" spans="1:1" x14ac:dyDescent="0.2">
      <c r="A154" t="s">
        <v>341</v>
      </c>
    </row>
    <row r="155" spans="1:1" x14ac:dyDescent="0.2">
      <c r="A155" t="s">
        <v>342</v>
      </c>
    </row>
    <row r="156" spans="1:1" x14ac:dyDescent="0.2">
      <c r="A156" t="s">
        <v>343</v>
      </c>
    </row>
    <row r="157" spans="1:1" x14ac:dyDescent="0.2">
      <c r="A157" t="s">
        <v>344</v>
      </c>
    </row>
    <row r="158" spans="1:1" x14ac:dyDescent="0.2">
      <c r="A158" t="s">
        <v>345</v>
      </c>
    </row>
    <row r="159" spans="1:1" x14ac:dyDescent="0.2">
      <c r="A159" t="s">
        <v>346</v>
      </c>
    </row>
    <row r="160" spans="1:1" x14ac:dyDescent="0.2">
      <c r="A160" t="s">
        <v>347</v>
      </c>
    </row>
    <row r="161" spans="1:1" x14ac:dyDescent="0.2">
      <c r="A161" t="s">
        <v>348</v>
      </c>
    </row>
    <row r="162" spans="1:1" x14ac:dyDescent="0.2">
      <c r="A162" t="s">
        <v>349</v>
      </c>
    </row>
    <row r="163" spans="1:1" x14ac:dyDescent="0.2">
      <c r="A163" t="s">
        <v>350</v>
      </c>
    </row>
    <row r="164" spans="1:1" x14ac:dyDescent="0.2">
      <c r="A164" t="s">
        <v>351</v>
      </c>
    </row>
    <row r="165" spans="1:1" x14ac:dyDescent="0.2">
      <c r="A165" t="s">
        <v>352</v>
      </c>
    </row>
    <row r="166" spans="1:1" x14ac:dyDescent="0.2">
      <c r="A166" t="s">
        <v>353</v>
      </c>
    </row>
    <row r="167" spans="1:1" x14ac:dyDescent="0.2">
      <c r="A167" t="s">
        <v>354</v>
      </c>
    </row>
    <row r="168" spans="1:1" x14ac:dyDescent="0.2">
      <c r="A168" t="s">
        <v>355</v>
      </c>
    </row>
    <row r="169" spans="1:1" x14ac:dyDescent="0.2">
      <c r="A169" t="s">
        <v>356</v>
      </c>
    </row>
    <row r="170" spans="1:1" x14ac:dyDescent="0.2">
      <c r="A170" t="s">
        <v>357</v>
      </c>
    </row>
    <row r="171" spans="1:1" x14ac:dyDescent="0.2">
      <c r="A171" t="s">
        <v>358</v>
      </c>
    </row>
    <row r="172" spans="1:1" x14ac:dyDescent="0.2">
      <c r="A172" t="s">
        <v>359</v>
      </c>
    </row>
    <row r="173" spans="1:1" x14ac:dyDescent="0.2">
      <c r="A173" t="s">
        <v>360</v>
      </c>
    </row>
    <row r="174" spans="1:1" x14ac:dyDescent="0.2">
      <c r="A174" t="s">
        <v>361</v>
      </c>
    </row>
    <row r="175" spans="1:1" x14ac:dyDescent="0.2">
      <c r="A175" t="s">
        <v>362</v>
      </c>
    </row>
    <row r="176" spans="1:1" x14ac:dyDescent="0.2">
      <c r="A176" t="s">
        <v>363</v>
      </c>
    </row>
    <row r="177" spans="1:1" x14ac:dyDescent="0.2">
      <c r="A177" t="s">
        <v>364</v>
      </c>
    </row>
    <row r="178" spans="1:1" x14ac:dyDescent="0.2">
      <c r="A178" t="s">
        <v>365</v>
      </c>
    </row>
    <row r="179" spans="1:1" x14ac:dyDescent="0.2">
      <c r="A179" t="s">
        <v>366</v>
      </c>
    </row>
    <row r="180" spans="1:1" x14ac:dyDescent="0.2">
      <c r="A180" t="s">
        <v>367</v>
      </c>
    </row>
    <row r="181" spans="1:1" x14ac:dyDescent="0.2">
      <c r="A181" t="s">
        <v>368</v>
      </c>
    </row>
    <row r="182" spans="1:1" x14ac:dyDescent="0.2">
      <c r="A182" t="s">
        <v>369</v>
      </c>
    </row>
    <row r="183" spans="1:1" x14ac:dyDescent="0.2">
      <c r="A183" t="s">
        <v>370</v>
      </c>
    </row>
    <row r="184" spans="1:1" x14ac:dyDescent="0.2">
      <c r="A184" t="s">
        <v>371</v>
      </c>
    </row>
    <row r="185" spans="1:1" x14ac:dyDescent="0.2">
      <c r="A185" t="s">
        <v>372</v>
      </c>
    </row>
    <row r="186" spans="1:1" x14ac:dyDescent="0.2">
      <c r="A186" t="s">
        <v>373</v>
      </c>
    </row>
    <row r="187" spans="1:1" x14ac:dyDescent="0.2">
      <c r="A187" t="s">
        <v>374</v>
      </c>
    </row>
    <row r="188" spans="1:1" x14ac:dyDescent="0.2">
      <c r="A188" t="s">
        <v>375</v>
      </c>
    </row>
    <row r="189" spans="1:1" x14ac:dyDescent="0.2">
      <c r="A189" t="s">
        <v>376</v>
      </c>
    </row>
    <row r="190" spans="1:1" x14ac:dyDescent="0.2">
      <c r="A190" t="s">
        <v>377</v>
      </c>
    </row>
    <row r="191" spans="1:1" x14ac:dyDescent="0.2">
      <c r="A191" t="s">
        <v>378</v>
      </c>
    </row>
    <row r="192" spans="1:1" x14ac:dyDescent="0.2">
      <c r="A192" t="s">
        <v>379</v>
      </c>
    </row>
    <row r="193" spans="1:1" x14ac:dyDescent="0.2">
      <c r="A193" t="s">
        <v>380</v>
      </c>
    </row>
    <row r="194" spans="1:1" x14ac:dyDescent="0.2">
      <c r="A194" t="s">
        <v>381</v>
      </c>
    </row>
    <row r="195" spans="1:1" x14ac:dyDescent="0.2">
      <c r="A195" t="s">
        <v>382</v>
      </c>
    </row>
    <row r="196" spans="1:1" x14ac:dyDescent="0.2">
      <c r="A196" t="s">
        <v>383</v>
      </c>
    </row>
    <row r="197" spans="1:1" x14ac:dyDescent="0.2">
      <c r="A197" t="s">
        <v>384</v>
      </c>
    </row>
    <row r="198" spans="1:1" x14ac:dyDescent="0.2">
      <c r="A198" t="s">
        <v>385</v>
      </c>
    </row>
    <row r="199" spans="1:1" x14ac:dyDescent="0.2">
      <c r="A199" t="s">
        <v>386</v>
      </c>
    </row>
    <row r="200" spans="1:1" x14ac:dyDescent="0.2">
      <c r="A200" t="s">
        <v>387</v>
      </c>
    </row>
    <row r="201" spans="1:1" x14ac:dyDescent="0.2">
      <c r="A201" t="s">
        <v>388</v>
      </c>
    </row>
    <row r="202" spans="1:1" x14ac:dyDescent="0.2">
      <c r="A202" t="s">
        <v>389</v>
      </c>
    </row>
    <row r="203" spans="1:1" x14ac:dyDescent="0.2">
      <c r="A203" t="s">
        <v>390</v>
      </c>
    </row>
    <row r="204" spans="1:1" x14ac:dyDescent="0.2">
      <c r="A204" t="s">
        <v>391</v>
      </c>
    </row>
    <row r="205" spans="1:1" x14ac:dyDescent="0.2">
      <c r="A205" t="s">
        <v>392</v>
      </c>
    </row>
    <row r="206" spans="1:1" x14ac:dyDescent="0.2">
      <c r="A206" t="s">
        <v>393</v>
      </c>
    </row>
    <row r="207" spans="1:1" x14ac:dyDescent="0.2">
      <c r="A207" t="s">
        <v>394</v>
      </c>
    </row>
    <row r="208" spans="1:1" x14ac:dyDescent="0.2">
      <c r="A208" t="s">
        <v>395</v>
      </c>
    </row>
    <row r="209" spans="1:1" x14ac:dyDescent="0.2">
      <c r="A209" t="s">
        <v>396</v>
      </c>
    </row>
    <row r="210" spans="1:1" x14ac:dyDescent="0.2">
      <c r="A210" t="s">
        <v>397</v>
      </c>
    </row>
    <row r="211" spans="1:1" x14ac:dyDescent="0.2">
      <c r="A211" t="s">
        <v>398</v>
      </c>
    </row>
    <row r="212" spans="1:1" x14ac:dyDescent="0.2">
      <c r="A212" t="s">
        <v>399</v>
      </c>
    </row>
    <row r="213" spans="1:1" x14ac:dyDescent="0.2">
      <c r="A213" t="s">
        <v>400</v>
      </c>
    </row>
    <row r="214" spans="1:1" x14ac:dyDescent="0.2">
      <c r="A214" t="s">
        <v>401</v>
      </c>
    </row>
    <row r="215" spans="1:1" x14ac:dyDescent="0.2">
      <c r="A215" t="s">
        <v>402</v>
      </c>
    </row>
    <row r="216" spans="1:1" x14ac:dyDescent="0.2">
      <c r="A216" t="s">
        <v>403</v>
      </c>
    </row>
    <row r="217" spans="1:1" x14ac:dyDescent="0.2">
      <c r="A217" t="s">
        <v>404</v>
      </c>
    </row>
    <row r="218" spans="1:1" x14ac:dyDescent="0.2">
      <c r="A218" t="s">
        <v>405</v>
      </c>
    </row>
    <row r="219" spans="1:1" x14ac:dyDescent="0.2">
      <c r="A219" t="s">
        <v>406</v>
      </c>
    </row>
    <row r="220" spans="1:1" x14ac:dyDescent="0.2">
      <c r="A220" t="s">
        <v>407</v>
      </c>
    </row>
    <row r="221" spans="1:1" x14ac:dyDescent="0.2">
      <c r="A221" t="s">
        <v>408</v>
      </c>
    </row>
    <row r="222" spans="1:1" x14ac:dyDescent="0.2">
      <c r="A222" t="s">
        <v>409</v>
      </c>
    </row>
    <row r="223" spans="1:1" x14ac:dyDescent="0.2">
      <c r="A223" t="s">
        <v>410</v>
      </c>
    </row>
    <row r="224" spans="1:1" x14ac:dyDescent="0.2">
      <c r="A224" t="s">
        <v>411</v>
      </c>
    </row>
    <row r="225" spans="1:1" x14ac:dyDescent="0.2">
      <c r="A225" t="s">
        <v>412</v>
      </c>
    </row>
    <row r="226" spans="1:1" x14ac:dyDescent="0.2">
      <c r="A226" t="s">
        <v>413</v>
      </c>
    </row>
    <row r="227" spans="1:1" x14ac:dyDescent="0.2">
      <c r="A227" t="s">
        <v>414</v>
      </c>
    </row>
    <row r="228" spans="1:1" x14ac:dyDescent="0.2">
      <c r="A228" t="s">
        <v>415</v>
      </c>
    </row>
    <row r="229" spans="1:1" x14ac:dyDescent="0.2">
      <c r="A229" t="s">
        <v>416</v>
      </c>
    </row>
    <row r="230" spans="1:1" x14ac:dyDescent="0.2">
      <c r="A230" t="s">
        <v>417</v>
      </c>
    </row>
    <row r="231" spans="1:1" x14ac:dyDescent="0.2">
      <c r="A231" t="s">
        <v>418</v>
      </c>
    </row>
    <row r="232" spans="1:1" x14ac:dyDescent="0.2">
      <c r="A232" t="s">
        <v>419</v>
      </c>
    </row>
    <row r="233" spans="1:1" x14ac:dyDescent="0.2">
      <c r="A233" t="s">
        <v>420</v>
      </c>
    </row>
    <row r="234" spans="1:1" x14ac:dyDescent="0.2">
      <c r="A234" t="s">
        <v>421</v>
      </c>
    </row>
    <row r="235" spans="1:1" x14ac:dyDescent="0.2">
      <c r="A235" t="s">
        <v>422</v>
      </c>
    </row>
    <row r="236" spans="1:1" x14ac:dyDescent="0.2">
      <c r="A236" t="s">
        <v>423</v>
      </c>
    </row>
    <row r="237" spans="1:1" x14ac:dyDescent="0.2">
      <c r="A237" t="s">
        <v>424</v>
      </c>
    </row>
    <row r="238" spans="1:1" x14ac:dyDescent="0.2">
      <c r="A238" t="s">
        <v>425</v>
      </c>
    </row>
    <row r="239" spans="1:1" x14ac:dyDescent="0.2">
      <c r="A239" t="s">
        <v>426</v>
      </c>
    </row>
    <row r="240" spans="1:1" x14ac:dyDescent="0.2">
      <c r="A240" t="s">
        <v>427</v>
      </c>
    </row>
    <row r="241" spans="1:1" x14ac:dyDescent="0.2">
      <c r="A241" t="s">
        <v>428</v>
      </c>
    </row>
    <row r="242" spans="1:1" x14ac:dyDescent="0.2">
      <c r="A242" t="s">
        <v>429</v>
      </c>
    </row>
    <row r="243" spans="1:1" x14ac:dyDescent="0.2">
      <c r="A243" t="s">
        <v>430</v>
      </c>
    </row>
    <row r="244" spans="1:1" x14ac:dyDescent="0.2">
      <c r="A244" t="s">
        <v>431</v>
      </c>
    </row>
    <row r="245" spans="1:1" x14ac:dyDescent="0.2">
      <c r="A245" t="s">
        <v>432</v>
      </c>
    </row>
    <row r="246" spans="1:1" x14ac:dyDescent="0.2">
      <c r="A246" t="s">
        <v>433</v>
      </c>
    </row>
    <row r="247" spans="1:1" x14ac:dyDescent="0.2">
      <c r="A247" t="s">
        <v>434</v>
      </c>
    </row>
    <row r="248" spans="1:1" x14ac:dyDescent="0.2">
      <c r="A248" t="s">
        <v>435</v>
      </c>
    </row>
    <row r="249" spans="1:1" x14ac:dyDescent="0.2">
      <c r="A249" t="s">
        <v>436</v>
      </c>
    </row>
    <row r="250" spans="1:1" x14ac:dyDescent="0.2">
      <c r="A250" t="s">
        <v>437</v>
      </c>
    </row>
    <row r="251" spans="1:1" x14ac:dyDescent="0.2">
      <c r="A251" t="s">
        <v>438</v>
      </c>
    </row>
    <row r="252" spans="1:1" x14ac:dyDescent="0.2">
      <c r="A252" t="s">
        <v>439</v>
      </c>
    </row>
    <row r="253" spans="1:1" x14ac:dyDescent="0.2">
      <c r="A253" t="s">
        <v>440</v>
      </c>
    </row>
    <row r="254" spans="1:1" x14ac:dyDescent="0.2">
      <c r="A254" t="s">
        <v>441</v>
      </c>
    </row>
    <row r="255" spans="1:1" x14ac:dyDescent="0.2">
      <c r="A255" t="s">
        <v>442</v>
      </c>
    </row>
    <row r="256" spans="1:1" x14ac:dyDescent="0.2">
      <c r="A256" t="s">
        <v>443</v>
      </c>
    </row>
    <row r="257" spans="1:1" x14ac:dyDescent="0.2">
      <c r="A257" t="s">
        <v>444</v>
      </c>
    </row>
    <row r="258" spans="1:1" x14ac:dyDescent="0.2">
      <c r="A258" t="s">
        <v>445</v>
      </c>
    </row>
    <row r="259" spans="1:1" x14ac:dyDescent="0.2">
      <c r="A259" t="s">
        <v>446</v>
      </c>
    </row>
    <row r="260" spans="1:1" x14ac:dyDescent="0.2">
      <c r="A260" t="s">
        <v>447</v>
      </c>
    </row>
    <row r="261" spans="1:1" x14ac:dyDescent="0.2">
      <c r="A261" t="s">
        <v>448</v>
      </c>
    </row>
    <row r="262" spans="1:1" x14ac:dyDescent="0.2">
      <c r="A262" t="s">
        <v>449</v>
      </c>
    </row>
    <row r="263" spans="1:1" x14ac:dyDescent="0.2">
      <c r="A263" t="s">
        <v>450</v>
      </c>
    </row>
    <row r="264" spans="1:1" x14ac:dyDescent="0.2">
      <c r="A264" t="s">
        <v>451</v>
      </c>
    </row>
    <row r="265" spans="1:1" x14ac:dyDescent="0.2">
      <c r="A265" t="s">
        <v>452</v>
      </c>
    </row>
    <row r="266" spans="1:1" x14ac:dyDescent="0.2">
      <c r="A266" t="s">
        <v>453</v>
      </c>
    </row>
    <row r="267" spans="1:1" x14ac:dyDescent="0.2">
      <c r="A267" t="s">
        <v>454</v>
      </c>
    </row>
    <row r="268" spans="1:1" x14ac:dyDescent="0.2">
      <c r="A268" t="s">
        <v>455</v>
      </c>
    </row>
    <row r="269" spans="1:1" x14ac:dyDescent="0.2">
      <c r="A269" t="s">
        <v>456</v>
      </c>
    </row>
    <row r="270" spans="1:1" x14ac:dyDescent="0.2">
      <c r="A270" t="s">
        <v>457</v>
      </c>
    </row>
    <row r="271" spans="1:1" x14ac:dyDescent="0.2">
      <c r="A271" t="s">
        <v>458</v>
      </c>
    </row>
    <row r="272" spans="1:1" x14ac:dyDescent="0.2">
      <c r="A272" t="s">
        <v>459</v>
      </c>
    </row>
    <row r="273" spans="1:1" x14ac:dyDescent="0.2">
      <c r="A273" t="s">
        <v>460</v>
      </c>
    </row>
    <row r="274" spans="1:1" x14ac:dyDescent="0.2">
      <c r="A274" t="s">
        <v>461</v>
      </c>
    </row>
    <row r="275" spans="1:1" x14ac:dyDescent="0.2">
      <c r="A275" t="s">
        <v>462</v>
      </c>
    </row>
    <row r="276" spans="1:1" x14ac:dyDescent="0.2">
      <c r="A276" t="s">
        <v>463</v>
      </c>
    </row>
    <row r="277" spans="1:1" x14ac:dyDescent="0.2">
      <c r="A277" t="s">
        <v>464</v>
      </c>
    </row>
    <row r="278" spans="1:1" x14ac:dyDescent="0.2">
      <c r="A278" t="s">
        <v>465</v>
      </c>
    </row>
    <row r="279" spans="1:1" x14ac:dyDescent="0.2">
      <c r="A279" t="s">
        <v>466</v>
      </c>
    </row>
    <row r="280" spans="1:1" x14ac:dyDescent="0.2">
      <c r="A280" t="s">
        <v>467</v>
      </c>
    </row>
    <row r="281" spans="1:1" x14ac:dyDescent="0.2">
      <c r="A281" t="s">
        <v>468</v>
      </c>
    </row>
    <row r="282" spans="1:1" x14ac:dyDescent="0.2">
      <c r="A282" t="s">
        <v>469</v>
      </c>
    </row>
    <row r="283" spans="1:1" x14ac:dyDescent="0.2">
      <c r="A283" t="s">
        <v>470</v>
      </c>
    </row>
    <row r="284" spans="1:1" x14ac:dyDescent="0.2">
      <c r="A284" t="s">
        <v>471</v>
      </c>
    </row>
    <row r="285" spans="1:1" x14ac:dyDescent="0.2">
      <c r="A285" t="s">
        <v>472</v>
      </c>
    </row>
    <row r="286" spans="1:1" x14ac:dyDescent="0.2">
      <c r="A286" t="s">
        <v>473</v>
      </c>
    </row>
    <row r="287" spans="1:1" x14ac:dyDescent="0.2">
      <c r="A287" t="s">
        <v>474</v>
      </c>
    </row>
    <row r="288" spans="1:1" x14ac:dyDescent="0.2">
      <c r="A288" t="s">
        <v>475</v>
      </c>
    </row>
    <row r="289" spans="1:1" x14ac:dyDescent="0.2">
      <c r="A289" t="s">
        <v>476</v>
      </c>
    </row>
    <row r="290" spans="1:1" x14ac:dyDescent="0.2">
      <c r="A290" t="s">
        <v>477</v>
      </c>
    </row>
    <row r="291" spans="1:1" x14ac:dyDescent="0.2">
      <c r="A291" t="s">
        <v>478</v>
      </c>
    </row>
    <row r="292" spans="1:1" x14ac:dyDescent="0.2">
      <c r="A292" t="s">
        <v>479</v>
      </c>
    </row>
    <row r="293" spans="1:1" x14ac:dyDescent="0.2">
      <c r="A293" t="s">
        <v>480</v>
      </c>
    </row>
    <row r="294" spans="1:1" x14ac:dyDescent="0.2">
      <c r="A294" t="s">
        <v>481</v>
      </c>
    </row>
    <row r="295" spans="1:1" x14ac:dyDescent="0.2">
      <c r="A295" t="s">
        <v>482</v>
      </c>
    </row>
    <row r="296" spans="1:1" x14ac:dyDescent="0.2">
      <c r="A296" t="s">
        <v>483</v>
      </c>
    </row>
    <row r="297" spans="1:1" x14ac:dyDescent="0.2">
      <c r="A297" t="s">
        <v>484</v>
      </c>
    </row>
    <row r="298" spans="1:1" x14ac:dyDescent="0.2">
      <c r="A298" t="s">
        <v>485</v>
      </c>
    </row>
    <row r="299" spans="1:1" x14ac:dyDescent="0.2">
      <c r="A299" t="s">
        <v>486</v>
      </c>
    </row>
    <row r="300" spans="1:1" x14ac:dyDescent="0.2">
      <c r="A300" t="s">
        <v>487</v>
      </c>
    </row>
    <row r="301" spans="1:1" x14ac:dyDescent="0.2">
      <c r="A301" t="s">
        <v>488</v>
      </c>
    </row>
    <row r="302" spans="1:1" x14ac:dyDescent="0.2">
      <c r="A302" t="s">
        <v>489</v>
      </c>
    </row>
    <row r="303" spans="1:1" x14ac:dyDescent="0.2">
      <c r="A303" t="s">
        <v>490</v>
      </c>
    </row>
    <row r="304" spans="1:1" x14ac:dyDescent="0.2">
      <c r="A304" t="s">
        <v>491</v>
      </c>
    </row>
    <row r="305" spans="1:1" x14ac:dyDescent="0.2">
      <c r="A305" t="s">
        <v>492</v>
      </c>
    </row>
    <row r="306" spans="1:1" x14ac:dyDescent="0.2">
      <c r="A306" t="s">
        <v>493</v>
      </c>
    </row>
    <row r="307" spans="1:1" x14ac:dyDescent="0.2">
      <c r="A307" t="s">
        <v>494</v>
      </c>
    </row>
    <row r="308" spans="1:1" x14ac:dyDescent="0.2">
      <c r="A308" t="s">
        <v>495</v>
      </c>
    </row>
    <row r="309" spans="1:1" x14ac:dyDescent="0.2">
      <c r="A309" t="s">
        <v>496</v>
      </c>
    </row>
    <row r="310" spans="1:1" x14ac:dyDescent="0.2">
      <c r="A310" t="s">
        <v>497</v>
      </c>
    </row>
    <row r="311" spans="1:1" x14ac:dyDescent="0.2">
      <c r="A311" t="s">
        <v>498</v>
      </c>
    </row>
    <row r="312" spans="1:1" x14ac:dyDescent="0.2">
      <c r="A312" t="s">
        <v>499</v>
      </c>
    </row>
    <row r="313" spans="1:1" x14ac:dyDescent="0.2">
      <c r="A313" t="s">
        <v>500</v>
      </c>
    </row>
    <row r="314" spans="1:1" x14ac:dyDescent="0.2">
      <c r="A314" t="s">
        <v>501</v>
      </c>
    </row>
    <row r="315" spans="1:1" x14ac:dyDescent="0.2">
      <c r="A315" t="s">
        <v>502</v>
      </c>
    </row>
    <row r="316" spans="1:1" x14ac:dyDescent="0.2">
      <c r="A316" t="s">
        <v>503</v>
      </c>
    </row>
    <row r="317" spans="1:1" x14ac:dyDescent="0.2">
      <c r="A317" t="s">
        <v>504</v>
      </c>
    </row>
    <row r="318" spans="1:1" x14ac:dyDescent="0.2">
      <c r="A318" t="s">
        <v>505</v>
      </c>
    </row>
    <row r="319" spans="1:1" x14ac:dyDescent="0.2">
      <c r="A319" t="s">
        <v>506</v>
      </c>
    </row>
    <row r="320" spans="1:1" x14ac:dyDescent="0.2">
      <c r="A320" t="s">
        <v>507</v>
      </c>
    </row>
    <row r="321" spans="1:1" x14ac:dyDescent="0.2">
      <c r="A321" t="s">
        <v>508</v>
      </c>
    </row>
    <row r="322" spans="1:1" x14ac:dyDescent="0.2">
      <c r="A322" t="s">
        <v>509</v>
      </c>
    </row>
    <row r="323" spans="1:1" x14ac:dyDescent="0.2">
      <c r="A323" t="s">
        <v>510</v>
      </c>
    </row>
    <row r="324" spans="1:1" x14ac:dyDescent="0.2">
      <c r="A324" t="s">
        <v>511</v>
      </c>
    </row>
    <row r="325" spans="1:1" x14ac:dyDescent="0.2">
      <c r="A325" t="s">
        <v>512</v>
      </c>
    </row>
    <row r="326" spans="1:1" x14ac:dyDescent="0.2">
      <c r="A326" t="s">
        <v>513</v>
      </c>
    </row>
    <row r="327" spans="1:1" x14ac:dyDescent="0.2">
      <c r="A327" t="s">
        <v>514</v>
      </c>
    </row>
    <row r="328" spans="1:1" x14ac:dyDescent="0.2">
      <c r="A328" t="s">
        <v>515</v>
      </c>
    </row>
    <row r="329" spans="1:1" x14ac:dyDescent="0.2">
      <c r="A329" t="s">
        <v>516</v>
      </c>
    </row>
    <row r="330" spans="1:1" x14ac:dyDescent="0.2">
      <c r="A330" t="s">
        <v>517</v>
      </c>
    </row>
    <row r="331" spans="1:1" x14ac:dyDescent="0.2">
      <c r="A331" t="s">
        <v>518</v>
      </c>
    </row>
    <row r="332" spans="1:1" x14ac:dyDescent="0.2">
      <c r="A332" t="s">
        <v>519</v>
      </c>
    </row>
    <row r="333" spans="1:1" x14ac:dyDescent="0.2">
      <c r="A333" t="s">
        <v>520</v>
      </c>
    </row>
    <row r="334" spans="1:1" x14ac:dyDescent="0.2">
      <c r="A334" t="s">
        <v>521</v>
      </c>
    </row>
    <row r="335" spans="1:1" x14ac:dyDescent="0.2">
      <c r="A335" t="s">
        <v>522</v>
      </c>
    </row>
    <row r="336" spans="1:1" x14ac:dyDescent="0.2">
      <c r="A336" t="s">
        <v>523</v>
      </c>
    </row>
    <row r="337" spans="1:1" x14ac:dyDescent="0.2">
      <c r="A337" t="s">
        <v>524</v>
      </c>
    </row>
    <row r="338" spans="1:1" x14ac:dyDescent="0.2">
      <c r="A338" t="s">
        <v>525</v>
      </c>
    </row>
    <row r="339" spans="1:1" x14ac:dyDescent="0.2">
      <c r="A339" t="s">
        <v>526</v>
      </c>
    </row>
    <row r="340" spans="1:1" x14ac:dyDescent="0.2">
      <c r="A340" t="s">
        <v>527</v>
      </c>
    </row>
    <row r="341" spans="1:1" x14ac:dyDescent="0.2">
      <c r="A341" t="s">
        <v>528</v>
      </c>
    </row>
    <row r="342" spans="1:1" x14ac:dyDescent="0.2">
      <c r="A342" t="s">
        <v>529</v>
      </c>
    </row>
    <row r="343" spans="1:1" x14ac:dyDescent="0.2">
      <c r="A343" t="s">
        <v>530</v>
      </c>
    </row>
    <row r="344" spans="1:1" x14ac:dyDescent="0.2">
      <c r="A344" t="s">
        <v>531</v>
      </c>
    </row>
    <row r="345" spans="1:1" x14ac:dyDescent="0.2">
      <c r="A345" t="s">
        <v>532</v>
      </c>
    </row>
    <row r="346" spans="1:1" x14ac:dyDescent="0.2">
      <c r="A346" t="s">
        <v>533</v>
      </c>
    </row>
    <row r="347" spans="1:1" x14ac:dyDescent="0.2">
      <c r="A347" t="s">
        <v>534</v>
      </c>
    </row>
    <row r="348" spans="1:1" x14ac:dyDescent="0.2">
      <c r="A348" t="s">
        <v>535</v>
      </c>
    </row>
    <row r="349" spans="1:1" x14ac:dyDescent="0.2">
      <c r="A349" t="s">
        <v>536</v>
      </c>
    </row>
    <row r="350" spans="1:1" x14ac:dyDescent="0.2">
      <c r="A350" t="s">
        <v>537</v>
      </c>
    </row>
    <row r="351" spans="1:1" x14ac:dyDescent="0.2">
      <c r="A351" t="s">
        <v>538</v>
      </c>
    </row>
    <row r="352" spans="1:1" x14ac:dyDescent="0.2">
      <c r="A352" t="s">
        <v>539</v>
      </c>
    </row>
    <row r="353" spans="1:1" x14ac:dyDescent="0.2">
      <c r="A353" t="s">
        <v>540</v>
      </c>
    </row>
    <row r="354" spans="1:1" x14ac:dyDescent="0.2">
      <c r="A354" t="s">
        <v>541</v>
      </c>
    </row>
    <row r="355" spans="1:1" x14ac:dyDescent="0.2">
      <c r="A355" t="s">
        <v>542</v>
      </c>
    </row>
    <row r="356" spans="1:1" x14ac:dyDescent="0.2">
      <c r="A356" t="s">
        <v>543</v>
      </c>
    </row>
    <row r="357" spans="1:1" x14ac:dyDescent="0.2">
      <c r="A357" t="s">
        <v>544</v>
      </c>
    </row>
    <row r="358" spans="1:1" x14ac:dyDescent="0.2">
      <c r="A358" t="s">
        <v>545</v>
      </c>
    </row>
    <row r="359" spans="1:1" x14ac:dyDescent="0.2">
      <c r="A359" t="s">
        <v>546</v>
      </c>
    </row>
    <row r="360" spans="1:1" x14ac:dyDescent="0.2">
      <c r="A360" t="s">
        <v>547</v>
      </c>
    </row>
    <row r="361" spans="1:1" x14ac:dyDescent="0.2">
      <c r="A361" t="s">
        <v>548</v>
      </c>
    </row>
    <row r="362" spans="1:1" x14ac:dyDescent="0.2">
      <c r="A362" t="s">
        <v>549</v>
      </c>
    </row>
    <row r="363" spans="1:1" x14ac:dyDescent="0.2">
      <c r="A363" t="s">
        <v>550</v>
      </c>
    </row>
    <row r="364" spans="1:1" x14ac:dyDescent="0.2">
      <c r="A364" t="s">
        <v>551</v>
      </c>
    </row>
    <row r="365" spans="1:1" x14ac:dyDescent="0.2">
      <c r="A365" t="s">
        <v>552</v>
      </c>
    </row>
    <row r="366" spans="1:1" x14ac:dyDescent="0.2">
      <c r="A366" t="s">
        <v>553</v>
      </c>
    </row>
    <row r="367" spans="1:1" x14ac:dyDescent="0.2">
      <c r="A367" t="s">
        <v>554</v>
      </c>
    </row>
    <row r="368" spans="1:1" x14ac:dyDescent="0.2">
      <c r="A368" t="s">
        <v>555</v>
      </c>
    </row>
    <row r="369" spans="1:1" x14ac:dyDescent="0.2">
      <c r="A369" t="s">
        <v>556</v>
      </c>
    </row>
    <row r="370" spans="1:1" x14ac:dyDescent="0.2">
      <c r="A370" t="s">
        <v>557</v>
      </c>
    </row>
    <row r="371" spans="1:1" x14ac:dyDescent="0.2">
      <c r="A371" t="s">
        <v>558</v>
      </c>
    </row>
    <row r="372" spans="1:1" x14ac:dyDescent="0.2">
      <c r="A372" t="s">
        <v>559</v>
      </c>
    </row>
    <row r="373" spans="1:1" x14ac:dyDescent="0.2">
      <c r="A373" t="s">
        <v>560</v>
      </c>
    </row>
    <row r="374" spans="1:1" x14ac:dyDescent="0.2">
      <c r="A374" t="s">
        <v>561</v>
      </c>
    </row>
    <row r="375" spans="1:1" x14ac:dyDescent="0.2">
      <c r="A375" t="s">
        <v>562</v>
      </c>
    </row>
    <row r="376" spans="1:1" x14ac:dyDescent="0.2">
      <c r="A376" t="s">
        <v>563</v>
      </c>
    </row>
    <row r="377" spans="1:1" x14ac:dyDescent="0.2">
      <c r="A377" t="s">
        <v>564</v>
      </c>
    </row>
    <row r="378" spans="1:1" x14ac:dyDescent="0.2">
      <c r="A378" t="s">
        <v>565</v>
      </c>
    </row>
    <row r="379" spans="1:1" x14ac:dyDescent="0.2">
      <c r="A379" t="s">
        <v>566</v>
      </c>
    </row>
    <row r="380" spans="1:1" x14ac:dyDescent="0.2">
      <c r="A380" t="s">
        <v>567</v>
      </c>
    </row>
    <row r="381" spans="1:1" x14ac:dyDescent="0.2">
      <c r="A381" t="s">
        <v>568</v>
      </c>
    </row>
    <row r="382" spans="1:1" x14ac:dyDescent="0.2">
      <c r="A382" t="s">
        <v>569</v>
      </c>
    </row>
    <row r="383" spans="1:1" x14ac:dyDescent="0.2">
      <c r="A383" t="s">
        <v>570</v>
      </c>
    </row>
    <row r="384" spans="1:1" x14ac:dyDescent="0.2">
      <c r="A384" t="s">
        <v>571</v>
      </c>
    </row>
    <row r="385" spans="1:1" x14ac:dyDescent="0.2">
      <c r="A385" t="s">
        <v>572</v>
      </c>
    </row>
    <row r="386" spans="1:1" x14ac:dyDescent="0.2">
      <c r="A386" t="s">
        <v>573</v>
      </c>
    </row>
    <row r="387" spans="1:1" x14ac:dyDescent="0.2">
      <c r="A387" t="s">
        <v>574</v>
      </c>
    </row>
    <row r="388" spans="1:1" x14ac:dyDescent="0.2">
      <c r="A388" t="s">
        <v>575</v>
      </c>
    </row>
    <row r="389" spans="1:1" x14ac:dyDescent="0.2">
      <c r="A389" t="s">
        <v>576</v>
      </c>
    </row>
    <row r="390" spans="1:1" x14ac:dyDescent="0.2">
      <c r="A390" t="s">
        <v>577</v>
      </c>
    </row>
    <row r="391" spans="1:1" x14ac:dyDescent="0.2">
      <c r="A391" t="s">
        <v>578</v>
      </c>
    </row>
    <row r="392" spans="1:1" x14ac:dyDescent="0.2">
      <c r="A392" t="s">
        <v>579</v>
      </c>
    </row>
    <row r="393" spans="1:1" x14ac:dyDescent="0.2">
      <c r="A393" t="s">
        <v>580</v>
      </c>
    </row>
    <row r="394" spans="1:1" x14ac:dyDescent="0.2">
      <c r="A394" t="s">
        <v>581</v>
      </c>
    </row>
    <row r="395" spans="1:1" x14ac:dyDescent="0.2">
      <c r="A395" t="s">
        <v>582</v>
      </c>
    </row>
    <row r="396" spans="1:1" x14ac:dyDescent="0.2">
      <c r="A396" t="s">
        <v>583</v>
      </c>
    </row>
    <row r="397" spans="1:1" x14ac:dyDescent="0.2">
      <c r="A397" t="s">
        <v>584</v>
      </c>
    </row>
    <row r="398" spans="1:1" x14ac:dyDescent="0.2">
      <c r="A398" t="s">
        <v>585</v>
      </c>
    </row>
    <row r="399" spans="1:1" x14ac:dyDescent="0.2">
      <c r="A399" t="s">
        <v>586</v>
      </c>
    </row>
    <row r="400" spans="1:1" x14ac:dyDescent="0.2">
      <c r="A400" t="s">
        <v>587</v>
      </c>
    </row>
    <row r="401" spans="1:1" x14ac:dyDescent="0.2">
      <c r="A401" t="s">
        <v>588</v>
      </c>
    </row>
    <row r="402" spans="1:1" x14ac:dyDescent="0.2">
      <c r="A402" t="s">
        <v>589</v>
      </c>
    </row>
    <row r="403" spans="1:1" x14ac:dyDescent="0.2">
      <c r="A403" t="s">
        <v>590</v>
      </c>
    </row>
    <row r="404" spans="1:1" x14ac:dyDescent="0.2">
      <c r="A404" t="s">
        <v>591</v>
      </c>
    </row>
    <row r="405" spans="1:1" x14ac:dyDescent="0.2">
      <c r="A405" t="s">
        <v>592</v>
      </c>
    </row>
    <row r="406" spans="1:1" x14ac:dyDescent="0.2">
      <c r="A406" t="s">
        <v>593</v>
      </c>
    </row>
    <row r="407" spans="1:1" x14ac:dyDescent="0.2">
      <c r="A407" t="s">
        <v>594</v>
      </c>
    </row>
    <row r="408" spans="1:1" x14ac:dyDescent="0.2">
      <c r="A408" t="s">
        <v>595</v>
      </c>
    </row>
    <row r="409" spans="1:1" x14ac:dyDescent="0.2">
      <c r="A409" t="s">
        <v>596</v>
      </c>
    </row>
    <row r="410" spans="1:1" x14ac:dyDescent="0.2">
      <c r="A410" t="s">
        <v>597</v>
      </c>
    </row>
    <row r="411" spans="1:1" x14ac:dyDescent="0.2">
      <c r="A411" t="s">
        <v>598</v>
      </c>
    </row>
    <row r="412" spans="1:1" x14ac:dyDescent="0.2">
      <c r="A412" t="s">
        <v>599</v>
      </c>
    </row>
    <row r="413" spans="1:1" x14ac:dyDescent="0.2">
      <c r="A413" t="s">
        <v>600</v>
      </c>
    </row>
    <row r="414" spans="1:1" x14ac:dyDescent="0.2">
      <c r="A414" t="s">
        <v>601</v>
      </c>
    </row>
    <row r="415" spans="1:1" x14ac:dyDescent="0.2">
      <c r="A415" t="s">
        <v>602</v>
      </c>
    </row>
    <row r="416" spans="1:1" x14ac:dyDescent="0.2">
      <c r="A416" t="s">
        <v>603</v>
      </c>
    </row>
    <row r="417" spans="1:1" x14ac:dyDescent="0.2">
      <c r="A417" t="s">
        <v>604</v>
      </c>
    </row>
    <row r="418" spans="1:1" x14ac:dyDescent="0.2">
      <c r="A418" t="s">
        <v>605</v>
      </c>
    </row>
    <row r="419" spans="1:1" x14ac:dyDescent="0.2">
      <c r="A419" t="s">
        <v>606</v>
      </c>
    </row>
    <row r="420" spans="1:1" x14ac:dyDescent="0.2">
      <c r="A420" t="s">
        <v>607</v>
      </c>
    </row>
    <row r="421" spans="1:1" x14ac:dyDescent="0.2">
      <c r="A421" t="s">
        <v>608</v>
      </c>
    </row>
    <row r="422" spans="1:1" x14ac:dyDescent="0.2">
      <c r="A422" t="s">
        <v>609</v>
      </c>
    </row>
    <row r="423" spans="1:1" x14ac:dyDescent="0.2">
      <c r="A423" t="s">
        <v>610</v>
      </c>
    </row>
    <row r="424" spans="1:1" x14ac:dyDescent="0.2">
      <c r="A424" t="s">
        <v>611</v>
      </c>
    </row>
    <row r="425" spans="1:1" x14ac:dyDescent="0.2">
      <c r="A425" t="s">
        <v>612</v>
      </c>
    </row>
    <row r="426" spans="1:1" x14ac:dyDescent="0.2">
      <c r="A426" t="s">
        <v>613</v>
      </c>
    </row>
    <row r="427" spans="1:1" x14ac:dyDescent="0.2">
      <c r="A427" t="s">
        <v>614</v>
      </c>
    </row>
    <row r="428" spans="1:1" x14ac:dyDescent="0.2">
      <c r="A428" t="s">
        <v>615</v>
      </c>
    </row>
    <row r="429" spans="1:1" x14ac:dyDescent="0.2">
      <c r="A429" t="s">
        <v>616</v>
      </c>
    </row>
    <row r="430" spans="1:1" x14ac:dyDescent="0.2">
      <c r="A430" t="s">
        <v>617</v>
      </c>
    </row>
    <row r="431" spans="1:1" x14ac:dyDescent="0.2">
      <c r="A431" t="s">
        <v>618</v>
      </c>
    </row>
    <row r="432" spans="1:1" x14ac:dyDescent="0.2">
      <c r="A432" t="s">
        <v>619</v>
      </c>
    </row>
    <row r="433" spans="1:1" x14ac:dyDescent="0.2">
      <c r="A433" t="s">
        <v>620</v>
      </c>
    </row>
    <row r="434" spans="1:1" x14ac:dyDescent="0.2">
      <c r="A434" t="s">
        <v>621</v>
      </c>
    </row>
    <row r="435" spans="1:1" x14ac:dyDescent="0.2">
      <c r="A435" t="s">
        <v>622</v>
      </c>
    </row>
    <row r="436" spans="1:1" x14ac:dyDescent="0.2">
      <c r="A436" t="s">
        <v>623</v>
      </c>
    </row>
    <row r="437" spans="1:1" x14ac:dyDescent="0.2">
      <c r="A437" t="s">
        <v>624</v>
      </c>
    </row>
    <row r="438" spans="1:1" x14ac:dyDescent="0.2">
      <c r="A438" t="s">
        <v>625</v>
      </c>
    </row>
    <row r="439" spans="1:1" x14ac:dyDescent="0.2">
      <c r="A439" t="s">
        <v>626</v>
      </c>
    </row>
    <row r="440" spans="1:1" x14ac:dyDescent="0.2">
      <c r="A440" t="s">
        <v>627</v>
      </c>
    </row>
    <row r="441" spans="1:1" x14ac:dyDescent="0.2">
      <c r="A441" t="s">
        <v>628</v>
      </c>
    </row>
    <row r="442" spans="1:1" x14ac:dyDescent="0.2">
      <c r="A442" t="s">
        <v>629</v>
      </c>
    </row>
    <row r="443" spans="1:1" x14ac:dyDescent="0.2">
      <c r="A443" t="s">
        <v>630</v>
      </c>
    </row>
    <row r="444" spans="1:1" x14ac:dyDescent="0.2">
      <c r="A444" t="s">
        <v>631</v>
      </c>
    </row>
    <row r="445" spans="1:1" x14ac:dyDescent="0.2">
      <c r="A445" t="s">
        <v>632</v>
      </c>
    </row>
    <row r="446" spans="1:1" x14ac:dyDescent="0.2">
      <c r="A446" t="s">
        <v>633</v>
      </c>
    </row>
    <row r="447" spans="1:1" x14ac:dyDescent="0.2">
      <c r="A447" t="s">
        <v>634</v>
      </c>
    </row>
    <row r="448" spans="1:1" x14ac:dyDescent="0.2">
      <c r="A448" t="s">
        <v>635</v>
      </c>
    </row>
    <row r="449" spans="1:1" x14ac:dyDescent="0.2">
      <c r="A449" t="s">
        <v>636</v>
      </c>
    </row>
    <row r="450" spans="1:1" x14ac:dyDescent="0.2">
      <c r="A450" t="s">
        <v>637</v>
      </c>
    </row>
    <row r="451" spans="1:1" x14ac:dyDescent="0.2">
      <c r="A451" t="s">
        <v>638</v>
      </c>
    </row>
    <row r="452" spans="1:1" x14ac:dyDescent="0.2">
      <c r="A452" t="s">
        <v>639</v>
      </c>
    </row>
    <row r="453" spans="1:1" x14ac:dyDescent="0.2">
      <c r="A453" t="s">
        <v>640</v>
      </c>
    </row>
    <row r="454" spans="1:1" x14ac:dyDescent="0.2">
      <c r="A454" t="s">
        <v>641</v>
      </c>
    </row>
    <row r="455" spans="1:1" x14ac:dyDescent="0.2">
      <c r="A455" t="s">
        <v>642</v>
      </c>
    </row>
    <row r="456" spans="1:1" x14ac:dyDescent="0.2">
      <c r="A456" t="s">
        <v>643</v>
      </c>
    </row>
    <row r="457" spans="1:1" x14ac:dyDescent="0.2">
      <c r="A457" t="s">
        <v>644</v>
      </c>
    </row>
    <row r="458" spans="1:1" x14ac:dyDescent="0.2">
      <c r="A458" t="s">
        <v>645</v>
      </c>
    </row>
    <row r="459" spans="1:1" x14ac:dyDescent="0.2">
      <c r="A459" t="s">
        <v>646</v>
      </c>
    </row>
    <row r="460" spans="1:1" x14ac:dyDescent="0.2">
      <c r="A460" t="s">
        <v>647</v>
      </c>
    </row>
    <row r="461" spans="1:1" x14ac:dyDescent="0.2">
      <c r="A461" t="s">
        <v>648</v>
      </c>
    </row>
    <row r="462" spans="1:1" x14ac:dyDescent="0.2">
      <c r="A462" t="s">
        <v>649</v>
      </c>
    </row>
    <row r="463" spans="1:1" x14ac:dyDescent="0.2">
      <c r="A463" t="s">
        <v>650</v>
      </c>
    </row>
    <row r="464" spans="1:1" x14ac:dyDescent="0.2">
      <c r="A464" t="s">
        <v>651</v>
      </c>
    </row>
    <row r="465" spans="1:1" x14ac:dyDescent="0.2">
      <c r="A465" t="s">
        <v>652</v>
      </c>
    </row>
    <row r="466" spans="1:1" x14ac:dyDescent="0.2">
      <c r="A466" t="s">
        <v>653</v>
      </c>
    </row>
    <row r="467" spans="1:1" x14ac:dyDescent="0.2">
      <c r="A467" t="s">
        <v>654</v>
      </c>
    </row>
    <row r="468" spans="1:1" x14ac:dyDescent="0.2">
      <c r="A468" t="s">
        <v>655</v>
      </c>
    </row>
    <row r="469" spans="1:1" x14ac:dyDescent="0.2">
      <c r="A469" t="s">
        <v>656</v>
      </c>
    </row>
    <row r="470" spans="1:1" x14ac:dyDescent="0.2">
      <c r="A470" t="s">
        <v>657</v>
      </c>
    </row>
    <row r="471" spans="1:1" x14ac:dyDescent="0.2">
      <c r="A471" t="s">
        <v>658</v>
      </c>
    </row>
    <row r="472" spans="1:1" x14ac:dyDescent="0.2">
      <c r="A472" t="s">
        <v>659</v>
      </c>
    </row>
    <row r="473" spans="1:1" x14ac:dyDescent="0.2">
      <c r="A473" t="s">
        <v>660</v>
      </c>
    </row>
    <row r="474" spans="1:1" x14ac:dyDescent="0.2">
      <c r="A474" t="s">
        <v>661</v>
      </c>
    </row>
    <row r="475" spans="1:1" x14ac:dyDescent="0.2">
      <c r="A475" t="s">
        <v>662</v>
      </c>
    </row>
    <row r="476" spans="1:1" x14ac:dyDescent="0.2">
      <c r="A476" t="s">
        <v>663</v>
      </c>
    </row>
    <row r="477" spans="1:1" x14ac:dyDescent="0.2">
      <c r="A477" t="s">
        <v>664</v>
      </c>
    </row>
    <row r="478" spans="1:1" x14ac:dyDescent="0.2">
      <c r="A478" t="s">
        <v>665</v>
      </c>
    </row>
    <row r="479" spans="1:1" x14ac:dyDescent="0.2">
      <c r="A479" t="s">
        <v>666</v>
      </c>
    </row>
    <row r="480" spans="1:1" x14ac:dyDescent="0.2">
      <c r="A480" t="s">
        <v>667</v>
      </c>
    </row>
    <row r="481" spans="1:1" x14ac:dyDescent="0.2">
      <c r="A481" t="s">
        <v>668</v>
      </c>
    </row>
    <row r="482" spans="1:1" x14ac:dyDescent="0.2">
      <c r="A482" t="s">
        <v>669</v>
      </c>
    </row>
    <row r="483" spans="1:1" x14ac:dyDescent="0.2">
      <c r="A483" t="s">
        <v>670</v>
      </c>
    </row>
    <row r="484" spans="1:1" x14ac:dyDescent="0.2">
      <c r="A484" t="s">
        <v>671</v>
      </c>
    </row>
    <row r="485" spans="1:1" x14ac:dyDescent="0.2">
      <c r="A485" t="s">
        <v>672</v>
      </c>
    </row>
    <row r="486" spans="1:1" x14ac:dyDescent="0.2">
      <c r="A486" t="s">
        <v>673</v>
      </c>
    </row>
    <row r="487" spans="1:1" x14ac:dyDescent="0.2">
      <c r="A487" t="s">
        <v>674</v>
      </c>
    </row>
    <row r="488" spans="1:1" x14ac:dyDescent="0.2">
      <c r="A488" t="s">
        <v>675</v>
      </c>
    </row>
    <row r="489" spans="1:1" x14ac:dyDescent="0.2">
      <c r="A489" t="s">
        <v>676</v>
      </c>
    </row>
    <row r="490" spans="1:1" x14ac:dyDescent="0.2">
      <c r="A490" t="s">
        <v>677</v>
      </c>
    </row>
    <row r="491" spans="1:1" x14ac:dyDescent="0.2">
      <c r="A491" t="s">
        <v>678</v>
      </c>
    </row>
    <row r="492" spans="1:1" x14ac:dyDescent="0.2">
      <c r="A492" t="s">
        <v>679</v>
      </c>
    </row>
    <row r="493" spans="1:1" x14ac:dyDescent="0.2">
      <c r="A493" t="s">
        <v>680</v>
      </c>
    </row>
    <row r="494" spans="1:1" x14ac:dyDescent="0.2">
      <c r="A494" t="s">
        <v>681</v>
      </c>
    </row>
    <row r="495" spans="1:1" x14ac:dyDescent="0.2">
      <c r="A495" t="s">
        <v>682</v>
      </c>
    </row>
    <row r="496" spans="1:1" x14ac:dyDescent="0.2">
      <c r="A496" t="s">
        <v>683</v>
      </c>
    </row>
    <row r="497" spans="1:1" x14ac:dyDescent="0.2">
      <c r="A497" t="s">
        <v>684</v>
      </c>
    </row>
    <row r="498" spans="1:1" x14ac:dyDescent="0.2">
      <c r="A498" t="s">
        <v>685</v>
      </c>
    </row>
    <row r="499" spans="1:1" x14ac:dyDescent="0.2">
      <c r="A499" t="s">
        <v>686</v>
      </c>
    </row>
    <row r="500" spans="1:1" x14ac:dyDescent="0.2">
      <c r="A500" t="s">
        <v>687</v>
      </c>
    </row>
    <row r="501" spans="1:1" x14ac:dyDescent="0.2">
      <c r="A501" t="s">
        <v>688</v>
      </c>
    </row>
    <row r="502" spans="1:1" x14ac:dyDescent="0.2">
      <c r="A502" t="s">
        <v>689</v>
      </c>
    </row>
    <row r="503" spans="1:1" x14ac:dyDescent="0.2">
      <c r="A503" t="s">
        <v>690</v>
      </c>
    </row>
  </sheetData>
  <customSheetViews>
    <customSheetView guid="{3088DA8C-CA5B-4D0B-B766-601A6252A1BC}" showGridLines="0" hiddenRows="1" hiddenColumns="1" topLeftCell="B1">
      <pane xSplit="4" ySplit="2" topLeftCell="F4" activePane="bottomRight" state="frozen"/>
      <selection pane="bottomRight" activeCell="J18" sqref="J18"/>
      <pageMargins left="0.7" right="0.7" top="0.75" bottom="0.75" header="0.3" footer="0.3"/>
      <pageSetup orientation="portrait" r:id="rId1"/>
    </customSheetView>
    <customSheetView guid="{2C9D0022-6FEB-4503-9A3D-1134E9EB4ABD}" showGridLines="0" hiddenRows="1" hiddenColumns="1" topLeftCell="B1">
      <pane xSplit="3" ySplit="2" topLeftCell="E4" activePane="bottomRight" state="frozen"/>
      <selection pane="bottomRight" activeCell="CH7" sqref="CH7"/>
      <pageMargins left="0.7" right="0.7" top="0.75" bottom="0.75" header="0.3" footer="0.3"/>
      <pageSetup orientation="portrait" r:id="rId2"/>
    </customSheetView>
    <customSheetView guid="{13FE0DC8-EF6C-4CDA-BD49-DC570D2B6582}" showGridLines="0" hiddenRows="1" hiddenColumns="1" topLeftCell="B1">
      <pane xSplit="4" ySplit="2" topLeftCell="F4" activePane="bottomRight" state="frozen"/>
      <selection pane="bottomRight" activeCell="T2" sqref="T2:W2"/>
      <pageMargins left="0.7" right="0.7" top="0.75" bottom="0.75" header="0.3" footer="0.3"/>
      <pageSetup orientation="portrait" r:id="rId3"/>
    </customSheetView>
    <customSheetView guid="{16C42120-8ADA-4135-A282-991D16C151FE}" showGridLines="0" hiddenRows="1" hiddenColumns="1" topLeftCell="B1">
      <pane xSplit="4" ySplit="2" topLeftCell="F4" activePane="bottomRight" state="frozen"/>
      <selection pane="bottomRight" activeCell="N12" sqref="N12"/>
      <pageMargins left="0.7" right="0.7" top="0.75" bottom="0.75" header="0.3" footer="0.3"/>
      <pageSetup orientation="portrait" r:id="rId4"/>
    </customSheetView>
  </customSheetViews>
  <mergeCells count="2">
    <mergeCell ref="E2:S2"/>
    <mergeCell ref="T2:W2"/>
  </mergeCells>
  <phoneticPr fontId="14" type="noConversion"/>
  <pageMargins left="0.7" right="0.7" top="0.75" bottom="0.75" header="0.3" footer="0.3"/>
  <pageSetup orientation="portrait" r:id="rId5"/>
  <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5"/>
  </sheetPr>
  <dimension ref="H1:H8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4.25" x14ac:dyDescent="0.2"/>
  <cols>
    <col min="1" max="1" width="11.625" customWidth="1"/>
    <col min="2" max="2" width="10.625" customWidth="1"/>
    <col min="3" max="3" width="18" bestFit="1" customWidth="1"/>
    <col min="4" max="51" width="4.375" bestFit="1" customWidth="1"/>
    <col min="52" max="54" width="13.375" bestFit="1" customWidth="1"/>
    <col min="55" max="68" width="4.375" bestFit="1" customWidth="1"/>
  </cols>
  <sheetData>
    <row r="1" spans="8:8" ht="35.25" customHeight="1" x14ac:dyDescent="0.2"/>
    <row r="2" spans="8:8" ht="30.75" customHeight="1" x14ac:dyDescent="0.2"/>
    <row r="4" spans="8:8" ht="15.75" customHeight="1" x14ac:dyDescent="0.2"/>
    <row r="8" spans="8:8" ht="15" x14ac:dyDescent="0.25">
      <c r="H8" s="58"/>
    </row>
  </sheetData>
  <customSheetViews>
    <customSheetView guid="{3088DA8C-CA5B-4D0B-B766-601A6252A1BC}" showGridLines="0">
      <pane ySplit="2" topLeftCell="A3" activePane="bottomLeft" state="frozen"/>
      <selection pane="bottomLeft" activeCell="C4" sqref="C4:F4"/>
      <pageMargins left="0.7" right="0.7" top="0.75" bottom="0.75" header="0.3" footer="0.3"/>
      <pageSetup orientation="portrait" r:id="rId1"/>
    </customSheetView>
    <customSheetView guid="{2C9D0022-6FEB-4503-9A3D-1134E9EB4ABD}" showGridLines="0">
      <selection activeCell="F3" sqref="F3"/>
      <pageMargins left="0.7" right="0.7" top="0.75" bottom="0.75" header="0.3" footer="0.3"/>
      <pageSetup orientation="portrait" r:id="rId2"/>
    </customSheetView>
    <customSheetView guid="{13FE0DC8-EF6C-4CDA-BD49-DC570D2B6582}" showGridLines="0">
      <pane ySplit="2" topLeftCell="A3" activePane="bottomLeft" state="frozen"/>
      <selection pane="bottomLeft" activeCell="Z4" sqref="Z4:AG4"/>
      <pageMargins left="0.7" right="0.7" top="0.75" bottom="0.75" header="0.3" footer="0.3"/>
      <pageSetup orientation="portrait" r:id="rId3"/>
    </customSheetView>
    <customSheetView guid="{16C42120-8ADA-4135-A282-991D16C151FE}" showGridLines="0">
      <pane ySplit="2" topLeftCell="A3" activePane="bottomLeft" state="frozen"/>
      <selection pane="bottomLeft" activeCell="Q4" sqref="Q4"/>
      <pageMargins left="0.7" right="0.7" top="0.75" bottom="0.75" header="0.3" footer="0.3"/>
      <pageSetup orientation="portrait" r:id="rId4"/>
    </customSheetView>
  </customSheetViews>
  <pageMargins left="0.7" right="0.7" top="0.75" bottom="0.75" header="0.3" footer="0.3"/>
  <pageSetup orientation="portrait" r:id="rId5"/>
  <drawing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4"/>
  </sheetPr>
  <dimension ref="A1:L4"/>
  <sheetViews>
    <sheetView showGridLines="0" showZeros="0" workbookViewId="0">
      <pane ySplit="2" topLeftCell="A3" activePane="bottomLeft" state="frozen"/>
      <selection pane="bottomLeft" activeCell="K19" sqref="K19"/>
    </sheetView>
  </sheetViews>
  <sheetFormatPr defaultRowHeight="14.25" x14ac:dyDescent="0.2"/>
  <cols>
    <col min="1" max="1" width="12" bestFit="1" customWidth="1"/>
    <col min="2" max="2" width="12.875" customWidth="1"/>
    <col min="4" max="4" width="13.375" bestFit="1" customWidth="1"/>
    <col min="5" max="5" width="8" bestFit="1" customWidth="1"/>
    <col min="6" max="6" width="10.875" bestFit="1" customWidth="1"/>
    <col min="7" max="7" width="2.25" bestFit="1" customWidth="1"/>
    <col min="8" max="8" width="2.375" bestFit="1" customWidth="1"/>
    <col min="9" max="10" width="2.25" bestFit="1" customWidth="1"/>
    <col min="11" max="11" width="13.75" bestFit="1" customWidth="1"/>
    <col min="12" max="12" width="21.125" bestFit="1" customWidth="1"/>
  </cols>
  <sheetData>
    <row r="1" spans="1:12" ht="21.75" customHeight="1" x14ac:dyDescent="0.2"/>
    <row r="2" spans="1:12" x14ac:dyDescent="0.2">
      <c r="A2" s="48" t="s">
        <v>10</v>
      </c>
      <c r="B2" s="46" t="s">
        <v>49</v>
      </c>
      <c r="C2" s="47" t="s">
        <v>11</v>
      </c>
      <c r="D2" s="47" t="s">
        <v>12</v>
      </c>
      <c r="E2" s="47" t="s">
        <v>13</v>
      </c>
      <c r="F2" s="47" t="s">
        <v>14</v>
      </c>
      <c r="G2" s="47" t="s">
        <v>15</v>
      </c>
      <c r="H2" s="47" t="s">
        <v>8</v>
      </c>
      <c r="I2" s="47" t="s">
        <v>9</v>
      </c>
      <c r="J2" s="47" t="s">
        <v>16</v>
      </c>
      <c r="K2" s="47" t="s">
        <v>17</v>
      </c>
      <c r="L2" s="47" t="s">
        <v>18</v>
      </c>
    </row>
    <row r="3" spans="1:12" x14ac:dyDescent="0.2">
      <c r="A3" s="86">
        <v>96230820334</v>
      </c>
      <c r="B3" s="4">
        <v>45008</v>
      </c>
      <c r="C3" s="87" t="s">
        <v>53</v>
      </c>
      <c r="D3" s="1" t="s">
        <v>176</v>
      </c>
      <c r="E3" s="1"/>
      <c r="F3" s="5" t="s">
        <v>156</v>
      </c>
      <c r="G3" s="6">
        <v>0</v>
      </c>
      <c r="H3" s="6" t="s">
        <v>8</v>
      </c>
      <c r="I3" s="6" t="s">
        <v>9</v>
      </c>
      <c r="J3" s="88">
        <v>0</v>
      </c>
      <c r="K3" s="7">
        <f t="shared" ref="K3" si="0">COUNTA(G3:J3)-COUNTIF(G3:J3,0)</f>
        <v>2</v>
      </c>
      <c r="L3" s="77" t="s">
        <v>180</v>
      </c>
    </row>
    <row r="4" spans="1:12" x14ac:dyDescent="0.2">
      <c r="A4" s="8">
        <v>96230800469</v>
      </c>
      <c r="B4" s="75">
        <v>45007</v>
      </c>
      <c r="C4" s="76" t="s">
        <v>177</v>
      </c>
      <c r="D4" s="1" t="s">
        <v>178</v>
      </c>
      <c r="E4" s="1"/>
      <c r="F4" s="1" t="s">
        <v>179</v>
      </c>
      <c r="G4" s="77">
        <v>0</v>
      </c>
      <c r="H4" s="77">
        <v>0</v>
      </c>
      <c r="I4" s="77" t="s">
        <v>150</v>
      </c>
      <c r="J4" s="77"/>
      <c r="K4" s="77">
        <v>0</v>
      </c>
      <c r="L4" s="77" t="s">
        <v>181</v>
      </c>
    </row>
  </sheetData>
  <customSheetViews>
    <customSheetView guid="{3088DA8C-CA5B-4D0B-B766-601A6252A1BC}" showGridLines="0" zeroValues="0">
      <pane ySplit="2" topLeftCell="A3" activePane="bottomLeft" state="frozen"/>
      <selection pane="bottomLeft" activeCell="K19" sqref="K19"/>
      <pageMargins left="0.7" right="0.7" top="0.75" bottom="0.75" header="0.3" footer="0.3"/>
      <pageSetup orientation="portrait" r:id="rId1"/>
    </customSheetView>
    <customSheetView guid="{2C9D0022-6FEB-4503-9A3D-1134E9EB4ABD}" showGridLines="0" zeroValues="0">
      <pane ySplit="2" topLeftCell="A3" activePane="bottomLeft" state="frozen"/>
      <selection pane="bottomLeft" activeCell="K21" sqref="K21"/>
      <pageMargins left="0.7" right="0.7" top="0.75" bottom="0.75" header="0.3" footer="0.3"/>
      <pageSetup orientation="portrait" r:id="rId2"/>
    </customSheetView>
    <customSheetView guid="{13FE0DC8-EF6C-4CDA-BD49-DC570D2B6582}" showGridLines="0" zeroValues="0">
      <pane ySplit="1" topLeftCell="A2" activePane="bottomLeft" state="frozen"/>
      <selection pane="bottomLeft" activeCell="D10" sqref="D10"/>
      <pageMargins left="0.7" right="0.7" top="0.75" bottom="0.75" header="0.3" footer="0.3"/>
    </customSheetView>
    <customSheetView guid="{B4395361-3CED-435D-A8C1-8E5C741E5B5A}" showGridLines="0" zeroValues="0">
      <pane ySplit="2" topLeftCell="A3" activePane="bottomLeft" state="frozen"/>
      <selection pane="bottomLeft" activeCell="K21" sqref="K21"/>
      <pageMargins left="0.7" right="0.7" top="0.75" bottom="0.75" header="0.3" footer="0.3"/>
      <pageSetup orientation="portrait" r:id="rId3"/>
    </customSheetView>
    <customSheetView guid="{50E2BFBF-272C-4DEF-B188-80DD2782F903}" showGridLines="0" zeroValues="0">
      <pane ySplit="1" topLeftCell="A2" activePane="bottomLeft" state="frozen"/>
      <selection pane="bottomLeft" activeCell="I9" sqref="I9"/>
      <pageMargins left="0.7" right="0.7" top="0.75" bottom="0.75" header="0.3" footer="0.3"/>
    </customSheetView>
    <customSheetView guid="{16C42120-8ADA-4135-A282-991D16C151FE}" showGridLines="0" zeroValues="0">
      <pane ySplit="2" topLeftCell="A3" activePane="bottomLeft" state="frozen"/>
      <selection pane="bottomLeft" activeCell="D6" sqref="D6"/>
      <pageMargins left="0.7" right="0.7" top="0.75" bottom="0.75" header="0.3" footer="0.3"/>
      <pageSetup orientation="portrait" r:id="rId4"/>
    </customSheetView>
  </customSheetViews>
  <pageMargins left="0.7" right="0.7" top="0.75" bottom="0.75" header="0.3" footer="0.3"/>
  <pageSetup orientation="portrait" r:id="rId5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9" tint="-0.499984740745262"/>
  </sheetPr>
  <dimension ref="A1:D303"/>
  <sheetViews>
    <sheetView showGridLines="0" showZeros="0" zoomScale="115" zoomScaleNormal="115" workbookViewId="0">
      <pane ySplit="2" topLeftCell="A3" activePane="bottomLeft" state="frozen"/>
      <selection pane="bottomLeft" activeCell="B8" sqref="B8"/>
    </sheetView>
  </sheetViews>
  <sheetFormatPr defaultRowHeight="14.25" x14ac:dyDescent="0.2"/>
  <cols>
    <col min="1" max="1" width="17.75" bestFit="1" customWidth="1"/>
    <col min="2" max="2" width="17.125" customWidth="1"/>
    <col min="4" max="4" width="7.75" customWidth="1"/>
    <col min="5" max="5" width="15" customWidth="1"/>
  </cols>
  <sheetData>
    <row r="1" spans="1:4" ht="24.75" customHeight="1" x14ac:dyDescent="0.2"/>
    <row r="2" spans="1:4" ht="20.25" customHeight="1" x14ac:dyDescent="0.2">
      <c r="A2" s="82" t="s">
        <v>145</v>
      </c>
      <c r="B2" s="82" t="s">
        <v>146</v>
      </c>
    </row>
    <row r="9" spans="1:4" ht="15" x14ac:dyDescent="0.25">
      <c r="D9" s="58"/>
    </row>
    <row r="303" spans="4:4" x14ac:dyDescent="0.2">
      <c r="D303">
        <v>1</v>
      </c>
    </row>
  </sheetData>
  <customSheetViews>
    <customSheetView guid="{3088DA8C-CA5B-4D0B-B766-601A6252A1BC}" scale="115" showGridLines="0" zeroValues="0">
      <pane ySplit="2" topLeftCell="A3" activePane="bottomLeft" state="frozen"/>
      <selection pane="bottomLeft" activeCell="A21" sqref="A21:XFD21"/>
      <pageMargins left="0.7" right="0.7" top="0.75" bottom="0.75" header="0.3" footer="0.3"/>
      <pageSetup orientation="portrait" r:id="rId1"/>
    </customSheetView>
    <customSheetView guid="{2C9D0022-6FEB-4503-9A3D-1134E9EB4ABD}" scale="115" showGridLines="0" zeroValues="0">
      <pane ySplit="2" topLeftCell="A3" activePane="bottomLeft" state="frozen"/>
      <selection pane="bottomLeft" activeCell="B3" sqref="B3:B5"/>
      <pageMargins left="0.7" right="0.7" top="0.75" bottom="0.75" header="0.3" footer="0.3"/>
      <pageSetup orientation="portrait" r:id="rId2"/>
    </customSheetView>
    <customSheetView guid="{13FE0DC8-EF6C-4CDA-BD49-DC570D2B6582}" scale="115" showGridLines="0" zeroValues="0">
      <pane ySplit="2" topLeftCell="A3" activePane="bottomLeft" state="frozen"/>
      <selection pane="bottomLeft" activeCell="E8" sqref="E8"/>
      <pageMargins left="0.7" right="0.7" top="0.75" bottom="0.75" header="0.3" footer="0.3"/>
      <pageSetup orientation="portrait" r:id="rId3"/>
    </customSheetView>
    <customSheetView guid="{B4395361-3CED-435D-A8C1-8E5C741E5B5A}" scale="115" showGridLines="0" zeroValues="0">
      <pane ySplit="2" topLeftCell="A3" activePane="bottomLeft" state="frozen"/>
      <selection pane="bottomLeft" activeCell="B6" sqref="B6"/>
      <pageMargins left="0.7" right="0.7" top="0.75" bottom="0.75" header="0.3" footer="0.3"/>
      <pageSetup orientation="portrait" r:id="rId4"/>
    </customSheetView>
    <customSheetView guid="{16C42120-8ADA-4135-A282-991D16C151FE}" scale="115" showGridLines="0" zeroValues="0">
      <pane ySplit="2" topLeftCell="A10" activePane="bottomLeft" state="frozen"/>
      <selection pane="bottomLeft" activeCell="F24" sqref="F24"/>
      <pageMargins left="0.7" right="0.7" top="0.75" bottom="0.75" header="0.3" footer="0.3"/>
      <pageSetup orientation="portrait" r:id="rId5"/>
    </customSheetView>
  </customSheetViews>
  <conditionalFormatting sqref="A1:B1">
    <cfRule type="duplicateValues" dxfId="13" priority="951"/>
    <cfRule type="expression" dxfId="12" priority="1009">
      <formula>$B1&lt;&gt;""</formula>
    </cfRule>
    <cfRule type="expression" dxfId="11" priority="1010">
      <formula>$A1&lt;&gt;""</formula>
    </cfRule>
  </conditionalFormatting>
  <conditionalFormatting sqref="A355:B1048576 A1:B2">
    <cfRule type="duplicateValues" dxfId="10" priority="173"/>
  </conditionalFormatting>
  <conditionalFormatting sqref="A353:B353">
    <cfRule type="duplicateValues" dxfId="9" priority="18"/>
    <cfRule type="expression" dxfId="8" priority="19">
      <formula>$B353&lt;&gt;""</formula>
    </cfRule>
    <cfRule type="expression" dxfId="7" priority="20">
      <formula>$A353&lt;&gt;""</formula>
    </cfRule>
  </conditionalFormatting>
  <conditionalFormatting sqref="A353:B353">
    <cfRule type="duplicateValues" dxfId="6" priority="17"/>
  </conditionalFormatting>
  <conditionalFormatting sqref="A202:B351">
    <cfRule type="duplicateValues" dxfId="5" priority="6"/>
    <cfRule type="expression" dxfId="4" priority="7">
      <formula>$B202&lt;&gt;""</formula>
    </cfRule>
    <cfRule type="expression" dxfId="3" priority="8">
      <formula>$A202&lt;&gt;""</formula>
    </cfRule>
  </conditionalFormatting>
  <conditionalFormatting sqref="A202:B351">
    <cfRule type="duplicateValues" dxfId="2" priority="5"/>
  </conditionalFormatting>
  <pageMargins left="0.7" right="0.7" top="0.75" bottom="0.75" header="0.3" footer="0.3"/>
  <pageSetup orientation="portrait" r:id="rId6"/>
  <drawing r:id="rId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D69"/>
  <sheetViews>
    <sheetView showGridLines="0"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C51" sqref="C51"/>
    </sheetView>
  </sheetViews>
  <sheetFormatPr defaultRowHeight="14.25" x14ac:dyDescent="0.2"/>
  <cols>
    <col min="1" max="1" width="16.375" customWidth="1"/>
    <col min="2" max="2" width="43.375" bestFit="1" customWidth="1"/>
    <col min="3" max="3" width="31.75" customWidth="1"/>
    <col min="4" max="4" width="95.75" bestFit="1" customWidth="1"/>
  </cols>
  <sheetData>
    <row r="1" spans="1:4" x14ac:dyDescent="0.2">
      <c r="A1" s="68" t="s">
        <v>7</v>
      </c>
      <c r="B1" s="68" t="s">
        <v>69</v>
      </c>
      <c r="C1" s="68" t="s">
        <v>70</v>
      </c>
      <c r="D1" s="68" t="s">
        <v>71</v>
      </c>
    </row>
    <row r="2" spans="1:4" x14ac:dyDescent="0.2">
      <c r="A2" s="1" t="s">
        <v>55</v>
      </c>
      <c r="B2" s="1" t="s">
        <v>56</v>
      </c>
      <c r="C2" s="1" t="s">
        <v>57</v>
      </c>
      <c r="D2" s="1" t="s">
        <v>68</v>
      </c>
    </row>
    <row r="3" spans="1:4" x14ac:dyDescent="0.2">
      <c r="A3" s="1"/>
      <c r="B3" s="1" t="s">
        <v>58</v>
      </c>
      <c r="C3" s="1" t="s">
        <v>59</v>
      </c>
      <c r="D3" s="1" t="s">
        <v>68</v>
      </c>
    </row>
    <row r="4" spans="1:4" x14ac:dyDescent="0.2">
      <c r="A4" s="1"/>
      <c r="B4" s="1" t="s">
        <v>60</v>
      </c>
      <c r="C4" s="1" t="s">
        <v>61</v>
      </c>
      <c r="D4" s="1" t="s">
        <v>68</v>
      </c>
    </row>
    <row r="5" spans="1:4" x14ac:dyDescent="0.2">
      <c r="A5" s="1"/>
      <c r="B5" s="1" t="s">
        <v>62</v>
      </c>
      <c r="C5" s="1" t="s">
        <v>63</v>
      </c>
      <c r="D5" s="1" t="s">
        <v>68</v>
      </c>
    </row>
    <row r="6" spans="1:4" x14ac:dyDescent="0.2">
      <c r="A6" s="1" t="s">
        <v>54</v>
      </c>
      <c r="B6" s="1" t="s">
        <v>64</v>
      </c>
      <c r="C6" s="1" t="s">
        <v>65</v>
      </c>
      <c r="D6" s="1" t="s">
        <v>68</v>
      </c>
    </row>
    <row r="7" spans="1:4" x14ac:dyDescent="0.2">
      <c r="A7" s="1"/>
      <c r="B7" s="1" t="s">
        <v>66</v>
      </c>
      <c r="C7" s="67" t="s">
        <v>67</v>
      </c>
      <c r="D7" s="1" t="s">
        <v>68</v>
      </c>
    </row>
    <row r="8" spans="1:4" x14ac:dyDescent="0.2">
      <c r="A8" s="1" t="s">
        <v>73</v>
      </c>
      <c r="B8" s="1" t="s">
        <v>75</v>
      </c>
      <c r="C8" s="67" t="s">
        <v>76</v>
      </c>
      <c r="D8" s="1" t="s">
        <v>74</v>
      </c>
    </row>
    <row r="9" spans="1:4" x14ac:dyDescent="0.2">
      <c r="A9" s="1" t="s">
        <v>72</v>
      </c>
      <c r="B9" s="1" t="s">
        <v>78</v>
      </c>
      <c r="C9" s="1" t="s">
        <v>79</v>
      </c>
      <c r="D9" s="1" t="s">
        <v>80</v>
      </c>
    </row>
    <row r="10" spans="1:4" x14ac:dyDescent="0.2">
      <c r="A10" s="1"/>
      <c r="B10" s="1" t="s">
        <v>81</v>
      </c>
      <c r="C10" s="1" t="s">
        <v>82</v>
      </c>
      <c r="D10" s="1" t="s">
        <v>80</v>
      </c>
    </row>
    <row r="11" spans="1:4" x14ac:dyDescent="0.2">
      <c r="A11" s="1" t="s">
        <v>84</v>
      </c>
      <c r="B11" s="1" t="s">
        <v>75</v>
      </c>
      <c r="C11" s="1" t="s">
        <v>76</v>
      </c>
      <c r="D11" s="1" t="s">
        <v>74</v>
      </c>
    </row>
    <row r="12" spans="1:4" x14ac:dyDescent="0.2">
      <c r="A12" s="1" t="s">
        <v>85</v>
      </c>
      <c r="B12" s="1" t="s">
        <v>75</v>
      </c>
      <c r="C12" s="1" t="s">
        <v>76</v>
      </c>
      <c r="D12" s="1" t="s">
        <v>74</v>
      </c>
    </row>
    <row r="13" spans="1:4" x14ac:dyDescent="0.2">
      <c r="A13" s="1" t="s">
        <v>86</v>
      </c>
      <c r="B13" s="1" t="s">
        <v>75</v>
      </c>
      <c r="C13" s="1" t="s">
        <v>76</v>
      </c>
      <c r="D13" s="1" t="s">
        <v>74</v>
      </c>
    </row>
    <row r="14" spans="1:4" x14ac:dyDescent="0.2">
      <c r="A14" s="1" t="s">
        <v>87</v>
      </c>
      <c r="B14" s="1" t="s">
        <v>75</v>
      </c>
      <c r="C14" s="1" t="s">
        <v>76</v>
      </c>
      <c r="D14" s="1" t="s">
        <v>74</v>
      </c>
    </row>
    <row r="15" spans="1:4" x14ac:dyDescent="0.2">
      <c r="A15" s="1" t="s">
        <v>77</v>
      </c>
      <c r="B15" s="1" t="s">
        <v>96</v>
      </c>
      <c r="C15" s="1" t="s">
        <v>95</v>
      </c>
      <c r="D15" s="1" t="s">
        <v>94</v>
      </c>
    </row>
    <row r="16" spans="1:4" x14ac:dyDescent="0.2">
      <c r="A16" s="1" t="s">
        <v>89</v>
      </c>
      <c r="B16" s="1" t="s">
        <v>101</v>
      </c>
      <c r="C16" s="1" t="s">
        <v>100</v>
      </c>
      <c r="D16" s="1" t="s">
        <v>99</v>
      </c>
    </row>
    <row r="17" spans="1:4" x14ac:dyDescent="0.2">
      <c r="A17" s="1" t="s">
        <v>93</v>
      </c>
      <c r="B17" s="1" t="s">
        <v>75</v>
      </c>
      <c r="C17" s="1" t="s">
        <v>76</v>
      </c>
      <c r="D17" s="1" t="s">
        <v>74</v>
      </c>
    </row>
    <row r="18" spans="1:4" x14ac:dyDescent="0.2">
      <c r="A18" s="1" t="s">
        <v>92</v>
      </c>
      <c r="B18" s="71" t="s">
        <v>75</v>
      </c>
      <c r="C18" s="1" t="s">
        <v>76</v>
      </c>
      <c r="D18" s="1" t="s">
        <v>74</v>
      </c>
    </row>
    <row r="19" spans="1:4" x14ac:dyDescent="0.2">
      <c r="A19" s="1" t="s">
        <v>103</v>
      </c>
      <c r="B19" s="71" t="s">
        <v>75</v>
      </c>
      <c r="C19" s="1" t="s">
        <v>76</v>
      </c>
      <c r="D19" s="1" t="s">
        <v>74</v>
      </c>
    </row>
    <row r="20" spans="1:4" x14ac:dyDescent="0.2">
      <c r="A20" s="1" t="s">
        <v>97</v>
      </c>
      <c r="B20" s="1" t="s">
        <v>75</v>
      </c>
      <c r="C20" s="1" t="s">
        <v>76</v>
      </c>
      <c r="D20" s="72" t="s">
        <v>74</v>
      </c>
    </row>
    <row r="21" spans="1:4" ht="42.75" x14ac:dyDescent="0.2">
      <c r="A21" s="1"/>
      <c r="B21" s="71" t="s">
        <v>108</v>
      </c>
      <c r="C21" s="1" t="s">
        <v>104</v>
      </c>
      <c r="D21" s="1" t="s">
        <v>107</v>
      </c>
    </row>
    <row r="22" spans="1:4" x14ac:dyDescent="0.2">
      <c r="A22" s="1"/>
      <c r="B22" s="1" t="s">
        <v>105</v>
      </c>
      <c r="C22" s="1" t="s">
        <v>106</v>
      </c>
      <c r="D22" s="1" t="s">
        <v>107</v>
      </c>
    </row>
    <row r="23" spans="1:4" x14ac:dyDescent="0.2">
      <c r="A23" s="1" t="s">
        <v>102</v>
      </c>
      <c r="B23" s="1" t="s">
        <v>110</v>
      </c>
      <c r="C23" s="1" t="s">
        <v>111</v>
      </c>
      <c r="D23" s="1" t="s">
        <v>109</v>
      </c>
    </row>
    <row r="24" spans="1:4" x14ac:dyDescent="0.2">
      <c r="A24" s="1" t="s">
        <v>88</v>
      </c>
      <c r="B24" s="71" t="s">
        <v>75</v>
      </c>
      <c r="C24" s="1" t="s">
        <v>76</v>
      </c>
      <c r="D24" s="1" t="s">
        <v>74</v>
      </c>
    </row>
    <row r="25" spans="1:4" x14ac:dyDescent="0.2">
      <c r="A25" s="1" t="s">
        <v>98</v>
      </c>
      <c r="B25" s="71" t="s">
        <v>75</v>
      </c>
      <c r="C25" s="1" t="s">
        <v>76</v>
      </c>
      <c r="D25" s="1" t="s">
        <v>74</v>
      </c>
    </row>
    <row r="26" spans="1:4" x14ac:dyDescent="0.2">
      <c r="A26" s="1" t="s">
        <v>83</v>
      </c>
      <c r="B26" s="1" t="s">
        <v>117</v>
      </c>
      <c r="C26" s="1" t="s">
        <v>118</v>
      </c>
      <c r="D26" s="1" t="s">
        <v>116</v>
      </c>
    </row>
    <row r="27" spans="1:4" x14ac:dyDescent="0.2">
      <c r="A27" s="1"/>
      <c r="B27" s="1" t="s">
        <v>62</v>
      </c>
      <c r="C27" s="1" t="s">
        <v>63</v>
      </c>
      <c r="D27" s="1" t="s">
        <v>116</v>
      </c>
    </row>
    <row r="28" spans="1:4" x14ac:dyDescent="0.2">
      <c r="A28" s="1"/>
      <c r="B28" s="1" t="s">
        <v>119</v>
      </c>
      <c r="C28" s="1" t="s">
        <v>120</v>
      </c>
      <c r="D28" s="1" t="s">
        <v>116</v>
      </c>
    </row>
    <row r="29" spans="1:4" x14ac:dyDescent="0.2">
      <c r="A29" s="1" t="s">
        <v>90</v>
      </c>
      <c r="B29" s="1" t="s">
        <v>75</v>
      </c>
      <c r="C29" s="1" t="s">
        <v>76</v>
      </c>
      <c r="D29" s="1" t="s">
        <v>74</v>
      </c>
    </row>
    <row r="30" spans="1:4" x14ac:dyDescent="0.2">
      <c r="A30" s="78" t="s">
        <v>121</v>
      </c>
      <c r="B30" s="1" t="s">
        <v>123</v>
      </c>
      <c r="C30" s="1" t="s">
        <v>124</v>
      </c>
      <c r="D30" s="1" t="s">
        <v>122</v>
      </c>
    </row>
    <row r="31" spans="1:4" x14ac:dyDescent="0.2">
      <c r="A31" s="1" t="s">
        <v>91</v>
      </c>
      <c r="B31" s="1" t="s">
        <v>75</v>
      </c>
      <c r="C31" s="1" t="s">
        <v>76</v>
      </c>
      <c r="D31" s="1" t="s">
        <v>74</v>
      </c>
    </row>
    <row r="32" spans="1:4" x14ac:dyDescent="0.2">
      <c r="A32" s="1" t="s">
        <v>112</v>
      </c>
      <c r="B32" s="1" t="s">
        <v>75</v>
      </c>
      <c r="C32" s="1" t="s">
        <v>76</v>
      </c>
      <c r="D32" s="1" t="s">
        <v>74</v>
      </c>
    </row>
    <row r="33" spans="1:4" x14ac:dyDescent="0.2">
      <c r="A33" s="1" t="s">
        <v>113</v>
      </c>
      <c r="B33" s="1" t="s">
        <v>75</v>
      </c>
      <c r="C33" s="1" t="s">
        <v>76</v>
      </c>
      <c r="D33" s="1" t="s">
        <v>74</v>
      </c>
    </row>
    <row r="34" spans="1:4" x14ac:dyDescent="0.2">
      <c r="A34" s="1" t="s">
        <v>115</v>
      </c>
      <c r="B34" s="1" t="s">
        <v>75</v>
      </c>
      <c r="C34" s="1" t="s">
        <v>76</v>
      </c>
      <c r="D34" s="1" t="s">
        <v>74</v>
      </c>
    </row>
    <row r="35" spans="1:4" x14ac:dyDescent="0.2">
      <c r="A35" s="1" t="s">
        <v>114</v>
      </c>
      <c r="B35" s="1" t="s">
        <v>75</v>
      </c>
      <c r="C35" s="1" t="s">
        <v>76</v>
      </c>
      <c r="D35" s="1" t="s">
        <v>74</v>
      </c>
    </row>
    <row r="36" spans="1:4" x14ac:dyDescent="0.2">
      <c r="A36" s="1" t="s">
        <v>129</v>
      </c>
      <c r="B36" s="53" t="s">
        <v>130</v>
      </c>
      <c r="C36" s="1" t="s">
        <v>131</v>
      </c>
      <c r="D36" s="1" t="s">
        <v>109</v>
      </c>
    </row>
    <row r="37" spans="1:4" x14ac:dyDescent="0.2">
      <c r="A37" s="1"/>
      <c r="B37" s="1" t="s">
        <v>132</v>
      </c>
      <c r="C37" s="1" t="s">
        <v>133</v>
      </c>
      <c r="D37" s="1" t="s">
        <v>109</v>
      </c>
    </row>
    <row r="38" spans="1:4" x14ac:dyDescent="0.2">
      <c r="A38" s="72" t="s">
        <v>134</v>
      </c>
      <c r="B38" s="72" t="s">
        <v>142</v>
      </c>
      <c r="C38" s="72" t="s">
        <v>143</v>
      </c>
      <c r="D38" s="72" t="s">
        <v>144</v>
      </c>
    </row>
    <row r="39" spans="1:4" x14ac:dyDescent="0.2">
      <c r="A39" s="72" t="s">
        <v>127</v>
      </c>
      <c r="B39" s="1" t="s">
        <v>75</v>
      </c>
      <c r="C39" s="1" t="s">
        <v>76</v>
      </c>
      <c r="D39" s="1" t="s">
        <v>74</v>
      </c>
    </row>
    <row r="40" spans="1:4" x14ac:dyDescent="0.2">
      <c r="A40" s="66" t="s">
        <v>128</v>
      </c>
      <c r="B40" s="1" t="s">
        <v>75</v>
      </c>
      <c r="C40" s="1" t="s">
        <v>76</v>
      </c>
      <c r="D40" s="1" t="s">
        <v>74</v>
      </c>
    </row>
    <row r="41" spans="1:4" x14ac:dyDescent="0.2">
      <c r="A41" s="79" t="s">
        <v>126</v>
      </c>
      <c r="B41" s="1" t="s">
        <v>75</v>
      </c>
      <c r="C41" s="1" t="s">
        <v>76</v>
      </c>
      <c r="D41" s="1" t="s">
        <v>74</v>
      </c>
    </row>
    <row r="42" spans="1:4" x14ac:dyDescent="0.2">
      <c r="A42" s="79" t="s">
        <v>125</v>
      </c>
      <c r="B42" s="1" t="s">
        <v>75</v>
      </c>
      <c r="C42" s="1" t="s">
        <v>76</v>
      </c>
      <c r="D42" s="1" t="s">
        <v>74</v>
      </c>
    </row>
    <row r="43" spans="1:4" x14ac:dyDescent="0.2">
      <c r="A43" s="79" t="s">
        <v>138</v>
      </c>
      <c r="B43" s="1" t="s">
        <v>75</v>
      </c>
      <c r="C43" s="1" t="s">
        <v>76</v>
      </c>
      <c r="D43" s="1" t="s">
        <v>74</v>
      </c>
    </row>
    <row r="44" spans="1:4" x14ac:dyDescent="0.2">
      <c r="A44" s="79" t="s">
        <v>140</v>
      </c>
      <c r="B44" s="1" t="s">
        <v>75</v>
      </c>
      <c r="C44" s="1" t="s">
        <v>76</v>
      </c>
      <c r="D44" s="1" t="s">
        <v>74</v>
      </c>
    </row>
    <row r="45" spans="1:4" x14ac:dyDescent="0.2">
      <c r="A45" s="66" t="s">
        <v>139</v>
      </c>
      <c r="B45" s="1" t="s">
        <v>75</v>
      </c>
      <c r="C45" s="1" t="s">
        <v>76</v>
      </c>
      <c r="D45" s="1" t="s">
        <v>74</v>
      </c>
    </row>
    <row r="46" spans="1:4" x14ac:dyDescent="0.2">
      <c r="A46" s="1" t="s">
        <v>137</v>
      </c>
      <c r="B46" s="1" t="s">
        <v>75</v>
      </c>
      <c r="C46" s="1" t="s">
        <v>76</v>
      </c>
      <c r="D46" s="1" t="s">
        <v>74</v>
      </c>
    </row>
    <row r="47" spans="1:4" x14ac:dyDescent="0.2">
      <c r="A47" s="1" t="s">
        <v>136</v>
      </c>
      <c r="B47" s="1" t="s">
        <v>75</v>
      </c>
      <c r="C47" s="1" t="s">
        <v>76</v>
      </c>
      <c r="D47" s="1" t="s">
        <v>74</v>
      </c>
    </row>
    <row r="48" spans="1:4" x14ac:dyDescent="0.2">
      <c r="A48" s="1" t="s">
        <v>135</v>
      </c>
      <c r="B48" s="1" t="s">
        <v>75</v>
      </c>
      <c r="C48" s="1" t="s">
        <v>76</v>
      </c>
      <c r="D48" s="1" t="s">
        <v>74</v>
      </c>
    </row>
    <row r="49" spans="1:4" x14ac:dyDescent="0.2">
      <c r="A49" s="79" t="s">
        <v>153</v>
      </c>
      <c r="B49" s="72" t="s">
        <v>117</v>
      </c>
      <c r="C49" s="72" t="s">
        <v>118</v>
      </c>
      <c r="D49" s="72" t="s">
        <v>157</v>
      </c>
    </row>
    <row r="50" spans="1:4" x14ac:dyDescent="0.2">
      <c r="B50" s="72" t="s">
        <v>117</v>
      </c>
      <c r="C50" s="72" t="s">
        <v>118</v>
      </c>
      <c r="D50" s="72" t="s">
        <v>158</v>
      </c>
    </row>
    <row r="51" spans="1:4" x14ac:dyDescent="0.2">
      <c r="A51" t="s">
        <v>141</v>
      </c>
      <c r="B51" s="72" t="s">
        <v>159</v>
      </c>
      <c r="C51" s="72" t="s">
        <v>160</v>
      </c>
      <c r="D51" s="72" t="s">
        <v>116</v>
      </c>
    </row>
    <row r="52" spans="1:4" x14ac:dyDescent="0.2">
      <c r="B52" s="72" t="s">
        <v>117</v>
      </c>
      <c r="C52" s="72" t="s">
        <v>118</v>
      </c>
      <c r="D52" s="72" t="s">
        <v>116</v>
      </c>
    </row>
    <row r="53" spans="1:4" x14ac:dyDescent="0.2">
      <c r="B53" s="72" t="s">
        <v>62</v>
      </c>
      <c r="C53" s="72" t="s">
        <v>63</v>
      </c>
      <c r="D53" s="72" t="s">
        <v>116</v>
      </c>
    </row>
    <row r="54" spans="1:4" x14ac:dyDescent="0.2">
      <c r="B54" s="72" t="s">
        <v>119</v>
      </c>
      <c r="C54" s="72" t="s">
        <v>120</v>
      </c>
      <c r="D54" s="72" t="s">
        <v>116</v>
      </c>
    </row>
    <row r="55" spans="1:4" x14ac:dyDescent="0.2">
      <c r="A55" t="s">
        <v>161</v>
      </c>
      <c r="B55" s="1" t="s">
        <v>75</v>
      </c>
      <c r="C55" s="1" t="s">
        <v>76</v>
      </c>
      <c r="D55" s="1" t="s">
        <v>74</v>
      </c>
    </row>
    <row r="56" spans="1:4" x14ac:dyDescent="0.2">
      <c r="A56" t="s">
        <v>162</v>
      </c>
      <c r="B56" s="1" t="s">
        <v>75</v>
      </c>
      <c r="C56" s="1" t="s">
        <v>76</v>
      </c>
      <c r="D56" s="1" t="s">
        <v>74</v>
      </c>
    </row>
    <row r="57" spans="1:4" x14ac:dyDescent="0.2">
      <c r="A57" t="s">
        <v>163</v>
      </c>
      <c r="B57" s="1" t="s">
        <v>75</v>
      </c>
      <c r="C57" s="1" t="s">
        <v>76</v>
      </c>
      <c r="D57" s="1" t="s">
        <v>74</v>
      </c>
    </row>
    <row r="58" spans="1:4" x14ac:dyDescent="0.2">
      <c r="A58" t="s">
        <v>167</v>
      </c>
      <c r="B58" s="72" t="s">
        <v>58</v>
      </c>
      <c r="C58" s="72" t="s">
        <v>168</v>
      </c>
      <c r="D58" s="72" t="s">
        <v>169</v>
      </c>
    </row>
    <row r="59" spans="1:4" x14ac:dyDescent="0.2">
      <c r="B59" s="72" t="s">
        <v>117</v>
      </c>
      <c r="C59" s="72" t="s">
        <v>118</v>
      </c>
      <c r="D59" s="72" t="s">
        <v>169</v>
      </c>
    </row>
    <row r="60" spans="1:4" x14ac:dyDescent="0.2">
      <c r="A60" t="s">
        <v>155</v>
      </c>
      <c r="B60" s="1" t="s">
        <v>75</v>
      </c>
      <c r="C60" s="1" t="s">
        <v>76</v>
      </c>
      <c r="D60" s="1" t="s">
        <v>74</v>
      </c>
    </row>
    <row r="61" spans="1:4" x14ac:dyDescent="0.2">
      <c r="A61" t="s">
        <v>174</v>
      </c>
      <c r="B61" s="1" t="s">
        <v>75</v>
      </c>
      <c r="C61" s="1" t="s">
        <v>76</v>
      </c>
      <c r="D61" s="1" t="s">
        <v>74</v>
      </c>
    </row>
    <row r="62" spans="1:4" x14ac:dyDescent="0.2">
      <c r="A62" t="s">
        <v>173</v>
      </c>
      <c r="B62" s="1" t="s">
        <v>75</v>
      </c>
      <c r="C62" s="1" t="s">
        <v>76</v>
      </c>
      <c r="D62" s="1" t="s">
        <v>74</v>
      </c>
    </row>
    <row r="63" spans="1:4" x14ac:dyDescent="0.2">
      <c r="A63" t="s">
        <v>172</v>
      </c>
      <c r="B63" s="1" t="s">
        <v>75</v>
      </c>
      <c r="C63" s="1" t="s">
        <v>76</v>
      </c>
      <c r="D63" s="1" t="s">
        <v>74</v>
      </c>
    </row>
    <row r="64" spans="1:4" x14ac:dyDescent="0.2">
      <c r="A64" t="s">
        <v>171</v>
      </c>
      <c r="B64" s="1" t="s">
        <v>75</v>
      </c>
      <c r="C64" s="1" t="s">
        <v>76</v>
      </c>
      <c r="D64" s="1" t="s">
        <v>74</v>
      </c>
    </row>
    <row r="65" spans="1:4" x14ac:dyDescent="0.2">
      <c r="A65" t="s">
        <v>166</v>
      </c>
      <c r="B65" s="1" t="s">
        <v>75</v>
      </c>
      <c r="C65" s="1" t="s">
        <v>76</v>
      </c>
      <c r="D65" s="1" t="s">
        <v>74</v>
      </c>
    </row>
    <row r="66" spans="1:4" x14ac:dyDescent="0.2">
      <c r="A66" t="s">
        <v>154</v>
      </c>
      <c r="B66" s="1" t="s">
        <v>75</v>
      </c>
      <c r="C66" s="1" t="s">
        <v>76</v>
      </c>
      <c r="D66" s="1" t="s">
        <v>74</v>
      </c>
    </row>
    <row r="67" spans="1:4" x14ac:dyDescent="0.2">
      <c r="A67" t="s">
        <v>175</v>
      </c>
      <c r="B67" s="1" t="s">
        <v>75</v>
      </c>
      <c r="C67" s="1" t="s">
        <v>76</v>
      </c>
      <c r="D67" s="1" t="s">
        <v>74</v>
      </c>
    </row>
    <row r="68" spans="1:4" x14ac:dyDescent="0.2">
      <c r="A68" t="s">
        <v>184</v>
      </c>
      <c r="B68" s="1" t="s">
        <v>75</v>
      </c>
      <c r="C68" s="1" t="s">
        <v>76</v>
      </c>
      <c r="D68" s="1" t="s">
        <v>74</v>
      </c>
    </row>
    <row r="69" spans="1:4" x14ac:dyDescent="0.2">
      <c r="A69" t="s">
        <v>185</v>
      </c>
      <c r="B69" s="1" t="s">
        <v>75</v>
      </c>
      <c r="C69" s="1" t="s">
        <v>76</v>
      </c>
      <c r="D69" s="1" t="s">
        <v>74</v>
      </c>
    </row>
  </sheetData>
  <customSheetViews>
    <customSheetView guid="{3088DA8C-CA5B-4D0B-B766-601A6252A1BC}" showGridLines="0">
      <pane xSplit="1" ySplit="1" topLeftCell="B29" activePane="bottomRight" state="frozen"/>
      <selection pane="bottomRight" activeCell="C51" sqref="C51"/>
      <pageMargins left="0.7" right="0.7" top="0.75" bottom="0.75" header="0.3" footer="0.3"/>
      <pageSetup orientation="portrait" r:id="rId1"/>
    </customSheetView>
    <customSheetView guid="{2C9D0022-6FEB-4503-9A3D-1134E9EB4ABD}" showGridLines="0">
      <pane xSplit="1" ySplit="1" topLeftCell="B29" activePane="bottomRight" state="frozen"/>
      <selection pane="bottomRight" activeCell="C44" sqref="C44"/>
      <pageMargins left="0.7" right="0.7" top="0.75" bottom="0.75" header="0.3" footer="0.3"/>
      <pageSetup orientation="portrait" r:id="rId2"/>
    </customSheetView>
    <customSheetView guid="{13FE0DC8-EF6C-4CDA-BD49-DC570D2B6582}" showGridLines="0">
      <pane xSplit="1" ySplit="1" topLeftCell="B41" activePane="bottomRight" state="frozen"/>
      <selection pane="bottomRight" activeCell="B71" sqref="B71"/>
      <pageMargins left="0.7" right="0.7" top="0.75" bottom="0.75" header="0.3" footer="0.3"/>
      <pageSetup orientation="portrait" r:id="rId3"/>
    </customSheetView>
    <customSheetView guid="{B4395361-3CED-435D-A8C1-8E5C741E5B5A}" showGridLines="0">
      <pane xSplit="1" ySplit="1" topLeftCell="B29" activePane="bottomRight" state="frozen"/>
      <selection pane="bottomRight" activeCell="D49" sqref="D49"/>
      <pageMargins left="0.7" right="0.7" top="0.75" bottom="0.75" header="0.3" footer="0.3"/>
      <pageSetup orientation="portrait" r:id="rId4"/>
    </customSheetView>
    <customSheetView guid="{50E2BFBF-272C-4DEF-B188-80DD2782F903}">
      <selection activeCell="A7" sqref="A7:XFD7"/>
      <pageMargins left="0.7" right="0.7" top="0.75" bottom="0.75" header="0.3" footer="0.3"/>
    </customSheetView>
    <customSheetView guid="{16C42120-8ADA-4135-A282-991D16C151FE}" showGridLines="0">
      <pane xSplit="1" ySplit="1" topLeftCell="B29" activePane="bottomRight" state="frozen"/>
      <selection pane="bottomRight" activeCell="C51" sqref="C51"/>
      <pageMargins left="0.7" right="0.7" top="0.75" bottom="0.75" header="0.3" footer="0.3"/>
      <pageSetup orientation="portrait" r:id="rId5"/>
    </customSheetView>
  </customSheetViews>
  <conditionalFormatting sqref="A40">
    <cfRule type="expression" dxfId="1" priority="2">
      <formula>$A40&lt;&gt;""</formula>
    </cfRule>
  </conditionalFormatting>
  <conditionalFormatting sqref="A45">
    <cfRule type="expression" dxfId="0" priority="1">
      <formula>$A45&lt;&gt;""</formula>
    </cfRule>
  </conditionalFormatting>
  <pageMargins left="0.7" right="0.7" top="0.75" bottom="0.75" header="0.3" footer="0.3"/>
  <pageSetup orientation="portrait"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N42"/>
  <sheetViews>
    <sheetView zoomScaleNormal="100" workbookViewId="0">
      <selection activeCell="H12" sqref="H12"/>
    </sheetView>
  </sheetViews>
  <sheetFormatPr defaultRowHeight="14.25" x14ac:dyDescent="0.2"/>
  <cols>
    <col min="2" max="2" width="14.75" bestFit="1" customWidth="1"/>
    <col min="3" max="3" width="9.75" bestFit="1" customWidth="1"/>
    <col min="4" max="4" width="11" bestFit="1" customWidth="1"/>
    <col min="5" max="5" width="58" bestFit="1" customWidth="1"/>
    <col min="9" max="9" width="12.875" bestFit="1" customWidth="1"/>
    <col min="10" max="10" width="10.375" bestFit="1" customWidth="1"/>
  </cols>
  <sheetData>
    <row r="1" spans="1:14" ht="15" x14ac:dyDescent="0.25">
      <c r="A1" s="10" t="s">
        <v>19</v>
      </c>
      <c r="B1" s="11" t="s">
        <v>20</v>
      </c>
      <c r="D1" s="12" t="s">
        <v>21</v>
      </c>
      <c r="E1" s="13" t="s">
        <v>22</v>
      </c>
      <c r="F1" s="14"/>
      <c r="G1" s="135" t="s">
        <v>23</v>
      </c>
    </row>
    <row r="2" spans="1:14" ht="15" x14ac:dyDescent="0.2">
      <c r="A2" s="15" t="s">
        <v>8</v>
      </c>
      <c r="B2" s="16" t="s">
        <v>24</v>
      </c>
      <c r="D2" s="17" t="s">
        <v>25</v>
      </c>
      <c r="E2" s="18" t="s">
        <v>26</v>
      </c>
      <c r="F2" s="80">
        <v>822</v>
      </c>
      <c r="G2" s="136"/>
      <c r="I2" t="s">
        <v>1459</v>
      </c>
      <c r="J2" s="102" t="s">
        <v>1460</v>
      </c>
      <c r="L2" t="s">
        <v>1474</v>
      </c>
      <c r="M2" t="s">
        <v>1475</v>
      </c>
      <c r="N2" t="s">
        <v>1476</v>
      </c>
    </row>
    <row r="3" spans="1:14" x14ac:dyDescent="0.2">
      <c r="A3" s="15" t="s">
        <v>9</v>
      </c>
      <c r="B3" s="16" t="s">
        <v>27</v>
      </c>
      <c r="D3" s="138" t="s">
        <v>28</v>
      </c>
      <c r="E3" s="19" t="s">
        <v>29</v>
      </c>
      <c r="F3" s="80">
        <v>882</v>
      </c>
      <c r="G3" s="136"/>
      <c r="I3" s="102" t="s">
        <v>1461</v>
      </c>
      <c r="N3" t="s">
        <v>1477</v>
      </c>
    </row>
    <row r="4" spans="1:14" x14ac:dyDescent="0.2">
      <c r="A4" s="15" t="s">
        <v>15</v>
      </c>
      <c r="B4" s="16" t="s">
        <v>30</v>
      </c>
      <c r="D4" s="138"/>
      <c r="E4" s="19" t="s">
        <v>31</v>
      </c>
      <c r="F4" s="80">
        <v>851</v>
      </c>
      <c r="G4" s="136"/>
      <c r="I4" s="102" t="s">
        <v>734</v>
      </c>
      <c r="J4" s="102" t="s">
        <v>1462</v>
      </c>
    </row>
    <row r="5" spans="1:14" x14ac:dyDescent="0.2">
      <c r="A5" s="15" t="s">
        <v>16</v>
      </c>
      <c r="B5" s="16" t="s">
        <v>32</v>
      </c>
      <c r="D5" s="138"/>
      <c r="E5" s="19" t="s">
        <v>33</v>
      </c>
      <c r="F5" s="80">
        <v>851</v>
      </c>
      <c r="G5" s="136"/>
    </row>
    <row r="6" spans="1:14" ht="15" thickBot="1" x14ac:dyDescent="0.25">
      <c r="A6" s="20" t="s">
        <v>34</v>
      </c>
      <c r="B6" s="21" t="s">
        <v>35</v>
      </c>
      <c r="D6" s="138"/>
      <c r="E6" s="18" t="s">
        <v>36</v>
      </c>
      <c r="F6" s="80">
        <v>658</v>
      </c>
      <c r="G6" s="136"/>
    </row>
    <row r="7" spans="1:14" ht="15" thickBot="1" x14ac:dyDescent="0.25">
      <c r="A7" s="104" t="s">
        <v>1463</v>
      </c>
      <c r="B7" s="105" t="s">
        <v>1464</v>
      </c>
      <c r="D7" s="139"/>
      <c r="E7" s="22" t="s">
        <v>37</v>
      </c>
      <c r="F7" s="81">
        <v>733</v>
      </c>
      <c r="G7" s="137"/>
    </row>
    <row r="9" spans="1:14" x14ac:dyDescent="0.2">
      <c r="A9" t="s">
        <v>38</v>
      </c>
    </row>
    <row r="10" spans="1:14" x14ac:dyDescent="0.2">
      <c r="A10" t="s">
        <v>39</v>
      </c>
    </row>
    <row r="11" spans="1:14" x14ac:dyDescent="0.2">
      <c r="A11" s="9" t="s">
        <v>40</v>
      </c>
    </row>
    <row r="12" spans="1:14" ht="15" thickBot="1" x14ac:dyDescent="0.25"/>
    <row r="13" spans="1:14" ht="15" x14ac:dyDescent="0.2">
      <c r="A13" s="140" t="s">
        <v>41</v>
      </c>
      <c r="B13" s="141"/>
      <c r="C13" s="141"/>
      <c r="D13" s="141"/>
      <c r="E13" s="142"/>
    </row>
    <row r="14" spans="1:14" x14ac:dyDescent="0.2">
      <c r="A14" s="23"/>
      <c r="B14" s="24" t="s">
        <v>42</v>
      </c>
      <c r="C14" s="24"/>
      <c r="D14" s="24" t="s">
        <v>42</v>
      </c>
      <c r="E14" s="25"/>
    </row>
    <row r="15" spans="1:14" x14ac:dyDescent="0.2">
      <c r="A15" s="23"/>
      <c r="B15" s="26" t="s">
        <v>43</v>
      </c>
      <c r="C15" s="26" t="s">
        <v>44</v>
      </c>
      <c r="D15" s="26" t="s">
        <v>43</v>
      </c>
      <c r="E15" s="27" t="s">
        <v>44</v>
      </c>
    </row>
    <row r="16" spans="1:14" x14ac:dyDescent="0.2">
      <c r="A16" s="23" t="s">
        <v>45</v>
      </c>
      <c r="B16" s="28">
        <v>44946</v>
      </c>
      <c r="C16" s="29">
        <v>44924</v>
      </c>
      <c r="D16" s="30">
        <v>44952</v>
      </c>
      <c r="E16" s="42">
        <v>44931</v>
      </c>
    </row>
    <row r="17" spans="1:5" ht="15.75" thickBot="1" x14ac:dyDescent="0.3">
      <c r="A17" s="31" t="s">
        <v>46</v>
      </c>
      <c r="B17" s="32">
        <v>44946</v>
      </c>
      <c r="C17" s="33">
        <v>44922</v>
      </c>
      <c r="D17" s="34">
        <v>44954</v>
      </c>
      <c r="E17" s="43">
        <v>44933</v>
      </c>
    </row>
    <row r="18" spans="1:5" ht="15" x14ac:dyDescent="0.25">
      <c r="A18" s="35" t="s">
        <v>47</v>
      </c>
      <c r="B18" s="36">
        <v>44945</v>
      </c>
      <c r="C18" s="37">
        <v>44923</v>
      </c>
      <c r="D18" s="38">
        <v>44952</v>
      </c>
      <c r="E18" s="44">
        <v>44931</v>
      </c>
    </row>
    <row r="19" spans="1:5" ht="15.75" thickBot="1" x14ac:dyDescent="0.3">
      <c r="A19" s="39" t="s">
        <v>48</v>
      </c>
      <c r="B19" s="32">
        <v>44946</v>
      </c>
      <c r="C19" s="40">
        <v>44924</v>
      </c>
      <c r="D19" s="41">
        <v>44952</v>
      </c>
      <c r="E19" s="45">
        <v>44931</v>
      </c>
    </row>
    <row r="22" spans="1:5" ht="15" x14ac:dyDescent="0.25">
      <c r="A22" s="98" t="s">
        <v>1415</v>
      </c>
      <c r="B22" s="99" t="s">
        <v>1416</v>
      </c>
      <c r="D22" t="s">
        <v>1417</v>
      </c>
      <c r="E22" s="100" t="s">
        <v>1418</v>
      </c>
    </row>
    <row r="23" spans="1:5" x14ac:dyDescent="0.2">
      <c r="A23" s="99"/>
      <c r="B23" s="99" t="s">
        <v>1419</v>
      </c>
      <c r="E23" t="s">
        <v>1420</v>
      </c>
    </row>
    <row r="24" spans="1:5" x14ac:dyDescent="0.2">
      <c r="A24" s="99"/>
      <c r="B24" s="99" t="s">
        <v>1421</v>
      </c>
      <c r="D24" t="s">
        <v>1443</v>
      </c>
      <c r="E24" t="s">
        <v>1444</v>
      </c>
    </row>
    <row r="25" spans="1:5" x14ac:dyDescent="0.2">
      <c r="A25" s="76" t="s">
        <v>1422</v>
      </c>
      <c r="B25" s="101" t="s">
        <v>1413</v>
      </c>
      <c r="D25" t="s">
        <v>1465</v>
      </c>
      <c r="E25" t="s">
        <v>1466</v>
      </c>
    </row>
    <row r="26" spans="1:5" x14ac:dyDescent="0.2">
      <c r="A26" s="101"/>
      <c r="B26" s="101" t="s">
        <v>1423</v>
      </c>
    </row>
    <row r="27" spans="1:5" x14ac:dyDescent="0.2">
      <c r="A27" s="101"/>
      <c r="B27" s="101" t="s">
        <v>1424</v>
      </c>
    </row>
    <row r="28" spans="1:5" x14ac:dyDescent="0.2">
      <c r="A28" s="101"/>
      <c r="B28" s="101" t="s">
        <v>1425</v>
      </c>
    </row>
    <row r="29" spans="1:5" x14ac:dyDescent="0.2">
      <c r="A29" s="76" t="s">
        <v>1095</v>
      </c>
      <c r="B29" s="99" t="s">
        <v>1414</v>
      </c>
    </row>
    <row r="30" spans="1:5" x14ac:dyDescent="0.2">
      <c r="A30" s="99"/>
      <c r="B30" s="99" t="s">
        <v>1426</v>
      </c>
    </row>
    <row r="31" spans="1:5" x14ac:dyDescent="0.2">
      <c r="A31" s="99"/>
      <c r="B31" s="99" t="s">
        <v>1427</v>
      </c>
    </row>
    <row r="32" spans="1:5" x14ac:dyDescent="0.2">
      <c r="A32" s="76" t="s">
        <v>1428</v>
      </c>
      <c r="B32" s="101" t="s">
        <v>1429</v>
      </c>
    </row>
    <row r="33" spans="1:2" x14ac:dyDescent="0.2">
      <c r="A33" s="101"/>
      <c r="B33" s="101" t="s">
        <v>1430</v>
      </c>
    </row>
    <row r="34" spans="1:2" x14ac:dyDescent="0.2">
      <c r="A34" s="101"/>
      <c r="B34" s="101" t="s">
        <v>1431</v>
      </c>
    </row>
    <row r="35" spans="1:2" x14ac:dyDescent="0.2">
      <c r="A35" s="76" t="s">
        <v>1432</v>
      </c>
      <c r="B35" s="99" t="s">
        <v>1433</v>
      </c>
    </row>
    <row r="36" spans="1:2" x14ac:dyDescent="0.2">
      <c r="A36" s="99"/>
      <c r="B36" s="99" t="s">
        <v>1434</v>
      </c>
    </row>
    <row r="37" spans="1:2" x14ac:dyDescent="0.2">
      <c r="A37" s="99"/>
      <c r="B37" s="99" t="s">
        <v>1435</v>
      </c>
    </row>
    <row r="38" spans="1:2" x14ac:dyDescent="0.2">
      <c r="A38" s="99"/>
      <c r="B38" s="99" t="s">
        <v>1436</v>
      </c>
    </row>
    <row r="39" spans="1:2" x14ac:dyDescent="0.2">
      <c r="A39" s="76" t="s">
        <v>1437</v>
      </c>
      <c r="B39" s="101" t="s">
        <v>1438</v>
      </c>
    </row>
    <row r="40" spans="1:2" x14ac:dyDescent="0.2">
      <c r="A40" s="101"/>
      <c r="B40" s="101" t="s">
        <v>1439</v>
      </c>
    </row>
    <row r="41" spans="1:2" x14ac:dyDescent="0.2">
      <c r="A41" s="76" t="s">
        <v>1440</v>
      </c>
      <c r="B41" s="99" t="s">
        <v>1441</v>
      </c>
    </row>
    <row r="42" spans="1:2" x14ac:dyDescent="0.2">
      <c r="A42" s="99"/>
      <c r="B42" s="99" t="s">
        <v>1442</v>
      </c>
    </row>
  </sheetData>
  <customSheetViews>
    <customSheetView guid="{3088DA8C-CA5B-4D0B-B766-601A6252A1BC}">
      <selection activeCell="H12" sqref="H12"/>
      <pageMargins left="0.7" right="0.7" top="0.75" bottom="0.75" header="0.3" footer="0.3"/>
    </customSheetView>
    <customSheetView guid="{2C9D0022-6FEB-4503-9A3D-1134E9EB4ABD}">
      <selection activeCell="E12" sqref="A12:E13"/>
      <pageMargins left="0.7" right="0.7" top="0.75" bottom="0.75" header="0.3" footer="0.3"/>
    </customSheetView>
    <customSheetView guid="{13FE0DC8-EF6C-4CDA-BD49-DC570D2B6582}">
      <selection activeCell="D22" sqref="D22"/>
      <pageMargins left="0.7" right="0.7" top="0.75" bottom="0.75" header="0.3" footer="0.3"/>
    </customSheetView>
    <customSheetView guid="{B4395361-3CED-435D-A8C1-8E5C741E5B5A}">
      <selection activeCell="E12" sqref="A12:E13"/>
      <pageMargins left="0.7" right="0.7" top="0.75" bottom="0.75" header="0.3" footer="0.3"/>
    </customSheetView>
    <customSheetView guid="{50E2BFBF-272C-4DEF-B188-80DD2782F903}">
      <selection activeCell="C27" sqref="C27"/>
      <pageMargins left="0.7" right="0.7" top="0.75" bottom="0.75" header="0.3" footer="0.3"/>
    </customSheetView>
    <customSheetView guid="{16C42120-8ADA-4135-A282-991D16C151FE}">
      <pane ySplit="1" topLeftCell="A2" activePane="bottomLeft" state="frozen"/>
      <selection pane="bottomLeft" activeCell="I21" sqref="H21:I24"/>
      <pageMargins left="0.7" right="0.7" top="0.75" bottom="0.75" header="0.3" footer="0.3"/>
    </customSheetView>
  </customSheetViews>
  <mergeCells count="3">
    <mergeCell ref="G1:G7"/>
    <mergeCell ref="D3:D7"/>
    <mergeCell ref="A13:E13"/>
  </mergeCells>
  <hyperlinks>
    <hyperlink ref="E22" r:id="rId1" xr:uid="{00000000-0004-0000-0800-000000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1879A-8FCE-46B0-871B-A9B20998E8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</vt:lpstr>
    </vt:vector>
  </TitlesOfParts>
  <Company>Bureau Veritas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Hongan VO</dc:creator>
  <cp:lastModifiedBy>hongan vo</cp:lastModifiedBy>
  <dcterms:created xsi:type="dcterms:W3CDTF">2023-01-10T04:53:41Z</dcterms:created>
  <dcterms:modified xsi:type="dcterms:W3CDTF">2023-05-13T11:49:22Z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2023-03-19T15:05:38Z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bffa2877-4abf-4ffd-a3d2-1c49a89515db</vt:lpwstr>
  </property>
  <property fmtid="{D5CDD505-2E9C-101B-9397-08002B2CF9AE}" pid="7" name="MSIP_Label_defa4170-0d19-0005-0004-bc88714345d2_ActionId">
    <vt:lpwstr>66a5bb47-4371-4ce1-bdab-021ab7fb10c1</vt:lpwstr>
  </property>
  <property fmtid="{D5CDD505-2E9C-101B-9397-08002B2CF9AE}" pid="8" name="MSIP_Label_defa4170-0d19-0005-0004-bc88714345d2_ContentBits">
    <vt:lpwstr>0</vt:lpwstr>
  </property>
</Properties>
</file>